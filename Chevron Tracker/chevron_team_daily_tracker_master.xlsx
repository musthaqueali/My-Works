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🚀 Live Setup &amp; Guide" sheetId="1" state="visible" r:id="rId1"/>
    <sheet xmlns:r="http://schemas.openxmlformats.org/officeDocument/2006/relationships" name="⚙️ Lookup Tables" sheetId="2" state="visible" r:id="rId2"/>
    <sheet xmlns:r="http://schemas.openxmlformats.org/officeDocument/2006/relationships" name="📊 KPI Dashboard" sheetId="3" state="visible" r:id="rId3"/>
    <sheet xmlns:r="http://schemas.openxmlformats.org/officeDocument/2006/relationships" name="📝 Daily Master Log" sheetId="4" state="visible" r:id="rId4"/>
    <sheet xmlns:r="http://schemas.openxmlformats.org/officeDocument/2006/relationships" name="📅 Monthly Matrix" sheetId="5" state="visible" r:id="rId5"/>
    <sheet xmlns:r="http://schemas.openxmlformats.org/officeDocument/2006/relationships" name="👥 Team Roster" sheetId="6" state="visible" r:id="rId6"/>
    <sheet xmlns:r="http://schemas.openxmlformats.org/officeDocument/2006/relationships" name="📋 Weekly Timesheet" sheetId="7" state="visible" r:id="rId7"/>
    <sheet xmlns:r="http://schemas.openxmlformats.org/officeDocument/2006/relationships" name="Mounika" sheetId="8" state="visible" r:id="rId8"/>
    <sheet xmlns:r="http://schemas.openxmlformats.org/officeDocument/2006/relationships" name="Hana" sheetId="9" state="visible" r:id="rId9"/>
    <sheet xmlns:r="http://schemas.openxmlformats.org/officeDocument/2006/relationships" name="Shiva" sheetId="10" state="visible" r:id="rId10"/>
    <sheet xmlns:r="http://schemas.openxmlformats.org/officeDocument/2006/relationships" name="Priti" sheetId="11" state="visible" r:id="rId11"/>
    <sheet xmlns:r="http://schemas.openxmlformats.org/officeDocument/2006/relationships" name="Savan" sheetId="12" state="visible" r:id="rId12"/>
    <sheet xmlns:r="http://schemas.openxmlformats.org/officeDocument/2006/relationships" name="Soumen" sheetId="13" state="visible" r:id="rId13"/>
    <sheet xmlns:r="http://schemas.openxmlformats.org/officeDocument/2006/relationships" name="Musthaque" sheetId="14" state="visible" r:id="rId14"/>
    <sheet xmlns:r="http://schemas.openxmlformats.org/officeDocument/2006/relationships" name="Silvalif" sheetId="15" state="visible" r:id="rId15"/>
    <sheet xmlns:r="http://schemas.openxmlformats.org/officeDocument/2006/relationships" name="Anjani" sheetId="16" state="visible" r:id="rId16"/>
    <sheet xmlns:r="http://schemas.openxmlformats.org/officeDocument/2006/relationships" name="Sandip" sheetId="17" state="visible" r:id="rId17"/>
    <sheet xmlns:r="http://schemas.openxmlformats.org/officeDocument/2006/relationships" name="Piyush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9">
    <font>
      <name val="Calibri"/>
      <family val="2"/>
      <color theme="1"/>
      <sz val="11"/>
      <scheme val="minor"/>
    </font>
    <font>
      <name val="Segoe UI"/>
      <b val="1"/>
      <color rgb="00003594"/>
      <sz val="16"/>
    </font>
    <font>
      <name val="Segoe UI"/>
      <b val="1"/>
      <color rgb="000F172A"/>
      <sz val="12"/>
    </font>
    <font>
      <name val="Segoe UI"/>
      <color rgb="00334155"/>
      <sz val="10"/>
    </font>
    <font>
      <name val="Segoe UI"/>
      <b val="1"/>
      <color rgb="00003594"/>
      <sz val="12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64748B"/>
      <sz val="9"/>
    </font>
    <font>
      <name val="Segoe UI"/>
      <b val="1"/>
      <color rgb="00003594"/>
      <sz val="22"/>
    </font>
    <font>
      <name val="Segoe UI"/>
      <i val="1"/>
      <color rgb="0064748B"/>
      <sz val="8"/>
    </font>
    <font>
      <name val="Segoe UI"/>
      <b val="1"/>
      <color rgb="00003594"/>
      <sz val="13"/>
    </font>
    <font>
      <name val="Segoe UI"/>
      <b val="1"/>
      <color rgb="000F172A"/>
      <sz val="10"/>
    </font>
    <font>
      <name val="Segoe UI"/>
      <b val="1"/>
      <color rgb="00003594"/>
      <sz val="10"/>
    </font>
    <font>
      <name val="Segoe UI"/>
      <b val="1"/>
      <color rgb="00003594"/>
      <sz val="14"/>
    </font>
    <font>
      <name val="Segoe UI"/>
      <i val="1"/>
      <color rgb="0064748B"/>
      <sz val="9"/>
    </font>
    <font>
      <name val="Segoe UI"/>
      <b val="1"/>
      <color rgb="00047857"/>
      <sz val="9"/>
    </font>
    <font>
      <name val="Segoe UI"/>
      <b val="1"/>
      <color rgb="00FFFFFF"/>
      <sz val="10"/>
    </font>
    <font>
      <name val="Calibri"/>
      <b val="1"/>
      <color rgb="00000000"/>
      <sz val="11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003594"/>
        <bgColor rgb="00003594"/>
      </patternFill>
    </fill>
    <fill>
      <patternFill patternType="solid">
        <fgColor rgb="000D9488"/>
        <bgColor rgb="000D9488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001489"/>
        <bgColor rgb="00001489"/>
      </patternFill>
    </fill>
    <fill>
      <patternFill patternType="solid">
        <fgColor rgb="00E8F0FE"/>
        <bgColor rgb="00E8F0FE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pivotButton="0" quotePrefix="0" xfId="0"/>
    <xf numFmtId="0" fontId="7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11" fillId="7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0" fontId="12" fillId="2" borderId="2" applyAlignment="1" pivotButton="0" quotePrefix="0" xfId="0">
      <alignment horizontal="left" vertical="center"/>
    </xf>
    <xf numFmtId="0" fontId="0" fillId="2" borderId="2" pivotButton="0" quotePrefix="0" xfId="0"/>
    <xf numFmtId="164" fontId="11" fillId="2" borderId="2" applyAlignment="1" pivotButton="0" quotePrefix="0" xfId="0">
      <alignment horizontal="right" vertical="center"/>
    </xf>
    <xf numFmtId="0" fontId="11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11" fillId="2" borderId="2" pivotButton="0" quotePrefix="0" xfId="0"/>
    <xf numFmtId="164" fontId="11" fillId="2" borderId="2" applyAlignment="1" pivotButton="0" quotePrefix="0" xfId="0">
      <alignment horizontal="center" vertical="center"/>
    </xf>
    <xf numFmtId="164" fontId="12" fillId="2" borderId="2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11" fillId="0" borderId="0" pivotButton="0" quotePrefix="0" xfId="0"/>
    <xf numFmtId="0" fontId="6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16" fillId="10" borderId="1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/>
    </xf>
    <xf numFmtId="0" fontId="17" fillId="11" borderId="11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/>
    </xf>
    <xf numFmtId="0" fontId="18" fillId="0" borderId="11" applyAlignment="1" pivotButton="0" quotePrefix="0" xfId="0">
      <alignment horizontal="right" vertical="center"/>
    </xf>
    <xf numFmtId="9" fontId="18" fillId="0" borderId="1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667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428625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428625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8:I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9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8">
      <c r="B8" s="1" t="inlineStr">
        <is>
          <t>HOW TO USE THIS LIVE COLLABORATIVE TRACKER</t>
        </is>
      </c>
    </row>
    <row r="10">
      <c r="B10" s="2" t="inlineStr">
        <is>
          <t>1. Real-Time Live Multi-User Sharing (Microsoft 365 / OneDrive / Teams)</t>
        </is>
      </c>
    </row>
    <row r="11">
      <c r="B11" s="3" t="inlineStr">
        <is>
          <t>To allow EVERY team member to access, edit, and enter daily logs simultaneously:
• Step 1: Upload this .xlsx file to your Team's Microsoft SharePoint / OneDrive or Microsoft Teams channel.
• Step 2: Open the file in 'Excel for the Web' or open in Excel Desktop with 'AutoSave' turned ON.
• Step 3: Click 'Share' -&gt; Set to 'People in your organization can edit'.
• Step 4: Share the link with all 12 team members. Everyone can now type simultaneously without locking the file!</t>
        </is>
      </c>
    </row>
    <row r="12"/>
    <row r="13"/>
    <row r="14"/>
    <row r="16">
      <c r="B16" s="2" t="inlineStr">
        <is>
          <t>2. Google Sheets Live Sharing Option</t>
        </is>
      </c>
    </row>
    <row r="17">
      <c r="B17" s="3" t="inlineStr">
        <is>
          <t>• Upload this file to Google Drive -&gt; Right click -&gt; 'Open with Google Sheets'.
• Click 'Share' -&gt; Add team member emails with 'Editor' permission.
• All formulas, drop-down menus, and multi-sheet summaries work 100% out of the box in real time.</t>
        </is>
      </c>
    </row>
    <row r="18"/>
    <row r="19"/>
    <row r="20"/>
    <row r="22">
      <c r="B22" s="2" t="inlineStr">
        <is>
          <t>3. Daily Logging Workflow for Team Members</t>
        </is>
      </c>
    </row>
    <row r="23">
      <c r="B23" s="3" t="inlineStr">
        <is>
          <t>• Navigate to the '📝 Daily Master Log' tab.
• Select your Name from the dropdown menu (Column C).
• Enter the Date (YYYY-MM-DD), Task Description, and Hours spent.
• Set 'Highlight?' to 'Yes' for standout accomplishments / milestone completions.
• Set 'Labor Task?' to 'Yes' if the task counts as field/operational labor.
• Your Role is automatically looked up, and all metrics on the '📊 KPI Dashboard' update instantly!</t>
        </is>
      </c>
    </row>
    <row r="24"/>
    <row r="25"/>
    <row r="26"/>
    <row r="28">
      <c r="B28" s="2" t="inlineStr">
        <is>
          <t>4. Sheet Structure Overview</t>
        </is>
      </c>
    </row>
    <row r="29">
      <c r="B29" s="3" t="inlineStr">
        <is>
          <t>• 📊 KPI Dashboard: Real-time executive metrics, member breakdown tables, and totals.
• 📝 Daily Master Log: Central log sheet with pre-configured dropdowns and live formulas.
• 📅 Monthly Matrix: 31-day calendar view for quick daily hour tracking by member.
• 👥 Team Roster: Complete member directory with auto-calculated total hours and task counts.
• 📋 Weekly Timesheet: Standard weekly client/manager timesheet generator.
• ⚙️ Lookup Tables: Data validation sources for drop-down menus.</t>
        </is>
      </c>
    </row>
    <row r="30"/>
    <row r="31"/>
    <row r="32"/>
  </sheetData>
  <mergeCells count="8">
    <mergeCell ref="B17:I20"/>
    <mergeCell ref="B23:I26"/>
    <mergeCell ref="B16:I16"/>
    <mergeCell ref="B10:I10"/>
    <mergeCell ref="B28:I28"/>
    <mergeCell ref="B11:I14"/>
    <mergeCell ref="B29:I32"/>
    <mergeCell ref="B22:I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2" customWidth="1" min="3" max="3"/>
    <col width="22" customWidth="1" min="4" max="4"/>
    <col width="12" customWidth="1" min="5" max="5"/>
    <col width="20" customWidth="1" min="6" max="6"/>
    <col width="12" customWidth="1" min="7" max="7"/>
    <col width="35" customWidth="1" min="8" max="8"/>
  </cols>
  <sheetData>
    <row r="2">
      <c r="A2" s="4" t="inlineStr">
        <is>
          <t>TEAM MEMBERS REFERENCE TABLE</t>
        </is>
      </c>
      <c r="F2" s="4" t="inlineStr">
        <is>
          <t>YES / NO OPTIONS</t>
        </is>
      </c>
      <c r="H2" s="4" t="inlineStr">
        <is>
          <t>TASK CATEGORIES</t>
        </is>
      </c>
    </row>
    <row r="3">
      <c r="A3" s="5" t="inlineStr">
        <is>
          <t>Member Name</t>
        </is>
      </c>
      <c r="B3" s="5" t="inlineStr">
        <is>
          <t>Official Role / Designation</t>
        </is>
      </c>
      <c r="C3" s="5" t="inlineStr">
        <is>
          <t>Location</t>
        </is>
      </c>
      <c r="D3" s="5" t="inlineStr">
        <is>
          <t>Member ID</t>
        </is>
      </c>
      <c r="F3" s="6" t="inlineStr">
        <is>
          <t>Choice</t>
        </is>
      </c>
      <c r="H3" s="6" t="inlineStr">
        <is>
          <t>Category</t>
        </is>
      </c>
    </row>
    <row r="4">
      <c r="A4" s="7" t="inlineStr">
        <is>
          <t>Musthaque Ali</t>
        </is>
      </c>
      <c r="B4" s="7" t="inlineStr">
        <is>
          <t>Reliability Data Analyst</t>
        </is>
      </c>
      <c r="C4" s="7" t="inlineStr">
        <is>
          <t>Global</t>
        </is>
      </c>
      <c r="D4" s="7" t="inlineStr">
        <is>
          <t>musthaque_ali</t>
        </is>
      </c>
      <c r="F4" s="8" t="inlineStr">
        <is>
          <t>Yes</t>
        </is>
      </c>
      <c r="H4" s="7" t="inlineStr">
        <is>
          <t>Tank Datamining</t>
        </is>
      </c>
    </row>
    <row r="5">
      <c r="A5" s="7" t="inlineStr">
        <is>
          <t>Anjani Dara</t>
        </is>
      </c>
      <c r="B5" s="7" t="inlineStr">
        <is>
          <t>Reliability Data Analyst</t>
        </is>
      </c>
      <c r="C5" s="7" t="inlineStr">
        <is>
          <t>Global</t>
        </is>
      </c>
      <c r="D5" s="7" t="inlineStr">
        <is>
          <t>anjani_dara</t>
        </is>
      </c>
      <c r="F5" s="8" t="inlineStr">
        <is>
          <t>No</t>
        </is>
      </c>
      <c r="H5" s="7" t="inlineStr">
        <is>
          <t>Visual Inspection Analysis</t>
        </is>
      </c>
    </row>
    <row r="6">
      <c r="A6" s="7" t="inlineStr">
        <is>
          <t>Hana Sayed</t>
        </is>
      </c>
      <c r="B6" s="7" t="inlineStr">
        <is>
          <t>Reliability Data Analyst - India</t>
        </is>
      </c>
      <c r="C6" s="7" t="inlineStr">
        <is>
          <t>India</t>
        </is>
      </c>
      <c r="D6" s="7" t="inlineStr">
        <is>
          <t>hana_sayed</t>
        </is>
      </c>
      <c r="H6" s="7" t="inlineStr">
        <is>
          <t>Calculations &amp; Thickness Review</t>
        </is>
      </c>
    </row>
    <row r="7">
      <c r="A7" s="7" t="inlineStr">
        <is>
          <t>Mounika Pasunuti</t>
        </is>
      </c>
      <c r="B7" s="7" t="inlineStr">
        <is>
          <t>Reliability Data Analyst</t>
        </is>
      </c>
      <c r="C7" s="7" t="inlineStr">
        <is>
          <t>Global</t>
        </is>
      </c>
      <c r="D7" s="7" t="inlineStr">
        <is>
          <t>mounika_pasunuti</t>
        </is>
      </c>
      <c r="H7" s="7" t="inlineStr">
        <is>
          <t>Drawings &amp; Traceability</t>
        </is>
      </c>
    </row>
    <row r="8">
      <c r="A8" s="7" t="inlineStr">
        <is>
          <t>Piyush Gupta</t>
        </is>
      </c>
      <c r="B8" s="7" t="inlineStr">
        <is>
          <t>Reliability Data Analyst - India</t>
        </is>
      </c>
      <c r="C8" s="7" t="inlineStr">
        <is>
          <t>India</t>
        </is>
      </c>
      <c r="D8" s="7" t="inlineStr">
        <is>
          <t>piyush_gupta</t>
        </is>
      </c>
      <c r="H8" s="7" t="inlineStr">
        <is>
          <t>Damage Mechanism Review</t>
        </is>
      </c>
    </row>
    <row r="9">
      <c r="A9" s="7" t="inlineStr">
        <is>
          <t>Priti Barman</t>
        </is>
      </c>
      <c r="B9" s="7" t="inlineStr">
        <is>
          <t>Reliability Data Analyst - India</t>
        </is>
      </c>
      <c r="C9" s="7" t="inlineStr">
        <is>
          <t>India</t>
        </is>
      </c>
      <c r="D9" s="7" t="inlineStr">
        <is>
          <t>priti_barman</t>
        </is>
      </c>
      <c r="H9" s="7" t="inlineStr">
        <is>
          <t>QA / QC Verification</t>
        </is>
      </c>
    </row>
    <row r="10">
      <c r="A10" s="7" t="inlineStr">
        <is>
          <t>Sandip Dey</t>
        </is>
      </c>
      <c r="B10" s="7" t="inlineStr">
        <is>
          <t>Reliability Data Analyst - India</t>
        </is>
      </c>
      <c r="C10" s="7" t="inlineStr">
        <is>
          <t>India</t>
        </is>
      </c>
      <c r="D10" s="7" t="inlineStr">
        <is>
          <t>sandip_dey</t>
        </is>
      </c>
      <c r="H10" s="7" t="inlineStr">
        <is>
          <t>Reporting &amp; Deliverables</t>
        </is>
      </c>
    </row>
    <row r="11">
      <c r="A11" s="7" t="inlineStr">
        <is>
          <t>Sayan Adhikary</t>
        </is>
      </c>
      <c r="B11" s="7" t="inlineStr">
        <is>
          <t>Reliability Data Analyst - India</t>
        </is>
      </c>
      <c r="C11" s="7" t="inlineStr">
        <is>
          <t>India</t>
        </is>
      </c>
      <c r="D11" s="7" t="inlineStr">
        <is>
          <t>sayan_adhikary</t>
        </is>
      </c>
      <c r="H11" s="7" t="inlineStr">
        <is>
          <t>Team Standup &amp; Coordination</t>
        </is>
      </c>
    </row>
    <row r="12">
      <c r="A12" s="7" t="inlineStr">
        <is>
          <t>Shivakumar Sunkari</t>
        </is>
      </c>
      <c r="B12" s="7" t="inlineStr">
        <is>
          <t>Reliability Data Analyst</t>
        </is>
      </c>
      <c r="C12" s="7" t="inlineStr">
        <is>
          <t>Global</t>
        </is>
      </c>
      <c r="D12" s="7" t="inlineStr">
        <is>
          <t>shivakumar_sunkari</t>
        </is>
      </c>
    </row>
    <row r="13">
      <c r="A13" s="7" t="inlineStr">
        <is>
          <t>Soumen Jit</t>
        </is>
      </c>
      <c r="B13" s="7" t="inlineStr">
        <is>
          <t>Reliability Data Analyst - India</t>
        </is>
      </c>
      <c r="C13" s="7" t="inlineStr">
        <is>
          <t>India</t>
        </is>
      </c>
      <c r="D13" s="7" t="inlineStr">
        <is>
          <t>soumen_jit</t>
        </is>
      </c>
    </row>
    <row r="14">
      <c r="A14" s="7" t="inlineStr">
        <is>
          <t>Srivalli Sunkari</t>
        </is>
      </c>
      <c r="B14" s="7" t="inlineStr">
        <is>
          <t>Reliability Data Analyst</t>
        </is>
      </c>
      <c r="C14" s="7" t="inlineStr">
        <is>
          <t>Global</t>
        </is>
      </c>
      <c r="D14" s="7" t="inlineStr">
        <is>
          <t>srivalli_sunkari</t>
        </is>
      </c>
    </row>
    <row r="15">
      <c r="A15" s="7" t="inlineStr">
        <is>
          <t>Swapna Santhapuram</t>
        </is>
      </c>
      <c r="B15" s="7" t="inlineStr">
        <is>
          <t>Lead (Services) - India</t>
        </is>
      </c>
      <c r="C15" s="7" t="inlineStr">
        <is>
          <t>India</t>
        </is>
      </c>
      <c r="D15" s="7" t="inlineStr">
        <is>
          <t>swapna_santhapuram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8:I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8">
      <c r="B8" s="9" t="inlineStr">
        <is>
          <t>TOTAL TEAM HOURS</t>
        </is>
      </c>
      <c r="C8" s="53" t="n"/>
      <c r="D8" s="9" t="inlineStr">
        <is>
          <t>TOTAL TASKS LOGGED</t>
        </is>
      </c>
      <c r="E8" s="53" t="n"/>
      <c r="F8" s="9" t="inlineStr">
        <is>
          <t>HIGHLIGHTED TASKS</t>
        </is>
      </c>
      <c r="G8" s="53" t="n"/>
      <c r="H8" s="9" t="inlineStr">
        <is>
          <t>LABOR TASKS LOGGED</t>
        </is>
      </c>
      <c r="I8" s="53" t="n"/>
    </row>
    <row r="9">
      <c r="B9" s="10">
        <f>SUM('📝 Daily Master Log'!F4:F500)</f>
        <v/>
      </c>
      <c r="C9" s="54" t="n"/>
      <c r="D9" s="11">
        <f>COUNTA('📝 Daily Master Log'!E4:E500)</f>
        <v/>
      </c>
      <c r="E9" s="54" t="n"/>
      <c r="F9" s="11">
        <f>COUNTIF('📝 Daily Master Log'!G4:G500, "Yes")</f>
        <v/>
      </c>
      <c r="G9" s="54" t="n"/>
      <c r="H9" s="11">
        <f>COUNTIF('📝 Daily Master Log'!H4:H500, "Yes")</f>
        <v/>
      </c>
      <c r="I9" s="54" t="n"/>
    </row>
    <row r="10">
      <c r="B10" s="55" t="n"/>
      <c r="C10" s="56" t="n"/>
      <c r="D10" s="55" t="n"/>
      <c r="E10" s="56" t="n"/>
      <c r="F10" s="55" t="n"/>
      <c r="G10" s="56" t="n"/>
      <c r="H10" s="55" t="n"/>
      <c r="I10" s="56" t="n"/>
    </row>
    <row r="11">
      <c r="B11" s="12" t="inlineStr">
        <is>
          <t>h logged to date</t>
        </is>
      </c>
      <c r="C11" s="53" t="n"/>
      <c r="D11" s="12" t="inlineStr">
        <is>
          <t>completed entries</t>
        </is>
      </c>
      <c r="E11" s="53" t="n"/>
      <c r="F11" s="12" t="inlineStr">
        <is>
          <t>key milestones</t>
        </is>
      </c>
      <c r="G11" s="53" t="n"/>
      <c r="H11" s="12" t="inlineStr">
        <is>
          <t>operational items</t>
        </is>
      </c>
      <c r="I11" s="53" t="n"/>
    </row>
    <row r="13">
      <c r="B13" s="13" t="inlineStr">
        <is>
          <t>TEAM PERFORMANCE &amp; HOURLY BREAKDOWN</t>
        </is>
      </c>
    </row>
    <row r="14">
      <c r="B14" s="5" t="inlineStr">
        <is>
          <t>Member Name</t>
        </is>
      </c>
      <c r="C14" s="5" t="inlineStr">
        <is>
          <t>Role / Designation</t>
        </is>
      </c>
      <c r="D14" s="5" t="inlineStr">
        <is>
          <t>Location</t>
        </is>
      </c>
      <c r="E14" s="5" t="inlineStr">
        <is>
          <t>Total Hours</t>
        </is>
      </c>
      <c r="F14" s="5" t="inlineStr">
        <is>
          <t>Task Count</t>
        </is>
      </c>
      <c r="G14" s="5" t="inlineStr">
        <is>
          <t>Highlighted</t>
        </is>
      </c>
      <c r="H14" s="5" t="inlineStr">
        <is>
          <t>Labor Hours</t>
        </is>
      </c>
      <c r="I14" s="5" t="inlineStr">
        <is>
          <t>% Team Workload</t>
        </is>
      </c>
    </row>
    <row r="15">
      <c r="B15" s="14" t="inlineStr">
        <is>
          <t>Musthaque Ali</t>
        </is>
      </c>
      <c r="C15" s="15" t="inlineStr">
        <is>
          <t>Reliability Data Analyst</t>
        </is>
      </c>
      <c r="D15" s="16" t="inlineStr">
        <is>
          <t>Global</t>
        </is>
      </c>
      <c r="E15" s="17">
        <f>SUMIF('📝 Daily Master Log'!$C$4:$C$500, B15, '📝 Daily Master Log'!$F$4:$F$500)</f>
        <v/>
      </c>
      <c r="F15" s="16">
        <f>COUNTIF('📝 Daily Master Log'!$C$4:$C$500, B15)</f>
        <v/>
      </c>
      <c r="G15" s="16">
        <f>COUNTIFS('📝 Daily Master Log'!$C$4:$C$500, B15, '📝 Daily Master Log'!$G$4:$G$500, "Yes")</f>
        <v/>
      </c>
      <c r="H15" s="18">
        <f>SUMIFS('📝 Daily Master Log'!$F$4:$F$500, '📝 Daily Master Log'!$C$4:$C$500, B15, '📝 Daily Master Log'!$H$4:$H$500, "Yes")</f>
        <v/>
      </c>
      <c r="I15" s="19">
        <f>IF($B$9&gt;0, E15/$B$9, 0)</f>
        <v/>
      </c>
    </row>
    <row r="16">
      <c r="B16" s="20" t="inlineStr">
        <is>
          <t>Anjani Dara</t>
        </is>
      </c>
      <c r="C16" s="21" t="inlineStr">
        <is>
          <t>Reliability Data Analyst</t>
        </is>
      </c>
      <c r="D16" s="22" t="inlineStr">
        <is>
          <t>Global</t>
        </is>
      </c>
      <c r="E16" s="23">
        <f>SUMIF('📝 Daily Master Log'!$C$4:$C$500, B16, '📝 Daily Master Log'!$F$4:$F$500)</f>
        <v/>
      </c>
      <c r="F16" s="22">
        <f>COUNTIF('📝 Daily Master Log'!$C$4:$C$500, B16)</f>
        <v/>
      </c>
      <c r="G16" s="22">
        <f>COUNTIFS('📝 Daily Master Log'!$C$4:$C$500, B16, '📝 Daily Master Log'!$G$4:$G$500, "Yes")</f>
        <v/>
      </c>
      <c r="H16" s="24">
        <f>SUMIFS('📝 Daily Master Log'!$F$4:$F$500, '📝 Daily Master Log'!$C$4:$C$500, B16, '📝 Daily Master Log'!$H$4:$H$500, "Yes")</f>
        <v/>
      </c>
      <c r="I16" s="25">
        <f>IF($B$9&gt;0, E16/$B$9, 0)</f>
        <v/>
      </c>
    </row>
    <row r="17">
      <c r="B17" s="14" t="inlineStr">
        <is>
          <t>Hana Sayed</t>
        </is>
      </c>
      <c r="C17" s="15" t="inlineStr">
        <is>
          <t>Reliability Data Analyst - India</t>
        </is>
      </c>
      <c r="D17" s="16" t="inlineStr">
        <is>
          <t>India</t>
        </is>
      </c>
      <c r="E17" s="17">
        <f>SUMIF('📝 Daily Master Log'!$C$4:$C$500, B17, '📝 Daily Master Log'!$F$4:$F$500)</f>
        <v/>
      </c>
      <c r="F17" s="16">
        <f>COUNTIF('📝 Daily Master Log'!$C$4:$C$500, B17)</f>
        <v/>
      </c>
      <c r="G17" s="16">
        <f>COUNTIFS('📝 Daily Master Log'!$C$4:$C$500, B17, '📝 Daily Master Log'!$G$4:$G$500, "Yes")</f>
        <v/>
      </c>
      <c r="H17" s="18">
        <f>SUMIFS('📝 Daily Master Log'!$F$4:$F$500, '📝 Daily Master Log'!$C$4:$C$500, B17, '📝 Daily Master Log'!$H$4:$H$500, "Yes")</f>
        <v/>
      </c>
      <c r="I17" s="19">
        <f>IF($B$9&gt;0, E17/$B$9, 0)</f>
        <v/>
      </c>
    </row>
    <row r="18">
      <c r="B18" s="20" t="inlineStr">
        <is>
          <t>Mounika Pasunuti</t>
        </is>
      </c>
      <c r="C18" s="21" t="inlineStr">
        <is>
          <t>Reliability Data Analyst</t>
        </is>
      </c>
      <c r="D18" s="22" t="inlineStr">
        <is>
          <t>Global</t>
        </is>
      </c>
      <c r="E18" s="23">
        <f>SUMIF('📝 Daily Master Log'!$C$4:$C$500, B18, '📝 Daily Master Log'!$F$4:$F$500)</f>
        <v/>
      </c>
      <c r="F18" s="22">
        <f>COUNTIF('📝 Daily Master Log'!$C$4:$C$500, B18)</f>
        <v/>
      </c>
      <c r="G18" s="22">
        <f>COUNTIFS('📝 Daily Master Log'!$C$4:$C$500, B18, '📝 Daily Master Log'!$G$4:$G$500, "Yes")</f>
        <v/>
      </c>
      <c r="H18" s="24">
        <f>SUMIFS('📝 Daily Master Log'!$F$4:$F$500, '📝 Daily Master Log'!$C$4:$C$500, B18, '📝 Daily Master Log'!$H$4:$H$500, "Yes")</f>
        <v/>
      </c>
      <c r="I18" s="25">
        <f>IF($B$9&gt;0, E18/$B$9, 0)</f>
        <v/>
      </c>
    </row>
    <row r="19">
      <c r="B19" s="14" t="inlineStr">
        <is>
          <t>Piyush Gupta</t>
        </is>
      </c>
      <c r="C19" s="15" t="inlineStr">
        <is>
          <t>Reliability Data Analyst - India</t>
        </is>
      </c>
      <c r="D19" s="16" t="inlineStr">
        <is>
          <t>India</t>
        </is>
      </c>
      <c r="E19" s="17">
        <f>SUMIF('📝 Daily Master Log'!$C$4:$C$500, B19, '📝 Daily Master Log'!$F$4:$F$500)</f>
        <v/>
      </c>
      <c r="F19" s="16">
        <f>COUNTIF('📝 Daily Master Log'!$C$4:$C$500, B19)</f>
        <v/>
      </c>
      <c r="G19" s="16">
        <f>COUNTIFS('📝 Daily Master Log'!$C$4:$C$500, B19, '📝 Daily Master Log'!$G$4:$G$500, "Yes")</f>
        <v/>
      </c>
      <c r="H19" s="18">
        <f>SUMIFS('📝 Daily Master Log'!$F$4:$F$500, '📝 Daily Master Log'!$C$4:$C$500, B19, '📝 Daily Master Log'!$H$4:$H$500, "Yes")</f>
        <v/>
      </c>
      <c r="I19" s="19">
        <f>IF($B$9&gt;0, E19/$B$9, 0)</f>
        <v/>
      </c>
    </row>
    <row r="20">
      <c r="B20" s="20" t="inlineStr">
        <is>
          <t>Priti Barman</t>
        </is>
      </c>
      <c r="C20" s="21" t="inlineStr">
        <is>
          <t>Reliability Data Analyst - India</t>
        </is>
      </c>
      <c r="D20" s="22" t="inlineStr">
        <is>
          <t>India</t>
        </is>
      </c>
      <c r="E20" s="23">
        <f>SUMIF('📝 Daily Master Log'!$C$4:$C$500, B20, '📝 Daily Master Log'!$F$4:$F$500)</f>
        <v/>
      </c>
      <c r="F20" s="22">
        <f>COUNTIF('📝 Daily Master Log'!$C$4:$C$500, B20)</f>
        <v/>
      </c>
      <c r="G20" s="22">
        <f>COUNTIFS('📝 Daily Master Log'!$C$4:$C$500, B20, '📝 Daily Master Log'!$G$4:$G$500, "Yes")</f>
        <v/>
      </c>
      <c r="H20" s="24">
        <f>SUMIFS('📝 Daily Master Log'!$F$4:$F$500, '📝 Daily Master Log'!$C$4:$C$500, B20, '📝 Daily Master Log'!$H$4:$H$500, "Yes")</f>
        <v/>
      </c>
      <c r="I20" s="25">
        <f>IF($B$9&gt;0, E20/$B$9, 0)</f>
        <v/>
      </c>
    </row>
    <row r="21">
      <c r="B21" s="14" t="inlineStr">
        <is>
          <t>Sandip Dey</t>
        </is>
      </c>
      <c r="C21" s="15" t="inlineStr">
        <is>
          <t>Reliability Data Analyst - India</t>
        </is>
      </c>
      <c r="D21" s="16" t="inlineStr">
        <is>
          <t>India</t>
        </is>
      </c>
      <c r="E21" s="17">
        <f>SUMIF('📝 Daily Master Log'!$C$4:$C$500, B21, '📝 Daily Master Log'!$F$4:$F$500)</f>
        <v/>
      </c>
      <c r="F21" s="16">
        <f>COUNTIF('📝 Daily Master Log'!$C$4:$C$500, B21)</f>
        <v/>
      </c>
      <c r="G21" s="16">
        <f>COUNTIFS('📝 Daily Master Log'!$C$4:$C$500, B21, '📝 Daily Master Log'!$G$4:$G$500, "Yes")</f>
        <v/>
      </c>
      <c r="H21" s="18">
        <f>SUMIFS('📝 Daily Master Log'!$F$4:$F$500, '📝 Daily Master Log'!$C$4:$C$500, B21, '📝 Daily Master Log'!$H$4:$H$500, "Yes")</f>
        <v/>
      </c>
      <c r="I21" s="19">
        <f>IF($B$9&gt;0, E21/$B$9, 0)</f>
        <v/>
      </c>
    </row>
    <row r="22">
      <c r="B22" s="20" t="inlineStr">
        <is>
          <t>Sayan Adhikary</t>
        </is>
      </c>
      <c r="C22" s="21" t="inlineStr">
        <is>
          <t>Reliability Data Analyst - India</t>
        </is>
      </c>
      <c r="D22" s="22" t="inlineStr">
        <is>
          <t>India</t>
        </is>
      </c>
      <c r="E22" s="23">
        <f>SUMIF('📝 Daily Master Log'!$C$4:$C$500, B22, '📝 Daily Master Log'!$F$4:$F$500)</f>
        <v/>
      </c>
      <c r="F22" s="22">
        <f>COUNTIF('📝 Daily Master Log'!$C$4:$C$500, B22)</f>
        <v/>
      </c>
      <c r="G22" s="22">
        <f>COUNTIFS('📝 Daily Master Log'!$C$4:$C$500, B22, '📝 Daily Master Log'!$G$4:$G$500, "Yes")</f>
        <v/>
      </c>
      <c r="H22" s="24">
        <f>SUMIFS('📝 Daily Master Log'!$F$4:$F$500, '📝 Daily Master Log'!$C$4:$C$500, B22, '📝 Daily Master Log'!$H$4:$H$500, "Yes")</f>
        <v/>
      </c>
      <c r="I22" s="25">
        <f>IF($B$9&gt;0, E22/$B$9, 0)</f>
        <v/>
      </c>
    </row>
    <row r="23">
      <c r="B23" s="14" t="inlineStr">
        <is>
          <t>Shivakumar Sunkari</t>
        </is>
      </c>
      <c r="C23" s="15" t="inlineStr">
        <is>
          <t>Reliability Data Analyst</t>
        </is>
      </c>
      <c r="D23" s="16" t="inlineStr">
        <is>
          <t>Global</t>
        </is>
      </c>
      <c r="E23" s="17">
        <f>SUMIF('📝 Daily Master Log'!$C$4:$C$500, B23, '📝 Daily Master Log'!$F$4:$F$500)</f>
        <v/>
      </c>
      <c r="F23" s="16">
        <f>COUNTIF('📝 Daily Master Log'!$C$4:$C$500, B23)</f>
        <v/>
      </c>
      <c r="G23" s="16">
        <f>COUNTIFS('📝 Daily Master Log'!$C$4:$C$500, B23, '📝 Daily Master Log'!$G$4:$G$500, "Yes")</f>
        <v/>
      </c>
      <c r="H23" s="18">
        <f>SUMIFS('📝 Daily Master Log'!$F$4:$F$500, '📝 Daily Master Log'!$C$4:$C$500, B23, '📝 Daily Master Log'!$H$4:$H$500, "Yes")</f>
        <v/>
      </c>
      <c r="I23" s="19">
        <f>IF($B$9&gt;0, E23/$B$9, 0)</f>
        <v/>
      </c>
    </row>
    <row r="24">
      <c r="B24" s="20" t="inlineStr">
        <is>
          <t>Soumen Jit</t>
        </is>
      </c>
      <c r="C24" s="21" t="inlineStr">
        <is>
          <t>Reliability Data Analyst - India</t>
        </is>
      </c>
      <c r="D24" s="22" t="inlineStr">
        <is>
          <t>India</t>
        </is>
      </c>
      <c r="E24" s="23">
        <f>SUMIF('📝 Daily Master Log'!$C$4:$C$500, B24, '📝 Daily Master Log'!$F$4:$F$500)</f>
        <v/>
      </c>
      <c r="F24" s="22">
        <f>COUNTIF('📝 Daily Master Log'!$C$4:$C$500, B24)</f>
        <v/>
      </c>
      <c r="G24" s="22">
        <f>COUNTIFS('📝 Daily Master Log'!$C$4:$C$500, B24, '📝 Daily Master Log'!$G$4:$G$500, "Yes")</f>
        <v/>
      </c>
      <c r="H24" s="24">
        <f>SUMIFS('📝 Daily Master Log'!$F$4:$F$500, '📝 Daily Master Log'!$C$4:$C$500, B24, '📝 Daily Master Log'!$H$4:$H$500, "Yes")</f>
        <v/>
      </c>
      <c r="I24" s="25">
        <f>IF($B$9&gt;0, E24/$B$9, 0)</f>
        <v/>
      </c>
    </row>
    <row r="25">
      <c r="B25" s="14" t="inlineStr">
        <is>
          <t>Srivalli Sunkari</t>
        </is>
      </c>
      <c r="C25" s="15" t="inlineStr">
        <is>
          <t>Reliability Data Analyst</t>
        </is>
      </c>
      <c r="D25" s="16" t="inlineStr">
        <is>
          <t>Global</t>
        </is>
      </c>
      <c r="E25" s="17">
        <f>SUMIF('📝 Daily Master Log'!$C$4:$C$500, B25, '📝 Daily Master Log'!$F$4:$F$500)</f>
        <v/>
      </c>
      <c r="F25" s="16">
        <f>COUNTIF('📝 Daily Master Log'!$C$4:$C$500, B25)</f>
        <v/>
      </c>
      <c r="G25" s="16">
        <f>COUNTIFS('📝 Daily Master Log'!$C$4:$C$500, B25, '📝 Daily Master Log'!$G$4:$G$500, "Yes")</f>
        <v/>
      </c>
      <c r="H25" s="18">
        <f>SUMIFS('📝 Daily Master Log'!$F$4:$F$500, '📝 Daily Master Log'!$C$4:$C$500, B25, '📝 Daily Master Log'!$H$4:$H$500, "Yes")</f>
        <v/>
      </c>
      <c r="I25" s="19">
        <f>IF($B$9&gt;0, E25/$B$9, 0)</f>
        <v/>
      </c>
    </row>
    <row r="26">
      <c r="B26" s="20" t="inlineStr">
        <is>
          <t>Swapna Santhapuram</t>
        </is>
      </c>
      <c r="C26" s="21" t="inlineStr">
        <is>
          <t>Lead (Services) - India</t>
        </is>
      </c>
      <c r="D26" s="22" t="inlineStr">
        <is>
          <t>India</t>
        </is>
      </c>
      <c r="E26" s="23">
        <f>SUMIF('📝 Daily Master Log'!$C$4:$C$500, B26, '📝 Daily Master Log'!$F$4:$F$500)</f>
        <v/>
      </c>
      <c r="F26" s="22">
        <f>COUNTIF('📝 Daily Master Log'!$C$4:$C$500, B26)</f>
        <v/>
      </c>
      <c r="G26" s="22">
        <f>COUNTIFS('📝 Daily Master Log'!$C$4:$C$500, B26, '📝 Daily Master Log'!$G$4:$G$500, "Yes")</f>
        <v/>
      </c>
      <c r="H26" s="24">
        <f>SUMIFS('📝 Daily Master Log'!$F$4:$F$500, '📝 Daily Master Log'!$C$4:$C$500, B26, '📝 Daily Master Log'!$H$4:$H$500, "Yes")</f>
        <v/>
      </c>
      <c r="I26" s="25">
        <f>IF($B$9&gt;0, E26/$B$9, 0)</f>
        <v/>
      </c>
    </row>
    <row r="27">
      <c r="B27" s="26" t="inlineStr">
        <is>
          <t>TOTAL TEAM AGGREGATE</t>
        </is>
      </c>
      <c r="C27" s="27" t="inlineStr"/>
      <c r="D27" s="27" t="inlineStr"/>
      <c r="E27" s="28">
        <f>SUM(E15:E26)</f>
        <v/>
      </c>
      <c r="F27" s="29">
        <f>SUM(F15:F26)</f>
        <v/>
      </c>
      <c r="G27" s="29">
        <f>SUM(G15:G26)</f>
        <v/>
      </c>
      <c r="H27" s="28">
        <f>SUM(H15:H26)</f>
        <v/>
      </c>
      <c r="I27" s="30" t="inlineStr">
        <is>
          <t>100.0%</t>
        </is>
      </c>
    </row>
  </sheetData>
  <mergeCells count="12">
    <mergeCell ref="D8:E8"/>
    <mergeCell ref="F9:G10"/>
    <mergeCell ref="H11:I11"/>
    <mergeCell ref="F11:G11"/>
    <mergeCell ref="B11:C11"/>
    <mergeCell ref="D11:E11"/>
    <mergeCell ref="H9:I10"/>
    <mergeCell ref="H8:I8"/>
    <mergeCell ref="B8:C8"/>
    <mergeCell ref="B9:C10"/>
    <mergeCell ref="D9:E10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0" customWidth="1" min="4" max="4"/>
    <col width="45" customWidth="1" min="5" max="5"/>
    <col width="12" customWidth="1" min="6" max="6"/>
    <col width="14" customWidth="1" min="7" max="7"/>
    <col width="14" customWidth="1" min="8" max="8"/>
    <col width="28" customWidth="1" min="9" max="9"/>
    <col width="30" customWidth="1" min="10" max="10"/>
  </cols>
  <sheetData>
    <row r="1">
      <c r="C1" s="31" t="inlineStr">
        <is>
          <t>CHEVRON TEAM DAILY TASK MASTER LOG</t>
        </is>
      </c>
    </row>
    <row r="2">
      <c r="C2" s="32" t="inlineStr">
        <is>
          <t>Central Live Multi-User Entry Sheet | Real-time Auto-Calculations</t>
        </is>
      </c>
    </row>
    <row r="3">
      <c r="A3" s="5" t="inlineStr">
        <is>
          <t>Log ID</t>
        </is>
      </c>
      <c r="B3" s="5" t="inlineStr">
        <is>
          <t>Date (YYYY-MM-DD)</t>
        </is>
      </c>
      <c r="C3" s="5" t="inlineStr">
        <is>
          <t>Team Member Name</t>
        </is>
      </c>
      <c r="D3" s="5" t="inlineStr">
        <is>
          <t>Role / Designation</t>
        </is>
      </c>
      <c r="E3" s="5" t="inlineStr">
        <is>
          <t>Task Description &amp; Deliverables</t>
        </is>
      </c>
      <c r="F3" s="5" t="inlineStr">
        <is>
          <t>Hours</t>
        </is>
      </c>
      <c r="G3" s="5" t="inlineStr">
        <is>
          <t>Highlight?</t>
        </is>
      </c>
      <c r="H3" s="5" t="inlineStr">
        <is>
          <t>Labor?</t>
        </is>
      </c>
      <c r="I3" s="5" t="inlineStr">
        <is>
          <t>Task Category</t>
        </is>
      </c>
      <c r="J3" s="5" t="inlineStr">
        <is>
          <t>Logged Timestamp / Notes</t>
        </is>
      </c>
      <c r="K3" s="57" t="inlineStr">
        <is>
          <t>Assets/Units/ISOs/PIDs</t>
        </is>
      </c>
      <c r="L3" s="57" t="inlineStr">
        <is>
          <t>metric/task in hrs</t>
        </is>
      </c>
      <c r="M3" s="57" t="inlineStr">
        <is>
          <t>count per day</t>
        </is>
      </c>
      <c r="N3" s="57" t="inlineStr">
        <is>
          <t>achieved on the day</t>
        </is>
      </c>
      <c r="O3" s="57" t="inlineStr">
        <is>
          <t>Efficiency</t>
        </is>
      </c>
      <c r="P3" s="57" t="inlineStr">
        <is>
          <t>Road blocks</t>
        </is>
      </c>
    </row>
    <row r="4">
      <c r="A4" s="33" t="inlineStr">
        <is>
          <t>LOG-001</t>
        </is>
      </c>
      <c r="B4" s="33" t="inlineStr">
        <is>
          <t>2026-08-06</t>
        </is>
      </c>
      <c r="C4" s="34" t="inlineStr">
        <is>
          <t>Mounika Pasunuti</t>
        </is>
      </c>
      <c r="D4" s="34">
        <f>IFERROR(VLOOKUP(C4, '⚙️ Lookup Tables'!$A$4:$B$15, 2, FALSE), "")</f>
        <v/>
      </c>
      <c r="E4" s="34" t="inlineStr">
        <is>
          <t>Did Tank Datamining for X-3109 unit</t>
        </is>
      </c>
      <c r="F4" s="35" t="n">
        <v>2</v>
      </c>
      <c r="G4" s="33" t="inlineStr">
        <is>
          <t>No</t>
        </is>
      </c>
      <c r="H4" s="33" t="inlineStr">
        <is>
          <t>No</t>
        </is>
      </c>
      <c r="I4" s="34" t="inlineStr">
        <is>
          <t>Tank Datamining</t>
        </is>
      </c>
      <c r="J4" s="34" t="inlineStr">
        <is>
          <t>Initial log sync</t>
        </is>
      </c>
      <c r="L4" t="n">
        <v>0.25</v>
      </c>
      <c r="O4" s="58">
        <f>IF(M4&gt;0, N4/M4, "")</f>
        <v/>
      </c>
    </row>
    <row r="5">
      <c r="A5" s="33" t="inlineStr">
        <is>
          <t>LOG-002</t>
        </is>
      </c>
      <c r="B5" s="33" t="inlineStr">
        <is>
          <t>2026-08-08</t>
        </is>
      </c>
      <c r="C5" s="34" t="inlineStr">
        <is>
          <t>Musthaque Ali</t>
        </is>
      </c>
      <c r="D5" s="34">
        <f>IFERROR(VLOOKUP(C5, '⚙️ Lookup Tables'!$A$4:$B$15, 2, FALSE), "")</f>
        <v/>
      </c>
      <c r="E5" s="34" t="inlineStr">
        <is>
          <t>Analyzed flange type calculations and verified material traceability SK1 drawing</t>
        </is>
      </c>
      <c r="F5" s="35" t="n">
        <v>4.5</v>
      </c>
      <c r="G5" s="36" t="inlineStr">
        <is>
          <t>Yes</t>
        </is>
      </c>
      <c r="H5" s="33" t="inlineStr">
        <is>
          <t>No</t>
        </is>
      </c>
      <c r="I5" s="34" t="inlineStr">
        <is>
          <t>Calculations &amp; Thickness Review</t>
        </is>
      </c>
      <c r="J5" s="34" t="inlineStr">
        <is>
          <t>Standout milestone</t>
        </is>
      </c>
      <c r="L5" t="n">
        <v>0.25</v>
      </c>
      <c r="O5" s="58">
        <f>IF(M5&gt;0, N5/M5, "")</f>
        <v/>
      </c>
    </row>
    <row r="6">
      <c r="A6" s="33" t="inlineStr">
        <is>
          <t>LOG-003</t>
        </is>
      </c>
      <c r="B6" s="33" t="inlineStr">
        <is>
          <t>2026-08-08</t>
        </is>
      </c>
      <c r="C6" s="34" t="inlineStr">
        <is>
          <t>Anjani Dara</t>
        </is>
      </c>
      <c r="D6" s="34">
        <f>IFERROR(VLOOKUP(C6, '⚙️ Lookup Tables'!$A$4:$B$15, 2, FALSE), "")</f>
        <v/>
      </c>
      <c r="E6" s="34" t="inlineStr">
        <is>
          <t>Reviewed external visual inspection reports 04-21-2008 and 12-19-2017</t>
        </is>
      </c>
      <c r="F6" s="35" t="n">
        <v>5</v>
      </c>
      <c r="G6" s="33" t="inlineStr">
        <is>
          <t>No</t>
        </is>
      </c>
      <c r="H6" s="37" t="inlineStr">
        <is>
          <t>Yes</t>
        </is>
      </c>
      <c r="I6" s="34" t="inlineStr">
        <is>
          <t>Visual Inspection Analysis</t>
        </is>
      </c>
      <c r="J6" s="34" t="inlineStr">
        <is>
          <t>Labor verification</t>
        </is>
      </c>
      <c r="L6" t="n">
        <v>0.25</v>
      </c>
      <c r="O6" s="58">
        <f>IF(M6&gt;0, N6/M6, "")</f>
        <v/>
      </c>
    </row>
    <row r="7">
      <c r="A7" s="33" t="inlineStr">
        <is>
          <t>LOG-004</t>
        </is>
      </c>
      <c r="B7" s="33" t="inlineStr">
        <is>
          <t>2026-08-08</t>
        </is>
      </c>
      <c r="C7" s="34" t="inlineStr">
        <is>
          <t>Hana Sayed</t>
        </is>
      </c>
      <c r="D7" s="34">
        <f>IFERROR(VLOOKUP(C7, '⚙️ Lookup Tables'!$A$4:$B$15, 2, FALSE), "")</f>
        <v/>
      </c>
      <c r="E7" s="34" t="inlineStr">
        <is>
          <t>Completed component makeup breakdown and corrosion rate database mapping</t>
        </is>
      </c>
      <c r="F7" s="35" t="n">
        <v>4</v>
      </c>
      <c r="G7" s="36" t="inlineStr">
        <is>
          <t>Yes</t>
        </is>
      </c>
      <c r="H7" s="33" t="inlineStr">
        <is>
          <t>No</t>
        </is>
      </c>
      <c r="I7" s="34" t="inlineStr">
        <is>
          <t>Damage Mechanism Review</t>
        </is>
      </c>
      <c r="J7" s="34" t="inlineStr">
        <is>
          <t>Corrosion table finalized</t>
        </is>
      </c>
      <c r="L7" t="n">
        <v>0.25</v>
      </c>
      <c r="O7" s="58">
        <f>IF(M7&gt;0, N7/M7, "")</f>
        <v/>
      </c>
    </row>
    <row r="8">
      <c r="A8" s="33" t="inlineStr">
        <is>
          <t>LOG-005</t>
        </is>
      </c>
      <c r="B8" s="33" t="inlineStr">
        <is>
          <t>2026-08-08</t>
        </is>
      </c>
      <c r="C8" s="34" t="inlineStr">
        <is>
          <t>Piyush Gupta</t>
        </is>
      </c>
      <c r="D8" s="34">
        <f>IFERROR(VLOOKUP(C8, '⚙️ Lookup Tables'!$A$4:$B$15, 2, FALSE), "")</f>
        <v/>
      </c>
      <c r="E8" s="34" t="inlineStr">
        <is>
          <t>Verified Metalforms bundle repair drawings p1-p10 and bundle calculations</t>
        </is>
      </c>
      <c r="F8" s="35" t="n">
        <v>3.5</v>
      </c>
      <c r="G8" s="33" t="inlineStr">
        <is>
          <t>No</t>
        </is>
      </c>
      <c r="H8" s="33" t="inlineStr">
        <is>
          <t>No</t>
        </is>
      </c>
      <c r="I8" s="34" t="inlineStr">
        <is>
          <t>Drawings &amp; Traceability</t>
        </is>
      </c>
      <c r="J8" s="34" t="inlineStr"/>
      <c r="L8" t="n">
        <v>0.25</v>
      </c>
      <c r="O8" s="58">
        <f>IF(M8&gt;0, N8/M8, "")</f>
        <v/>
      </c>
    </row>
    <row r="9">
      <c r="A9" s="33" t="inlineStr">
        <is>
          <t>LOG-006</t>
        </is>
      </c>
      <c r="B9" s="33" t="inlineStr">
        <is>
          <t>2026-08-08</t>
        </is>
      </c>
      <c r="C9" s="34" t="inlineStr">
        <is>
          <t>Swapna Santhapuram</t>
        </is>
      </c>
      <c r="D9" s="34">
        <f>IFERROR(VLOOKUP(C9, '⚙️ Lookup Tables'!$A$4:$B$15, 2, FALSE), "")</f>
        <v/>
      </c>
      <c r="E9" s="34" t="inlineStr">
        <is>
          <t>Conducted Chevron deliverables review and team sprint alignment</t>
        </is>
      </c>
      <c r="F9" s="35" t="n">
        <v>2.5</v>
      </c>
      <c r="G9" s="36" t="inlineStr">
        <is>
          <t>Yes</t>
        </is>
      </c>
      <c r="H9" s="33" t="inlineStr">
        <is>
          <t>No</t>
        </is>
      </c>
      <c r="I9" s="34" t="inlineStr">
        <is>
          <t>Team Standup &amp; Coordination</t>
        </is>
      </c>
      <c r="J9" s="34" t="inlineStr">
        <is>
          <t>Lead coordination</t>
        </is>
      </c>
      <c r="L9" t="n">
        <v>0.25</v>
      </c>
      <c r="O9" s="58">
        <f>IF(M9&gt;0, N9/M9, "")</f>
        <v/>
      </c>
    </row>
    <row r="10">
      <c r="A10" s="22" t="inlineStr">
        <is>
          <t>LOG-007</t>
        </is>
      </c>
      <c r="B10" s="22" t="inlineStr"/>
      <c r="C10" s="38" t="inlineStr"/>
      <c r="D10" s="38">
        <f>IFERROR(VLOOKUP(C10, '⚙️ Lookup Tables'!$A$4:$B$15, 2, FALSE), "")</f>
        <v/>
      </c>
      <c r="E10" s="38" t="inlineStr"/>
      <c r="F10" s="24" t="inlineStr"/>
      <c r="G10" s="22" t="inlineStr">
        <is>
          <t>No</t>
        </is>
      </c>
      <c r="H10" s="22" t="inlineStr">
        <is>
          <t>No</t>
        </is>
      </c>
      <c r="I10" s="38" t="inlineStr"/>
      <c r="J10" s="38" t="inlineStr"/>
      <c r="L10" t="n">
        <v>0.25</v>
      </c>
      <c r="O10" s="58">
        <f>IF(M10&gt;0, N10/M10, "")</f>
        <v/>
      </c>
    </row>
    <row r="11">
      <c r="A11" s="33" t="inlineStr">
        <is>
          <t>LOG-008</t>
        </is>
      </c>
      <c r="B11" s="33" t="inlineStr"/>
      <c r="C11" s="34" t="inlineStr"/>
      <c r="D11" s="34">
        <f>IFERROR(VLOOKUP(C11, '⚙️ Lookup Tables'!$A$4:$B$15, 2, FALSE), "")</f>
        <v/>
      </c>
      <c r="E11" s="34" t="inlineStr"/>
      <c r="F11" s="35" t="inlineStr"/>
      <c r="G11" s="33" t="inlineStr">
        <is>
          <t>No</t>
        </is>
      </c>
      <c r="H11" s="33" t="inlineStr">
        <is>
          <t>No</t>
        </is>
      </c>
      <c r="I11" s="34" t="inlineStr"/>
      <c r="J11" s="34" t="inlineStr"/>
      <c r="L11" t="n">
        <v>0.25</v>
      </c>
      <c r="O11" s="58">
        <f>IF(M11&gt;0, N11/M11, "")</f>
        <v/>
      </c>
    </row>
    <row r="12">
      <c r="A12" s="22" t="inlineStr">
        <is>
          <t>LOG-009</t>
        </is>
      </c>
      <c r="B12" s="22" t="inlineStr"/>
      <c r="C12" s="38" t="inlineStr"/>
      <c r="D12" s="38">
        <f>IFERROR(VLOOKUP(C12, '⚙️ Lookup Tables'!$A$4:$B$15, 2, FALSE), "")</f>
        <v/>
      </c>
      <c r="E12" s="38" t="inlineStr"/>
      <c r="F12" s="24" t="inlineStr"/>
      <c r="G12" s="22" t="inlineStr">
        <is>
          <t>No</t>
        </is>
      </c>
      <c r="H12" s="22" t="inlineStr">
        <is>
          <t>No</t>
        </is>
      </c>
      <c r="I12" s="38" t="inlineStr"/>
      <c r="J12" s="38" t="inlineStr"/>
      <c r="L12" t="n">
        <v>0.25</v>
      </c>
      <c r="O12" s="58">
        <f>IF(M12&gt;0, N12/M12, "")</f>
        <v/>
      </c>
    </row>
    <row r="13">
      <c r="A13" s="33" t="inlineStr">
        <is>
          <t>LOG-010</t>
        </is>
      </c>
      <c r="B13" s="33" t="inlineStr"/>
      <c r="C13" s="34" t="inlineStr"/>
      <c r="D13" s="34">
        <f>IFERROR(VLOOKUP(C13, '⚙️ Lookup Tables'!$A$4:$B$15, 2, FALSE), "")</f>
        <v/>
      </c>
      <c r="E13" s="34" t="inlineStr"/>
      <c r="F13" s="35" t="inlineStr"/>
      <c r="G13" s="33" t="inlineStr">
        <is>
          <t>No</t>
        </is>
      </c>
      <c r="H13" s="33" t="inlineStr">
        <is>
          <t>No</t>
        </is>
      </c>
      <c r="I13" s="34" t="inlineStr"/>
      <c r="J13" s="34" t="inlineStr"/>
      <c r="L13" t="n">
        <v>0.25</v>
      </c>
      <c r="O13" s="58">
        <f>IF(M13&gt;0, N13/M13, "")</f>
        <v/>
      </c>
    </row>
    <row r="14">
      <c r="A14" s="22" t="inlineStr">
        <is>
          <t>LOG-011</t>
        </is>
      </c>
      <c r="B14" s="22" t="inlineStr"/>
      <c r="C14" s="38" t="inlineStr"/>
      <c r="D14" s="38">
        <f>IFERROR(VLOOKUP(C14, '⚙️ Lookup Tables'!$A$4:$B$15, 2, FALSE), "")</f>
        <v/>
      </c>
      <c r="E14" s="38" t="inlineStr"/>
      <c r="F14" s="24" t="inlineStr"/>
      <c r="G14" s="22" t="inlineStr">
        <is>
          <t>No</t>
        </is>
      </c>
      <c r="H14" s="22" t="inlineStr">
        <is>
          <t>No</t>
        </is>
      </c>
      <c r="I14" s="38" t="inlineStr"/>
      <c r="J14" s="38" t="inlineStr"/>
      <c r="L14" t="n">
        <v>0.25</v>
      </c>
      <c r="O14" s="58">
        <f>IF(M14&gt;0, N14/M14, "")</f>
        <v/>
      </c>
    </row>
    <row r="15">
      <c r="A15" s="33" t="inlineStr">
        <is>
          <t>LOG-012</t>
        </is>
      </c>
      <c r="B15" s="33" t="inlineStr"/>
      <c r="C15" s="34" t="inlineStr"/>
      <c r="D15" s="34">
        <f>IFERROR(VLOOKUP(C15, '⚙️ Lookup Tables'!$A$4:$B$15, 2, FALSE), "")</f>
        <v/>
      </c>
      <c r="E15" s="34" t="inlineStr"/>
      <c r="F15" s="35" t="inlineStr"/>
      <c r="G15" s="33" t="inlineStr">
        <is>
          <t>No</t>
        </is>
      </c>
      <c r="H15" s="33" t="inlineStr">
        <is>
          <t>No</t>
        </is>
      </c>
      <c r="I15" s="34" t="inlineStr"/>
      <c r="J15" s="34" t="inlineStr"/>
      <c r="L15" t="n">
        <v>0.25</v>
      </c>
      <c r="O15" s="58">
        <f>IF(M15&gt;0, N15/M15, "")</f>
        <v/>
      </c>
    </row>
    <row r="16">
      <c r="A16" s="22" t="inlineStr">
        <is>
          <t>LOG-013</t>
        </is>
      </c>
      <c r="B16" s="22" t="inlineStr"/>
      <c r="C16" s="38" t="inlineStr"/>
      <c r="D16" s="38">
        <f>IFERROR(VLOOKUP(C16, '⚙️ Lookup Tables'!$A$4:$B$15, 2, FALSE), "")</f>
        <v/>
      </c>
      <c r="E16" s="38" t="inlineStr"/>
      <c r="F16" s="24" t="inlineStr"/>
      <c r="G16" s="22" t="inlineStr">
        <is>
          <t>No</t>
        </is>
      </c>
      <c r="H16" s="22" t="inlineStr">
        <is>
          <t>No</t>
        </is>
      </c>
      <c r="I16" s="38" t="inlineStr"/>
      <c r="J16" s="38" t="inlineStr"/>
      <c r="L16" t="n">
        <v>0.25</v>
      </c>
      <c r="O16" s="58">
        <f>IF(M16&gt;0, N16/M16, "")</f>
        <v/>
      </c>
    </row>
    <row r="17">
      <c r="A17" s="33" t="inlineStr">
        <is>
          <t>LOG-014</t>
        </is>
      </c>
      <c r="B17" s="33" t="inlineStr"/>
      <c r="C17" s="34" t="inlineStr"/>
      <c r="D17" s="34">
        <f>IFERROR(VLOOKUP(C17, '⚙️ Lookup Tables'!$A$4:$B$15, 2, FALSE), "")</f>
        <v/>
      </c>
      <c r="E17" s="34" t="inlineStr"/>
      <c r="F17" s="35" t="inlineStr"/>
      <c r="G17" s="33" t="inlineStr">
        <is>
          <t>No</t>
        </is>
      </c>
      <c r="H17" s="33" t="inlineStr">
        <is>
          <t>No</t>
        </is>
      </c>
      <c r="I17" s="34" t="inlineStr"/>
      <c r="J17" s="34" t="inlineStr"/>
      <c r="L17" t="n">
        <v>0.25</v>
      </c>
      <c r="O17" s="58">
        <f>IF(M17&gt;0, N17/M17, "")</f>
        <v/>
      </c>
    </row>
    <row r="18">
      <c r="A18" s="22" t="inlineStr">
        <is>
          <t>LOG-015</t>
        </is>
      </c>
      <c r="B18" s="22" t="inlineStr"/>
      <c r="C18" s="38" t="inlineStr"/>
      <c r="D18" s="38">
        <f>IFERROR(VLOOKUP(C18, '⚙️ Lookup Tables'!$A$4:$B$15, 2, FALSE), "")</f>
        <v/>
      </c>
      <c r="E18" s="38" t="inlineStr"/>
      <c r="F18" s="24" t="inlineStr"/>
      <c r="G18" s="22" t="inlineStr">
        <is>
          <t>No</t>
        </is>
      </c>
      <c r="H18" s="22" t="inlineStr">
        <is>
          <t>No</t>
        </is>
      </c>
      <c r="I18" s="38" t="inlineStr"/>
      <c r="J18" s="38" t="inlineStr"/>
      <c r="L18" t="n">
        <v>0.25</v>
      </c>
      <c r="O18" s="58">
        <f>IF(M18&gt;0, N18/M18, "")</f>
        <v/>
      </c>
    </row>
    <row r="19">
      <c r="A19" s="33" t="inlineStr">
        <is>
          <t>LOG-016</t>
        </is>
      </c>
      <c r="B19" s="33" t="inlineStr"/>
      <c r="C19" s="34" t="inlineStr"/>
      <c r="D19" s="34">
        <f>IFERROR(VLOOKUP(C19, '⚙️ Lookup Tables'!$A$4:$B$15, 2, FALSE), "")</f>
        <v/>
      </c>
      <c r="E19" s="34" t="inlineStr"/>
      <c r="F19" s="35" t="inlineStr"/>
      <c r="G19" s="33" t="inlineStr">
        <is>
          <t>No</t>
        </is>
      </c>
      <c r="H19" s="33" t="inlineStr">
        <is>
          <t>No</t>
        </is>
      </c>
      <c r="I19" s="34" t="inlineStr"/>
      <c r="J19" s="34" t="inlineStr"/>
      <c r="L19" t="n">
        <v>0.25</v>
      </c>
      <c r="O19" s="58">
        <f>IF(M19&gt;0, N19/M19, "")</f>
        <v/>
      </c>
    </row>
    <row r="20">
      <c r="A20" s="22" t="inlineStr">
        <is>
          <t>LOG-017</t>
        </is>
      </c>
      <c r="B20" s="22" t="inlineStr"/>
      <c r="C20" s="38" t="inlineStr"/>
      <c r="D20" s="38">
        <f>IFERROR(VLOOKUP(C20, '⚙️ Lookup Tables'!$A$4:$B$15, 2, FALSE), "")</f>
        <v/>
      </c>
      <c r="E20" s="38" t="inlineStr"/>
      <c r="F20" s="24" t="inlineStr"/>
      <c r="G20" s="22" t="inlineStr">
        <is>
          <t>No</t>
        </is>
      </c>
      <c r="H20" s="22" t="inlineStr">
        <is>
          <t>No</t>
        </is>
      </c>
      <c r="I20" s="38" t="inlineStr"/>
      <c r="J20" s="38" t="inlineStr"/>
      <c r="L20" t="n">
        <v>0.25</v>
      </c>
      <c r="O20" s="58">
        <f>IF(M20&gt;0, N20/M20, "")</f>
        <v/>
      </c>
    </row>
    <row r="21">
      <c r="A21" s="33" t="inlineStr">
        <is>
          <t>LOG-018</t>
        </is>
      </c>
      <c r="B21" s="33" t="inlineStr"/>
      <c r="C21" s="34" t="inlineStr"/>
      <c r="D21" s="34">
        <f>IFERROR(VLOOKUP(C21, '⚙️ Lookup Tables'!$A$4:$B$15, 2, FALSE), "")</f>
        <v/>
      </c>
      <c r="E21" s="34" t="inlineStr"/>
      <c r="F21" s="35" t="inlineStr"/>
      <c r="G21" s="33" t="inlineStr">
        <is>
          <t>No</t>
        </is>
      </c>
      <c r="H21" s="33" t="inlineStr">
        <is>
          <t>No</t>
        </is>
      </c>
      <c r="I21" s="34" t="inlineStr"/>
      <c r="J21" s="34" t="inlineStr"/>
      <c r="L21" t="n">
        <v>0.25</v>
      </c>
      <c r="O21" s="58">
        <f>IF(M21&gt;0, N21/M21, "")</f>
        <v/>
      </c>
    </row>
    <row r="22">
      <c r="A22" s="22" t="inlineStr">
        <is>
          <t>LOG-019</t>
        </is>
      </c>
      <c r="B22" s="22" t="inlineStr"/>
      <c r="C22" s="38" t="inlineStr"/>
      <c r="D22" s="38">
        <f>IFERROR(VLOOKUP(C22, '⚙️ Lookup Tables'!$A$4:$B$15, 2, FALSE), "")</f>
        <v/>
      </c>
      <c r="E22" s="38" t="inlineStr"/>
      <c r="F22" s="24" t="inlineStr"/>
      <c r="G22" s="22" t="inlineStr">
        <is>
          <t>No</t>
        </is>
      </c>
      <c r="H22" s="22" t="inlineStr">
        <is>
          <t>No</t>
        </is>
      </c>
      <c r="I22" s="38" t="inlineStr"/>
      <c r="J22" s="38" t="inlineStr"/>
      <c r="L22" t="n">
        <v>0.25</v>
      </c>
      <c r="O22" s="58">
        <f>IF(M22&gt;0, N22/M22, "")</f>
        <v/>
      </c>
    </row>
    <row r="23">
      <c r="A23" s="33" t="inlineStr">
        <is>
          <t>LOG-020</t>
        </is>
      </c>
      <c r="B23" s="33" t="inlineStr"/>
      <c r="C23" s="34" t="inlineStr"/>
      <c r="D23" s="34">
        <f>IFERROR(VLOOKUP(C23, '⚙️ Lookup Tables'!$A$4:$B$15, 2, FALSE), "")</f>
        <v/>
      </c>
      <c r="E23" s="34" t="inlineStr"/>
      <c r="F23" s="35" t="inlineStr"/>
      <c r="G23" s="33" t="inlineStr">
        <is>
          <t>No</t>
        </is>
      </c>
      <c r="H23" s="33" t="inlineStr">
        <is>
          <t>No</t>
        </is>
      </c>
      <c r="I23" s="34" t="inlineStr"/>
      <c r="J23" s="34" t="inlineStr"/>
      <c r="L23" t="n">
        <v>0.25</v>
      </c>
      <c r="O23" s="58">
        <f>IF(M23&gt;0, N23/M23, "")</f>
        <v/>
      </c>
    </row>
    <row r="24">
      <c r="A24" s="22" t="inlineStr">
        <is>
          <t>LOG-021</t>
        </is>
      </c>
      <c r="B24" s="22" t="inlineStr"/>
      <c r="C24" s="38" t="inlineStr"/>
      <c r="D24" s="38">
        <f>IFERROR(VLOOKUP(C24, '⚙️ Lookup Tables'!$A$4:$B$15, 2, FALSE), "")</f>
        <v/>
      </c>
      <c r="E24" s="38" t="inlineStr"/>
      <c r="F24" s="24" t="inlineStr"/>
      <c r="G24" s="22" t="inlineStr">
        <is>
          <t>No</t>
        </is>
      </c>
      <c r="H24" s="22" t="inlineStr">
        <is>
          <t>No</t>
        </is>
      </c>
      <c r="I24" s="38" t="inlineStr"/>
      <c r="J24" s="38" t="inlineStr"/>
      <c r="L24" t="n">
        <v>0.25</v>
      </c>
      <c r="O24" s="58">
        <f>IF(M24&gt;0, N24/M24, "")</f>
        <v/>
      </c>
    </row>
    <row r="25">
      <c r="A25" s="33" t="inlineStr">
        <is>
          <t>LOG-022</t>
        </is>
      </c>
      <c r="B25" s="33" t="inlineStr"/>
      <c r="C25" s="34" t="inlineStr"/>
      <c r="D25" s="34">
        <f>IFERROR(VLOOKUP(C25, '⚙️ Lookup Tables'!$A$4:$B$15, 2, FALSE), "")</f>
        <v/>
      </c>
      <c r="E25" s="34" t="inlineStr"/>
      <c r="F25" s="35" t="inlineStr"/>
      <c r="G25" s="33" t="inlineStr">
        <is>
          <t>No</t>
        </is>
      </c>
      <c r="H25" s="33" t="inlineStr">
        <is>
          <t>No</t>
        </is>
      </c>
      <c r="I25" s="34" t="inlineStr"/>
      <c r="J25" s="34" t="inlineStr"/>
      <c r="L25" t="n">
        <v>0.25</v>
      </c>
      <c r="O25" s="58">
        <f>IF(M25&gt;0, N25/M25, "")</f>
        <v/>
      </c>
    </row>
    <row r="26">
      <c r="A26" s="22" t="inlineStr">
        <is>
          <t>LOG-023</t>
        </is>
      </c>
      <c r="B26" s="22" t="inlineStr"/>
      <c r="C26" s="38" t="inlineStr"/>
      <c r="D26" s="38">
        <f>IFERROR(VLOOKUP(C26, '⚙️ Lookup Tables'!$A$4:$B$15, 2, FALSE), "")</f>
        <v/>
      </c>
      <c r="E26" s="38" t="inlineStr"/>
      <c r="F26" s="24" t="inlineStr"/>
      <c r="G26" s="22" t="inlineStr">
        <is>
          <t>No</t>
        </is>
      </c>
      <c r="H26" s="22" t="inlineStr">
        <is>
          <t>No</t>
        </is>
      </c>
      <c r="I26" s="38" t="inlineStr"/>
      <c r="J26" s="38" t="inlineStr"/>
      <c r="L26" t="n">
        <v>0.25</v>
      </c>
      <c r="O26" s="58">
        <f>IF(M26&gt;0, N26/M26, "")</f>
        <v/>
      </c>
    </row>
    <row r="27">
      <c r="A27" s="33" t="inlineStr">
        <is>
          <t>LOG-024</t>
        </is>
      </c>
      <c r="B27" s="33" t="inlineStr"/>
      <c r="C27" s="34" t="inlineStr"/>
      <c r="D27" s="34">
        <f>IFERROR(VLOOKUP(C27, '⚙️ Lookup Tables'!$A$4:$B$15, 2, FALSE), "")</f>
        <v/>
      </c>
      <c r="E27" s="34" t="inlineStr"/>
      <c r="F27" s="35" t="inlineStr"/>
      <c r="G27" s="33" t="inlineStr">
        <is>
          <t>No</t>
        </is>
      </c>
      <c r="H27" s="33" t="inlineStr">
        <is>
          <t>No</t>
        </is>
      </c>
      <c r="I27" s="34" t="inlineStr"/>
      <c r="J27" s="34" t="inlineStr"/>
      <c r="L27" t="n">
        <v>0.25</v>
      </c>
      <c r="O27" s="58">
        <f>IF(M27&gt;0, N27/M27, "")</f>
        <v/>
      </c>
    </row>
    <row r="28">
      <c r="A28" s="22" t="inlineStr">
        <is>
          <t>LOG-025</t>
        </is>
      </c>
      <c r="B28" s="22" t="inlineStr"/>
      <c r="C28" s="38" t="inlineStr"/>
      <c r="D28" s="38">
        <f>IFERROR(VLOOKUP(C28, '⚙️ Lookup Tables'!$A$4:$B$15, 2, FALSE), "")</f>
        <v/>
      </c>
      <c r="E28" s="38" t="inlineStr"/>
      <c r="F28" s="24" t="inlineStr"/>
      <c r="G28" s="22" t="inlineStr">
        <is>
          <t>No</t>
        </is>
      </c>
      <c r="H28" s="22" t="inlineStr">
        <is>
          <t>No</t>
        </is>
      </c>
      <c r="I28" s="38" t="inlineStr"/>
      <c r="J28" s="38" t="inlineStr"/>
      <c r="L28" t="n">
        <v>0.25</v>
      </c>
      <c r="O28" s="58">
        <f>IF(M28&gt;0, N28/M28, "")</f>
        <v/>
      </c>
    </row>
    <row r="29">
      <c r="A29" s="33" t="inlineStr">
        <is>
          <t>LOG-026</t>
        </is>
      </c>
      <c r="B29" s="33" t="inlineStr"/>
      <c r="C29" s="34" t="inlineStr"/>
      <c r="D29" s="34">
        <f>IFERROR(VLOOKUP(C29, '⚙️ Lookup Tables'!$A$4:$B$15, 2, FALSE), "")</f>
        <v/>
      </c>
      <c r="E29" s="34" t="inlineStr"/>
      <c r="F29" s="35" t="inlineStr"/>
      <c r="G29" s="33" t="inlineStr">
        <is>
          <t>No</t>
        </is>
      </c>
      <c r="H29" s="33" t="inlineStr">
        <is>
          <t>No</t>
        </is>
      </c>
      <c r="I29" s="34" t="inlineStr"/>
      <c r="J29" s="34" t="inlineStr"/>
      <c r="L29" t="n">
        <v>0.25</v>
      </c>
      <c r="O29" s="58">
        <f>IF(M29&gt;0, N29/M29, "")</f>
        <v/>
      </c>
    </row>
    <row r="30">
      <c r="A30" s="22" t="inlineStr">
        <is>
          <t>LOG-027</t>
        </is>
      </c>
      <c r="B30" s="22" t="inlineStr"/>
      <c r="C30" s="38" t="inlineStr"/>
      <c r="D30" s="38">
        <f>IFERROR(VLOOKUP(C30, '⚙️ Lookup Tables'!$A$4:$B$15, 2, FALSE), "")</f>
        <v/>
      </c>
      <c r="E30" s="38" t="inlineStr"/>
      <c r="F30" s="24" t="inlineStr"/>
      <c r="G30" s="22" t="inlineStr">
        <is>
          <t>No</t>
        </is>
      </c>
      <c r="H30" s="22" t="inlineStr">
        <is>
          <t>No</t>
        </is>
      </c>
      <c r="I30" s="38" t="inlineStr"/>
      <c r="J30" s="38" t="inlineStr"/>
      <c r="L30" t="n">
        <v>0.25</v>
      </c>
      <c r="O30" s="58">
        <f>IF(M30&gt;0, N30/M30, "")</f>
        <v/>
      </c>
    </row>
    <row r="31">
      <c r="A31" s="33" t="inlineStr">
        <is>
          <t>LOG-028</t>
        </is>
      </c>
      <c r="B31" s="33" t="inlineStr"/>
      <c r="C31" s="34" t="inlineStr"/>
      <c r="D31" s="34">
        <f>IFERROR(VLOOKUP(C31, '⚙️ Lookup Tables'!$A$4:$B$15, 2, FALSE), "")</f>
        <v/>
      </c>
      <c r="E31" s="34" t="inlineStr"/>
      <c r="F31" s="35" t="inlineStr"/>
      <c r="G31" s="33" t="inlineStr">
        <is>
          <t>No</t>
        </is>
      </c>
      <c r="H31" s="33" t="inlineStr">
        <is>
          <t>No</t>
        </is>
      </c>
      <c r="I31" s="34" t="inlineStr"/>
      <c r="J31" s="34" t="inlineStr"/>
      <c r="L31" t="n">
        <v>0.25</v>
      </c>
      <c r="O31" s="58">
        <f>IF(M31&gt;0, N31/M31, "")</f>
        <v/>
      </c>
    </row>
    <row r="32">
      <c r="A32" s="22" t="inlineStr">
        <is>
          <t>LOG-029</t>
        </is>
      </c>
      <c r="B32" s="22" t="inlineStr"/>
      <c r="C32" s="38" t="inlineStr"/>
      <c r="D32" s="38">
        <f>IFERROR(VLOOKUP(C32, '⚙️ Lookup Tables'!$A$4:$B$15, 2, FALSE), "")</f>
        <v/>
      </c>
      <c r="E32" s="38" t="inlineStr"/>
      <c r="F32" s="24" t="inlineStr"/>
      <c r="G32" s="22" t="inlineStr">
        <is>
          <t>No</t>
        </is>
      </c>
      <c r="H32" s="22" t="inlineStr">
        <is>
          <t>No</t>
        </is>
      </c>
      <c r="I32" s="38" t="inlineStr"/>
      <c r="J32" s="38" t="inlineStr"/>
      <c r="L32" t="n">
        <v>0.25</v>
      </c>
      <c r="O32" s="58">
        <f>IF(M32&gt;0, N32/M32, "")</f>
        <v/>
      </c>
    </row>
    <row r="33">
      <c r="A33" s="33" t="inlineStr">
        <is>
          <t>LOG-030</t>
        </is>
      </c>
      <c r="B33" s="33" t="inlineStr"/>
      <c r="C33" s="34" t="inlineStr"/>
      <c r="D33" s="34">
        <f>IFERROR(VLOOKUP(C33, '⚙️ Lookup Tables'!$A$4:$B$15, 2, FALSE), "")</f>
        <v/>
      </c>
      <c r="E33" s="34" t="inlineStr"/>
      <c r="F33" s="35" t="inlineStr"/>
      <c r="G33" s="33" t="inlineStr">
        <is>
          <t>No</t>
        </is>
      </c>
      <c r="H33" s="33" t="inlineStr">
        <is>
          <t>No</t>
        </is>
      </c>
      <c r="I33" s="34" t="inlineStr"/>
      <c r="J33" s="34" t="inlineStr"/>
      <c r="L33" t="n">
        <v>0.25</v>
      </c>
      <c r="O33" s="58">
        <f>IF(M33&gt;0, N33/M33, "")</f>
        <v/>
      </c>
    </row>
    <row r="34">
      <c r="A34" s="22" t="inlineStr">
        <is>
          <t>LOG-031</t>
        </is>
      </c>
      <c r="B34" s="22" t="inlineStr"/>
      <c r="C34" s="38" t="inlineStr"/>
      <c r="D34" s="38">
        <f>IFERROR(VLOOKUP(C34, '⚙️ Lookup Tables'!$A$4:$B$15, 2, FALSE), "")</f>
        <v/>
      </c>
      <c r="E34" s="38" t="inlineStr"/>
      <c r="F34" s="24" t="inlineStr"/>
      <c r="G34" s="22" t="inlineStr">
        <is>
          <t>No</t>
        </is>
      </c>
      <c r="H34" s="22" t="inlineStr">
        <is>
          <t>No</t>
        </is>
      </c>
      <c r="I34" s="38" t="inlineStr"/>
      <c r="J34" s="38" t="inlineStr"/>
      <c r="L34" t="n">
        <v>0.25</v>
      </c>
      <c r="O34" s="58">
        <f>IF(M34&gt;0, N34/M34, "")</f>
        <v/>
      </c>
    </row>
    <row r="35">
      <c r="A35" s="33" t="inlineStr">
        <is>
          <t>LOG-032</t>
        </is>
      </c>
      <c r="B35" s="33" t="inlineStr"/>
      <c r="C35" s="34" t="inlineStr"/>
      <c r="D35" s="34">
        <f>IFERROR(VLOOKUP(C35, '⚙️ Lookup Tables'!$A$4:$B$15, 2, FALSE), "")</f>
        <v/>
      </c>
      <c r="E35" s="34" t="inlineStr"/>
      <c r="F35" s="35" t="inlineStr"/>
      <c r="G35" s="33" t="inlineStr">
        <is>
          <t>No</t>
        </is>
      </c>
      <c r="H35" s="33" t="inlineStr">
        <is>
          <t>No</t>
        </is>
      </c>
      <c r="I35" s="34" t="inlineStr"/>
      <c r="J35" s="34" t="inlineStr"/>
      <c r="L35" t="n">
        <v>0.25</v>
      </c>
      <c r="O35" s="58">
        <f>IF(M35&gt;0, N35/M35, "")</f>
        <v/>
      </c>
    </row>
    <row r="36">
      <c r="A36" s="22" t="inlineStr">
        <is>
          <t>LOG-033</t>
        </is>
      </c>
      <c r="B36" s="22" t="inlineStr"/>
      <c r="C36" s="38" t="inlineStr"/>
      <c r="D36" s="38">
        <f>IFERROR(VLOOKUP(C36, '⚙️ Lookup Tables'!$A$4:$B$15, 2, FALSE), "")</f>
        <v/>
      </c>
      <c r="E36" s="38" t="inlineStr"/>
      <c r="F36" s="24" t="inlineStr"/>
      <c r="G36" s="22" t="inlineStr">
        <is>
          <t>No</t>
        </is>
      </c>
      <c r="H36" s="22" t="inlineStr">
        <is>
          <t>No</t>
        </is>
      </c>
      <c r="I36" s="38" t="inlineStr"/>
      <c r="J36" s="38" t="inlineStr"/>
      <c r="L36" t="n">
        <v>0.25</v>
      </c>
      <c r="O36" s="58">
        <f>IF(M36&gt;0, N36/M36, "")</f>
        <v/>
      </c>
    </row>
    <row r="37">
      <c r="A37" s="33" t="inlineStr">
        <is>
          <t>LOG-034</t>
        </is>
      </c>
      <c r="B37" s="33" t="inlineStr"/>
      <c r="C37" s="34" t="inlineStr"/>
      <c r="D37" s="34">
        <f>IFERROR(VLOOKUP(C37, '⚙️ Lookup Tables'!$A$4:$B$15, 2, FALSE), "")</f>
        <v/>
      </c>
      <c r="E37" s="34" t="inlineStr"/>
      <c r="F37" s="35" t="inlineStr"/>
      <c r="G37" s="33" t="inlineStr">
        <is>
          <t>No</t>
        </is>
      </c>
      <c r="H37" s="33" t="inlineStr">
        <is>
          <t>No</t>
        </is>
      </c>
      <c r="I37" s="34" t="inlineStr"/>
      <c r="J37" s="34" t="inlineStr"/>
      <c r="L37" t="n">
        <v>0.25</v>
      </c>
      <c r="O37" s="58">
        <f>IF(M37&gt;0, N37/M37, "")</f>
        <v/>
      </c>
    </row>
    <row r="38">
      <c r="A38" s="22" t="inlineStr">
        <is>
          <t>LOG-035</t>
        </is>
      </c>
      <c r="B38" s="22" t="inlineStr"/>
      <c r="C38" s="38" t="inlineStr"/>
      <c r="D38" s="38">
        <f>IFERROR(VLOOKUP(C38, '⚙️ Lookup Tables'!$A$4:$B$15, 2, FALSE), "")</f>
        <v/>
      </c>
      <c r="E38" s="38" t="inlineStr"/>
      <c r="F38" s="24" t="inlineStr"/>
      <c r="G38" s="22" t="inlineStr">
        <is>
          <t>No</t>
        </is>
      </c>
      <c r="H38" s="22" t="inlineStr">
        <is>
          <t>No</t>
        </is>
      </c>
      <c r="I38" s="38" t="inlineStr"/>
      <c r="J38" s="38" t="inlineStr"/>
      <c r="L38" t="n">
        <v>0.25</v>
      </c>
      <c r="O38" s="58">
        <f>IF(M38&gt;0, N38/M38, "")</f>
        <v/>
      </c>
    </row>
    <row r="39">
      <c r="A39" s="33" t="inlineStr">
        <is>
          <t>LOG-036</t>
        </is>
      </c>
      <c r="B39" s="33" t="inlineStr"/>
      <c r="C39" s="34" t="inlineStr"/>
      <c r="D39" s="34">
        <f>IFERROR(VLOOKUP(C39, '⚙️ Lookup Tables'!$A$4:$B$15, 2, FALSE), "")</f>
        <v/>
      </c>
      <c r="E39" s="34" t="inlineStr"/>
      <c r="F39" s="35" t="inlineStr"/>
      <c r="G39" s="33" t="inlineStr">
        <is>
          <t>No</t>
        </is>
      </c>
      <c r="H39" s="33" t="inlineStr">
        <is>
          <t>No</t>
        </is>
      </c>
      <c r="I39" s="34" t="inlineStr"/>
      <c r="J39" s="34" t="inlineStr"/>
      <c r="L39" t="n">
        <v>0.25</v>
      </c>
      <c r="O39" s="58">
        <f>IF(M39&gt;0, N39/M39, "")</f>
        <v/>
      </c>
    </row>
    <row r="40">
      <c r="A40" s="22" t="inlineStr">
        <is>
          <t>LOG-037</t>
        </is>
      </c>
      <c r="B40" s="22" t="inlineStr"/>
      <c r="C40" s="38" t="inlineStr"/>
      <c r="D40" s="38">
        <f>IFERROR(VLOOKUP(C40, '⚙️ Lookup Tables'!$A$4:$B$15, 2, FALSE), "")</f>
        <v/>
      </c>
      <c r="E40" s="38" t="inlineStr"/>
      <c r="F40" s="24" t="inlineStr"/>
      <c r="G40" s="22" t="inlineStr">
        <is>
          <t>No</t>
        </is>
      </c>
      <c r="H40" s="22" t="inlineStr">
        <is>
          <t>No</t>
        </is>
      </c>
      <c r="I40" s="38" t="inlineStr"/>
      <c r="J40" s="38" t="inlineStr"/>
      <c r="L40" t="n">
        <v>0.25</v>
      </c>
      <c r="O40" s="58">
        <f>IF(M40&gt;0, N40/M40, "")</f>
        <v/>
      </c>
    </row>
    <row r="41">
      <c r="A41" s="33" t="inlineStr">
        <is>
          <t>LOG-038</t>
        </is>
      </c>
      <c r="B41" s="33" t="inlineStr"/>
      <c r="C41" s="34" t="inlineStr"/>
      <c r="D41" s="34">
        <f>IFERROR(VLOOKUP(C41, '⚙️ Lookup Tables'!$A$4:$B$15, 2, FALSE), "")</f>
        <v/>
      </c>
      <c r="E41" s="34" t="inlineStr"/>
      <c r="F41" s="35" t="inlineStr"/>
      <c r="G41" s="33" t="inlineStr">
        <is>
          <t>No</t>
        </is>
      </c>
      <c r="H41" s="33" t="inlineStr">
        <is>
          <t>No</t>
        </is>
      </c>
      <c r="I41" s="34" t="inlineStr"/>
      <c r="J41" s="34" t="inlineStr"/>
      <c r="L41" t="n">
        <v>0.25</v>
      </c>
      <c r="O41" s="58">
        <f>IF(M41&gt;0, N41/M41, "")</f>
        <v/>
      </c>
    </row>
    <row r="42">
      <c r="A42" s="22" t="inlineStr">
        <is>
          <t>LOG-039</t>
        </is>
      </c>
      <c r="B42" s="22" t="inlineStr"/>
      <c r="C42" s="38" t="inlineStr"/>
      <c r="D42" s="38">
        <f>IFERROR(VLOOKUP(C42, '⚙️ Lookup Tables'!$A$4:$B$15, 2, FALSE), "")</f>
        <v/>
      </c>
      <c r="E42" s="38" t="inlineStr"/>
      <c r="F42" s="24" t="inlineStr"/>
      <c r="G42" s="22" t="inlineStr">
        <is>
          <t>No</t>
        </is>
      </c>
      <c r="H42" s="22" t="inlineStr">
        <is>
          <t>No</t>
        </is>
      </c>
      <c r="I42" s="38" t="inlineStr"/>
      <c r="J42" s="38" t="inlineStr"/>
      <c r="L42" t="n">
        <v>0.25</v>
      </c>
      <c r="O42" s="58">
        <f>IF(M42&gt;0, N42/M42, "")</f>
        <v/>
      </c>
    </row>
    <row r="43">
      <c r="A43" s="33" t="inlineStr">
        <is>
          <t>LOG-040</t>
        </is>
      </c>
      <c r="B43" s="33" t="inlineStr"/>
      <c r="C43" s="34" t="inlineStr"/>
      <c r="D43" s="34">
        <f>IFERROR(VLOOKUP(C43, '⚙️ Lookup Tables'!$A$4:$B$15, 2, FALSE), "")</f>
        <v/>
      </c>
      <c r="E43" s="34" t="inlineStr"/>
      <c r="F43" s="35" t="inlineStr"/>
      <c r="G43" s="33" t="inlineStr">
        <is>
          <t>No</t>
        </is>
      </c>
      <c r="H43" s="33" t="inlineStr">
        <is>
          <t>No</t>
        </is>
      </c>
      <c r="I43" s="34" t="inlineStr"/>
      <c r="J43" s="34" t="inlineStr"/>
      <c r="L43" t="n">
        <v>0.25</v>
      </c>
      <c r="O43" s="58">
        <f>IF(M43&gt;0, N43/M43, "")</f>
        <v/>
      </c>
    </row>
    <row r="44">
      <c r="A44" s="22" t="inlineStr">
        <is>
          <t>LOG-041</t>
        </is>
      </c>
      <c r="B44" s="22" t="inlineStr"/>
      <c r="C44" s="38" t="inlineStr"/>
      <c r="D44" s="38">
        <f>IFERROR(VLOOKUP(C44, '⚙️ Lookup Tables'!$A$4:$B$15, 2, FALSE), "")</f>
        <v/>
      </c>
      <c r="E44" s="38" t="inlineStr"/>
      <c r="F44" s="24" t="inlineStr"/>
      <c r="G44" s="22" t="inlineStr">
        <is>
          <t>No</t>
        </is>
      </c>
      <c r="H44" s="22" t="inlineStr">
        <is>
          <t>No</t>
        </is>
      </c>
      <c r="I44" s="38" t="inlineStr"/>
      <c r="J44" s="38" t="inlineStr"/>
      <c r="L44" t="n">
        <v>0.25</v>
      </c>
      <c r="O44" s="58">
        <f>IF(M44&gt;0, N44/M44, "")</f>
        <v/>
      </c>
    </row>
    <row r="45">
      <c r="A45" s="33" t="inlineStr">
        <is>
          <t>LOG-042</t>
        </is>
      </c>
      <c r="B45" s="33" t="inlineStr"/>
      <c r="C45" s="34" t="inlineStr"/>
      <c r="D45" s="34">
        <f>IFERROR(VLOOKUP(C45, '⚙️ Lookup Tables'!$A$4:$B$15, 2, FALSE), "")</f>
        <v/>
      </c>
      <c r="E45" s="34" t="inlineStr"/>
      <c r="F45" s="35" t="inlineStr"/>
      <c r="G45" s="33" t="inlineStr">
        <is>
          <t>No</t>
        </is>
      </c>
      <c r="H45" s="33" t="inlineStr">
        <is>
          <t>No</t>
        </is>
      </c>
      <c r="I45" s="34" t="inlineStr"/>
      <c r="J45" s="34" t="inlineStr"/>
      <c r="L45" t="n">
        <v>0.25</v>
      </c>
      <c r="O45" s="58">
        <f>IF(M45&gt;0, N45/M45, "")</f>
        <v/>
      </c>
    </row>
    <row r="46">
      <c r="A46" s="22" t="inlineStr">
        <is>
          <t>LOG-043</t>
        </is>
      </c>
      <c r="B46" s="22" t="inlineStr"/>
      <c r="C46" s="38" t="inlineStr"/>
      <c r="D46" s="38">
        <f>IFERROR(VLOOKUP(C46, '⚙️ Lookup Tables'!$A$4:$B$15, 2, FALSE), "")</f>
        <v/>
      </c>
      <c r="E46" s="38" t="inlineStr"/>
      <c r="F46" s="24" t="inlineStr"/>
      <c r="G46" s="22" t="inlineStr">
        <is>
          <t>No</t>
        </is>
      </c>
      <c r="H46" s="22" t="inlineStr">
        <is>
          <t>No</t>
        </is>
      </c>
      <c r="I46" s="38" t="inlineStr"/>
      <c r="J46" s="38" t="inlineStr"/>
      <c r="L46" t="n">
        <v>0.25</v>
      </c>
      <c r="O46" s="58">
        <f>IF(M46&gt;0, N46/M46, "")</f>
        <v/>
      </c>
    </row>
    <row r="47">
      <c r="A47" s="33" t="inlineStr">
        <is>
          <t>LOG-044</t>
        </is>
      </c>
      <c r="B47" s="33" t="inlineStr"/>
      <c r="C47" s="34" t="inlineStr"/>
      <c r="D47" s="34">
        <f>IFERROR(VLOOKUP(C47, '⚙️ Lookup Tables'!$A$4:$B$15, 2, FALSE), "")</f>
        <v/>
      </c>
      <c r="E47" s="34" t="inlineStr"/>
      <c r="F47" s="35" t="inlineStr"/>
      <c r="G47" s="33" t="inlineStr">
        <is>
          <t>No</t>
        </is>
      </c>
      <c r="H47" s="33" t="inlineStr">
        <is>
          <t>No</t>
        </is>
      </c>
      <c r="I47" s="34" t="inlineStr"/>
      <c r="J47" s="34" t="inlineStr"/>
      <c r="L47" t="n">
        <v>0.25</v>
      </c>
      <c r="O47" s="58">
        <f>IF(M47&gt;0, N47/M47, "")</f>
        <v/>
      </c>
    </row>
    <row r="48">
      <c r="A48" s="22" t="inlineStr">
        <is>
          <t>LOG-045</t>
        </is>
      </c>
      <c r="B48" s="22" t="inlineStr"/>
      <c r="C48" s="38" t="inlineStr"/>
      <c r="D48" s="38">
        <f>IFERROR(VLOOKUP(C48, '⚙️ Lookup Tables'!$A$4:$B$15, 2, FALSE), "")</f>
        <v/>
      </c>
      <c r="E48" s="38" t="inlineStr"/>
      <c r="F48" s="24" t="inlineStr"/>
      <c r="G48" s="22" t="inlineStr">
        <is>
          <t>No</t>
        </is>
      </c>
      <c r="H48" s="22" t="inlineStr">
        <is>
          <t>No</t>
        </is>
      </c>
      <c r="I48" s="38" t="inlineStr"/>
      <c r="J48" s="38" t="inlineStr"/>
      <c r="L48" t="n">
        <v>0.25</v>
      </c>
      <c r="O48" s="58">
        <f>IF(M48&gt;0, N48/M48, "")</f>
        <v/>
      </c>
    </row>
    <row r="49">
      <c r="A49" s="33" t="inlineStr">
        <is>
          <t>LOG-046</t>
        </is>
      </c>
      <c r="B49" s="33" t="inlineStr"/>
      <c r="C49" s="34" t="inlineStr"/>
      <c r="D49" s="34">
        <f>IFERROR(VLOOKUP(C49, '⚙️ Lookup Tables'!$A$4:$B$15, 2, FALSE), "")</f>
        <v/>
      </c>
      <c r="E49" s="34" t="inlineStr"/>
      <c r="F49" s="35" t="inlineStr"/>
      <c r="G49" s="33" t="inlineStr">
        <is>
          <t>No</t>
        </is>
      </c>
      <c r="H49" s="33" t="inlineStr">
        <is>
          <t>No</t>
        </is>
      </c>
      <c r="I49" s="34" t="inlineStr"/>
      <c r="J49" s="34" t="inlineStr"/>
      <c r="L49" t="n">
        <v>0.25</v>
      </c>
      <c r="O49" s="58">
        <f>IF(M49&gt;0, N49/M49, "")</f>
        <v/>
      </c>
    </row>
    <row r="50">
      <c r="A50" s="22" t="inlineStr">
        <is>
          <t>LOG-047</t>
        </is>
      </c>
      <c r="B50" s="22" t="inlineStr"/>
      <c r="C50" s="38" t="inlineStr"/>
      <c r="D50" s="38">
        <f>IFERROR(VLOOKUP(C50, '⚙️ Lookup Tables'!$A$4:$B$15, 2, FALSE), "")</f>
        <v/>
      </c>
      <c r="E50" s="38" t="inlineStr"/>
      <c r="F50" s="24" t="inlineStr"/>
      <c r="G50" s="22" t="inlineStr">
        <is>
          <t>No</t>
        </is>
      </c>
      <c r="H50" s="22" t="inlineStr">
        <is>
          <t>No</t>
        </is>
      </c>
      <c r="I50" s="38" t="inlineStr"/>
      <c r="J50" s="38" t="inlineStr"/>
      <c r="L50" t="n">
        <v>0.25</v>
      </c>
      <c r="O50" s="58">
        <f>IF(M50&gt;0, N50/M50, "")</f>
        <v/>
      </c>
    </row>
    <row r="51">
      <c r="A51" s="33" t="inlineStr">
        <is>
          <t>LOG-048</t>
        </is>
      </c>
      <c r="B51" s="33" t="inlineStr"/>
      <c r="C51" s="34" t="inlineStr"/>
      <c r="D51" s="34">
        <f>IFERROR(VLOOKUP(C51, '⚙️ Lookup Tables'!$A$4:$B$15, 2, FALSE), "")</f>
        <v/>
      </c>
      <c r="E51" s="34" t="inlineStr"/>
      <c r="F51" s="35" t="inlineStr"/>
      <c r="G51" s="33" t="inlineStr">
        <is>
          <t>No</t>
        </is>
      </c>
      <c r="H51" s="33" t="inlineStr">
        <is>
          <t>No</t>
        </is>
      </c>
      <c r="I51" s="34" t="inlineStr"/>
      <c r="J51" s="34" t="inlineStr"/>
      <c r="L51" t="n">
        <v>0.25</v>
      </c>
      <c r="O51" s="58">
        <f>IF(M51&gt;0, N51/M51, "")</f>
        <v/>
      </c>
    </row>
    <row r="52">
      <c r="A52" s="22" t="inlineStr">
        <is>
          <t>LOG-049</t>
        </is>
      </c>
      <c r="B52" s="22" t="inlineStr"/>
      <c r="C52" s="38" t="inlineStr"/>
      <c r="D52" s="38">
        <f>IFERROR(VLOOKUP(C52, '⚙️ Lookup Tables'!$A$4:$B$15, 2, FALSE), "")</f>
        <v/>
      </c>
      <c r="E52" s="38" t="inlineStr"/>
      <c r="F52" s="24" t="inlineStr"/>
      <c r="G52" s="22" t="inlineStr">
        <is>
          <t>No</t>
        </is>
      </c>
      <c r="H52" s="22" t="inlineStr">
        <is>
          <t>No</t>
        </is>
      </c>
      <c r="I52" s="38" t="inlineStr"/>
      <c r="J52" s="38" t="inlineStr"/>
      <c r="L52" t="n">
        <v>0.25</v>
      </c>
      <c r="O52" s="58">
        <f>IF(M52&gt;0, N52/M52, "")</f>
        <v/>
      </c>
    </row>
    <row r="53">
      <c r="A53" s="33" t="inlineStr">
        <is>
          <t>LOG-050</t>
        </is>
      </c>
      <c r="B53" s="33" t="inlineStr"/>
      <c r="C53" s="34" t="inlineStr"/>
      <c r="D53" s="34">
        <f>IFERROR(VLOOKUP(C53, '⚙️ Lookup Tables'!$A$4:$B$15, 2, FALSE), "")</f>
        <v/>
      </c>
      <c r="E53" s="34" t="inlineStr"/>
      <c r="F53" s="35" t="inlineStr"/>
      <c r="G53" s="33" t="inlineStr">
        <is>
          <t>No</t>
        </is>
      </c>
      <c r="H53" s="33" t="inlineStr">
        <is>
          <t>No</t>
        </is>
      </c>
      <c r="I53" s="34" t="inlineStr"/>
      <c r="J53" s="34" t="inlineStr"/>
      <c r="L53" t="n">
        <v>0.25</v>
      </c>
      <c r="O53" s="58">
        <f>IF(M53&gt;0, N53/M53, "")</f>
        <v/>
      </c>
    </row>
    <row r="54">
      <c r="A54" s="22" t="inlineStr">
        <is>
          <t>LOG-051</t>
        </is>
      </c>
      <c r="B54" s="22" t="inlineStr"/>
      <c r="C54" s="38" t="inlineStr"/>
      <c r="D54" s="38">
        <f>IFERROR(VLOOKUP(C54, '⚙️ Lookup Tables'!$A$4:$B$15, 2, FALSE), "")</f>
        <v/>
      </c>
      <c r="E54" s="38" t="inlineStr"/>
      <c r="F54" s="24" t="inlineStr"/>
      <c r="G54" s="22" t="inlineStr">
        <is>
          <t>No</t>
        </is>
      </c>
      <c r="H54" s="22" t="inlineStr">
        <is>
          <t>No</t>
        </is>
      </c>
      <c r="I54" s="38" t="inlineStr"/>
      <c r="J54" s="38" t="inlineStr"/>
      <c r="L54" t="n">
        <v>0.25</v>
      </c>
      <c r="O54" s="58">
        <f>IF(M54&gt;0, N54/M54, "")</f>
        <v/>
      </c>
    </row>
    <row r="55">
      <c r="A55" s="33" t="inlineStr">
        <is>
          <t>LOG-052</t>
        </is>
      </c>
      <c r="B55" s="33" t="inlineStr"/>
      <c r="C55" s="34" t="inlineStr"/>
      <c r="D55" s="34">
        <f>IFERROR(VLOOKUP(C55, '⚙️ Lookup Tables'!$A$4:$B$15, 2, FALSE), "")</f>
        <v/>
      </c>
      <c r="E55" s="34" t="inlineStr"/>
      <c r="F55" s="35" t="inlineStr"/>
      <c r="G55" s="33" t="inlineStr">
        <is>
          <t>No</t>
        </is>
      </c>
      <c r="H55" s="33" t="inlineStr">
        <is>
          <t>No</t>
        </is>
      </c>
      <c r="I55" s="34" t="inlineStr"/>
      <c r="J55" s="34" t="inlineStr"/>
      <c r="L55" t="n">
        <v>0.25</v>
      </c>
      <c r="O55" s="58">
        <f>IF(M55&gt;0, N55/M55, "")</f>
        <v/>
      </c>
    </row>
    <row r="56">
      <c r="A56" s="22" t="inlineStr">
        <is>
          <t>LOG-053</t>
        </is>
      </c>
      <c r="B56" s="22" t="inlineStr"/>
      <c r="C56" s="38" t="inlineStr"/>
      <c r="D56" s="38">
        <f>IFERROR(VLOOKUP(C56, '⚙️ Lookup Tables'!$A$4:$B$15, 2, FALSE), "")</f>
        <v/>
      </c>
      <c r="E56" s="38" t="inlineStr"/>
      <c r="F56" s="24" t="inlineStr"/>
      <c r="G56" s="22" t="inlineStr">
        <is>
          <t>No</t>
        </is>
      </c>
      <c r="H56" s="22" t="inlineStr">
        <is>
          <t>No</t>
        </is>
      </c>
      <c r="I56" s="38" t="inlineStr"/>
      <c r="J56" s="38" t="inlineStr"/>
      <c r="L56" t="n">
        <v>0.25</v>
      </c>
      <c r="O56" s="58">
        <f>IF(M56&gt;0, N56/M56, "")</f>
        <v/>
      </c>
    </row>
    <row r="57">
      <c r="A57" s="33" t="inlineStr">
        <is>
          <t>LOG-054</t>
        </is>
      </c>
      <c r="B57" s="33" t="inlineStr"/>
      <c r="C57" s="34" t="inlineStr"/>
      <c r="D57" s="34">
        <f>IFERROR(VLOOKUP(C57, '⚙️ Lookup Tables'!$A$4:$B$15, 2, FALSE), "")</f>
        <v/>
      </c>
      <c r="E57" s="34" t="inlineStr"/>
      <c r="F57" s="35" t="inlineStr"/>
      <c r="G57" s="33" t="inlineStr">
        <is>
          <t>No</t>
        </is>
      </c>
      <c r="H57" s="33" t="inlineStr">
        <is>
          <t>No</t>
        </is>
      </c>
      <c r="I57" s="34" t="inlineStr"/>
      <c r="J57" s="34" t="inlineStr"/>
      <c r="L57" t="n">
        <v>0.25</v>
      </c>
      <c r="O57" s="58">
        <f>IF(M57&gt;0, N57/M57, "")</f>
        <v/>
      </c>
    </row>
    <row r="58">
      <c r="A58" s="22" t="inlineStr">
        <is>
          <t>LOG-055</t>
        </is>
      </c>
      <c r="B58" s="22" t="inlineStr"/>
      <c r="C58" s="38" t="inlineStr"/>
      <c r="D58" s="38">
        <f>IFERROR(VLOOKUP(C58, '⚙️ Lookup Tables'!$A$4:$B$15, 2, FALSE), "")</f>
        <v/>
      </c>
      <c r="E58" s="38" t="inlineStr"/>
      <c r="F58" s="24" t="inlineStr"/>
      <c r="G58" s="22" t="inlineStr">
        <is>
          <t>No</t>
        </is>
      </c>
      <c r="H58" s="22" t="inlineStr">
        <is>
          <t>No</t>
        </is>
      </c>
      <c r="I58" s="38" t="inlineStr"/>
      <c r="J58" s="38" t="inlineStr"/>
      <c r="L58" t="n">
        <v>0.25</v>
      </c>
      <c r="O58" s="58">
        <f>IF(M58&gt;0, N58/M58, "")</f>
        <v/>
      </c>
    </row>
    <row r="59">
      <c r="A59" s="33" t="inlineStr">
        <is>
          <t>LOG-056</t>
        </is>
      </c>
      <c r="B59" s="33" t="inlineStr"/>
      <c r="C59" s="34" t="inlineStr"/>
      <c r="D59" s="34">
        <f>IFERROR(VLOOKUP(C59, '⚙️ Lookup Tables'!$A$4:$B$15, 2, FALSE), "")</f>
        <v/>
      </c>
      <c r="E59" s="34" t="inlineStr"/>
      <c r="F59" s="35" t="inlineStr"/>
      <c r="G59" s="33" t="inlineStr">
        <is>
          <t>No</t>
        </is>
      </c>
      <c r="H59" s="33" t="inlineStr">
        <is>
          <t>No</t>
        </is>
      </c>
      <c r="I59" s="34" t="inlineStr"/>
      <c r="J59" s="34" t="inlineStr"/>
      <c r="L59" t="n">
        <v>0.25</v>
      </c>
      <c r="O59" s="58">
        <f>IF(M59&gt;0, N59/M59, "")</f>
        <v/>
      </c>
    </row>
    <row r="60">
      <c r="A60" s="22" t="inlineStr">
        <is>
          <t>LOG-057</t>
        </is>
      </c>
      <c r="B60" s="22" t="inlineStr"/>
      <c r="C60" s="38" t="inlineStr"/>
      <c r="D60" s="38">
        <f>IFERROR(VLOOKUP(C60, '⚙️ Lookup Tables'!$A$4:$B$15, 2, FALSE), "")</f>
        <v/>
      </c>
      <c r="E60" s="38" t="inlineStr"/>
      <c r="F60" s="24" t="inlineStr"/>
      <c r="G60" s="22" t="inlineStr">
        <is>
          <t>No</t>
        </is>
      </c>
      <c r="H60" s="22" t="inlineStr">
        <is>
          <t>No</t>
        </is>
      </c>
      <c r="I60" s="38" t="inlineStr"/>
      <c r="J60" s="38" t="inlineStr"/>
      <c r="L60" t="n">
        <v>0.25</v>
      </c>
      <c r="O60" s="58">
        <f>IF(M60&gt;0, N60/M60, "")</f>
        <v/>
      </c>
    </row>
    <row r="61">
      <c r="A61" s="33" t="inlineStr">
        <is>
          <t>LOG-058</t>
        </is>
      </c>
      <c r="B61" s="33" t="inlineStr"/>
      <c r="C61" s="34" t="inlineStr"/>
      <c r="D61" s="34">
        <f>IFERROR(VLOOKUP(C61, '⚙️ Lookup Tables'!$A$4:$B$15, 2, FALSE), "")</f>
        <v/>
      </c>
      <c r="E61" s="34" t="inlineStr"/>
      <c r="F61" s="35" t="inlineStr"/>
      <c r="G61" s="33" t="inlineStr">
        <is>
          <t>No</t>
        </is>
      </c>
      <c r="H61" s="33" t="inlineStr">
        <is>
          <t>No</t>
        </is>
      </c>
      <c r="I61" s="34" t="inlineStr"/>
      <c r="J61" s="34" t="inlineStr"/>
      <c r="L61" t="n">
        <v>0.25</v>
      </c>
      <c r="O61" s="58">
        <f>IF(M61&gt;0, N61/M61, "")</f>
        <v/>
      </c>
    </row>
    <row r="62">
      <c r="A62" s="22" t="inlineStr">
        <is>
          <t>LOG-059</t>
        </is>
      </c>
      <c r="B62" s="22" t="inlineStr"/>
      <c r="C62" s="38" t="inlineStr"/>
      <c r="D62" s="38">
        <f>IFERROR(VLOOKUP(C62, '⚙️ Lookup Tables'!$A$4:$B$15, 2, FALSE), "")</f>
        <v/>
      </c>
      <c r="E62" s="38" t="inlineStr"/>
      <c r="F62" s="24" t="inlineStr"/>
      <c r="G62" s="22" t="inlineStr">
        <is>
          <t>No</t>
        </is>
      </c>
      <c r="H62" s="22" t="inlineStr">
        <is>
          <t>No</t>
        </is>
      </c>
      <c r="I62" s="38" t="inlineStr"/>
      <c r="J62" s="38" t="inlineStr"/>
      <c r="L62" t="n">
        <v>0.25</v>
      </c>
      <c r="O62" s="58">
        <f>IF(M62&gt;0, N62/M62, "")</f>
        <v/>
      </c>
    </row>
    <row r="63">
      <c r="A63" s="33" t="inlineStr">
        <is>
          <t>LOG-060</t>
        </is>
      </c>
      <c r="B63" s="33" t="inlineStr"/>
      <c r="C63" s="34" t="inlineStr"/>
      <c r="D63" s="34">
        <f>IFERROR(VLOOKUP(C63, '⚙️ Lookup Tables'!$A$4:$B$15, 2, FALSE), "")</f>
        <v/>
      </c>
      <c r="E63" s="34" t="inlineStr"/>
      <c r="F63" s="35" t="inlineStr"/>
      <c r="G63" s="33" t="inlineStr">
        <is>
          <t>No</t>
        </is>
      </c>
      <c r="H63" s="33" t="inlineStr">
        <is>
          <t>No</t>
        </is>
      </c>
      <c r="I63" s="34" t="inlineStr"/>
      <c r="J63" s="34" t="inlineStr"/>
      <c r="L63" t="n">
        <v>0.25</v>
      </c>
      <c r="O63" s="58">
        <f>IF(M63&gt;0, N63/M63, "")</f>
        <v/>
      </c>
    </row>
    <row r="64">
      <c r="A64" s="22" t="inlineStr">
        <is>
          <t>LOG-061</t>
        </is>
      </c>
      <c r="B64" s="22" t="inlineStr"/>
      <c r="C64" s="38" t="inlineStr"/>
      <c r="D64" s="38">
        <f>IFERROR(VLOOKUP(C64, '⚙️ Lookup Tables'!$A$4:$B$15, 2, FALSE), "")</f>
        <v/>
      </c>
      <c r="E64" s="38" t="inlineStr"/>
      <c r="F64" s="24" t="inlineStr"/>
      <c r="G64" s="22" t="inlineStr">
        <is>
          <t>No</t>
        </is>
      </c>
      <c r="H64" s="22" t="inlineStr">
        <is>
          <t>No</t>
        </is>
      </c>
      <c r="I64" s="38" t="inlineStr"/>
      <c r="J64" s="38" t="inlineStr"/>
      <c r="L64" t="n">
        <v>0.25</v>
      </c>
      <c r="O64" s="58">
        <f>IF(M64&gt;0, N64/M64, "")</f>
        <v/>
      </c>
    </row>
    <row r="65">
      <c r="A65" s="33" t="inlineStr">
        <is>
          <t>LOG-062</t>
        </is>
      </c>
      <c r="B65" s="33" t="inlineStr"/>
      <c r="C65" s="34" t="inlineStr"/>
      <c r="D65" s="34">
        <f>IFERROR(VLOOKUP(C65, '⚙️ Lookup Tables'!$A$4:$B$15, 2, FALSE), "")</f>
        <v/>
      </c>
      <c r="E65" s="34" t="inlineStr"/>
      <c r="F65" s="35" t="inlineStr"/>
      <c r="G65" s="33" t="inlineStr">
        <is>
          <t>No</t>
        </is>
      </c>
      <c r="H65" s="33" t="inlineStr">
        <is>
          <t>No</t>
        </is>
      </c>
      <c r="I65" s="34" t="inlineStr"/>
      <c r="J65" s="34" t="inlineStr"/>
      <c r="L65" t="n">
        <v>0.25</v>
      </c>
      <c r="O65" s="58">
        <f>IF(M65&gt;0, N65/M65, "")</f>
        <v/>
      </c>
    </row>
    <row r="66">
      <c r="A66" s="22" t="inlineStr">
        <is>
          <t>LOG-063</t>
        </is>
      </c>
      <c r="B66" s="22" t="inlineStr"/>
      <c r="C66" s="38" t="inlineStr"/>
      <c r="D66" s="38">
        <f>IFERROR(VLOOKUP(C66, '⚙️ Lookup Tables'!$A$4:$B$15, 2, FALSE), "")</f>
        <v/>
      </c>
      <c r="E66" s="38" t="inlineStr"/>
      <c r="F66" s="24" t="inlineStr"/>
      <c r="G66" s="22" t="inlineStr">
        <is>
          <t>No</t>
        </is>
      </c>
      <c r="H66" s="22" t="inlineStr">
        <is>
          <t>No</t>
        </is>
      </c>
      <c r="I66" s="38" t="inlineStr"/>
      <c r="J66" s="38" t="inlineStr"/>
      <c r="L66" t="n">
        <v>0.25</v>
      </c>
      <c r="O66" s="58">
        <f>IF(M66&gt;0, N66/M66, "")</f>
        <v/>
      </c>
    </row>
    <row r="67">
      <c r="A67" s="33" t="inlineStr">
        <is>
          <t>LOG-064</t>
        </is>
      </c>
      <c r="B67" s="33" t="inlineStr"/>
      <c r="C67" s="34" t="inlineStr"/>
      <c r="D67" s="34">
        <f>IFERROR(VLOOKUP(C67, '⚙️ Lookup Tables'!$A$4:$B$15, 2, FALSE), "")</f>
        <v/>
      </c>
      <c r="E67" s="34" t="inlineStr"/>
      <c r="F67" s="35" t="inlineStr"/>
      <c r="G67" s="33" t="inlineStr">
        <is>
          <t>No</t>
        </is>
      </c>
      <c r="H67" s="33" t="inlineStr">
        <is>
          <t>No</t>
        </is>
      </c>
      <c r="I67" s="34" t="inlineStr"/>
      <c r="J67" s="34" t="inlineStr"/>
      <c r="L67" t="n">
        <v>0.25</v>
      </c>
      <c r="O67" s="58">
        <f>IF(M67&gt;0, N67/M67, "")</f>
        <v/>
      </c>
    </row>
    <row r="68">
      <c r="A68" s="22" t="inlineStr">
        <is>
          <t>LOG-065</t>
        </is>
      </c>
      <c r="B68" s="22" t="inlineStr"/>
      <c r="C68" s="38" t="inlineStr"/>
      <c r="D68" s="38">
        <f>IFERROR(VLOOKUP(C68, '⚙️ Lookup Tables'!$A$4:$B$15, 2, FALSE), "")</f>
        <v/>
      </c>
      <c r="E68" s="38" t="inlineStr"/>
      <c r="F68" s="24" t="inlineStr"/>
      <c r="G68" s="22" t="inlineStr">
        <is>
          <t>No</t>
        </is>
      </c>
      <c r="H68" s="22" t="inlineStr">
        <is>
          <t>No</t>
        </is>
      </c>
      <c r="I68" s="38" t="inlineStr"/>
      <c r="J68" s="38" t="inlineStr"/>
      <c r="L68" t="n">
        <v>0.25</v>
      </c>
      <c r="O68" s="58">
        <f>IF(M68&gt;0, N68/M68, "")</f>
        <v/>
      </c>
    </row>
    <row r="69">
      <c r="A69" s="33" t="inlineStr">
        <is>
          <t>LOG-066</t>
        </is>
      </c>
      <c r="B69" s="33" t="inlineStr"/>
      <c r="C69" s="34" t="inlineStr"/>
      <c r="D69" s="34">
        <f>IFERROR(VLOOKUP(C69, '⚙️ Lookup Tables'!$A$4:$B$15, 2, FALSE), "")</f>
        <v/>
      </c>
      <c r="E69" s="34" t="inlineStr"/>
      <c r="F69" s="35" t="inlineStr"/>
      <c r="G69" s="33" t="inlineStr">
        <is>
          <t>No</t>
        </is>
      </c>
      <c r="H69" s="33" t="inlineStr">
        <is>
          <t>No</t>
        </is>
      </c>
      <c r="I69" s="34" t="inlineStr"/>
      <c r="J69" s="34" t="inlineStr"/>
      <c r="L69" t="n">
        <v>0.25</v>
      </c>
      <c r="O69" s="58">
        <f>IF(M69&gt;0, N69/M69, "")</f>
        <v/>
      </c>
    </row>
    <row r="70">
      <c r="A70" s="22" t="inlineStr">
        <is>
          <t>LOG-067</t>
        </is>
      </c>
      <c r="B70" s="22" t="inlineStr"/>
      <c r="C70" s="38" t="inlineStr"/>
      <c r="D70" s="38">
        <f>IFERROR(VLOOKUP(C70, '⚙️ Lookup Tables'!$A$4:$B$15, 2, FALSE), "")</f>
        <v/>
      </c>
      <c r="E70" s="38" t="inlineStr"/>
      <c r="F70" s="24" t="inlineStr"/>
      <c r="G70" s="22" t="inlineStr">
        <is>
          <t>No</t>
        </is>
      </c>
      <c r="H70" s="22" t="inlineStr">
        <is>
          <t>No</t>
        </is>
      </c>
      <c r="I70" s="38" t="inlineStr"/>
      <c r="J70" s="38" t="inlineStr"/>
      <c r="L70" t="n">
        <v>0.25</v>
      </c>
      <c r="O70" s="58">
        <f>IF(M70&gt;0, N70/M70, "")</f>
        <v/>
      </c>
    </row>
    <row r="71">
      <c r="A71" s="33" t="inlineStr">
        <is>
          <t>LOG-068</t>
        </is>
      </c>
      <c r="B71" s="33" t="inlineStr"/>
      <c r="C71" s="34" t="inlineStr"/>
      <c r="D71" s="34">
        <f>IFERROR(VLOOKUP(C71, '⚙️ Lookup Tables'!$A$4:$B$15, 2, FALSE), "")</f>
        <v/>
      </c>
      <c r="E71" s="34" t="inlineStr"/>
      <c r="F71" s="35" t="inlineStr"/>
      <c r="G71" s="33" t="inlineStr">
        <is>
          <t>No</t>
        </is>
      </c>
      <c r="H71" s="33" t="inlineStr">
        <is>
          <t>No</t>
        </is>
      </c>
      <c r="I71" s="34" t="inlineStr"/>
      <c r="J71" s="34" t="inlineStr"/>
      <c r="L71" t="n">
        <v>0.25</v>
      </c>
      <c r="O71" s="58">
        <f>IF(M71&gt;0, N71/M71, "")</f>
        <v/>
      </c>
    </row>
    <row r="72">
      <c r="A72" s="22" t="inlineStr">
        <is>
          <t>LOG-069</t>
        </is>
      </c>
      <c r="B72" s="22" t="inlineStr"/>
      <c r="C72" s="38" t="inlineStr"/>
      <c r="D72" s="38">
        <f>IFERROR(VLOOKUP(C72, '⚙️ Lookup Tables'!$A$4:$B$15, 2, FALSE), "")</f>
        <v/>
      </c>
      <c r="E72" s="38" t="inlineStr"/>
      <c r="F72" s="24" t="inlineStr"/>
      <c r="G72" s="22" t="inlineStr">
        <is>
          <t>No</t>
        </is>
      </c>
      <c r="H72" s="22" t="inlineStr">
        <is>
          <t>No</t>
        </is>
      </c>
      <c r="I72" s="38" t="inlineStr"/>
      <c r="J72" s="38" t="inlineStr"/>
      <c r="L72" t="n">
        <v>0.25</v>
      </c>
      <c r="O72" s="58">
        <f>IF(M72&gt;0, N72/M72, "")</f>
        <v/>
      </c>
    </row>
    <row r="73">
      <c r="A73" s="33" t="inlineStr">
        <is>
          <t>LOG-070</t>
        </is>
      </c>
      <c r="B73" s="33" t="inlineStr"/>
      <c r="C73" s="34" t="inlineStr"/>
      <c r="D73" s="34">
        <f>IFERROR(VLOOKUP(C73, '⚙️ Lookup Tables'!$A$4:$B$15, 2, FALSE), "")</f>
        <v/>
      </c>
      <c r="E73" s="34" t="inlineStr"/>
      <c r="F73" s="35" t="inlineStr"/>
      <c r="G73" s="33" t="inlineStr">
        <is>
          <t>No</t>
        </is>
      </c>
      <c r="H73" s="33" t="inlineStr">
        <is>
          <t>No</t>
        </is>
      </c>
      <c r="I73" s="34" t="inlineStr"/>
      <c r="J73" s="34" t="inlineStr"/>
      <c r="L73" t="n">
        <v>0.25</v>
      </c>
      <c r="O73" s="58">
        <f>IF(M73&gt;0, N73/M73, "")</f>
        <v/>
      </c>
    </row>
    <row r="74">
      <c r="A74" s="22" t="inlineStr">
        <is>
          <t>LOG-071</t>
        </is>
      </c>
      <c r="B74" s="22" t="inlineStr"/>
      <c r="C74" s="38" t="inlineStr"/>
      <c r="D74" s="38">
        <f>IFERROR(VLOOKUP(C74, '⚙️ Lookup Tables'!$A$4:$B$15, 2, FALSE), "")</f>
        <v/>
      </c>
      <c r="E74" s="38" t="inlineStr"/>
      <c r="F74" s="24" t="inlineStr"/>
      <c r="G74" s="22" t="inlineStr">
        <is>
          <t>No</t>
        </is>
      </c>
      <c r="H74" s="22" t="inlineStr">
        <is>
          <t>No</t>
        </is>
      </c>
      <c r="I74" s="38" t="inlineStr"/>
      <c r="J74" s="38" t="inlineStr"/>
      <c r="L74" t="n">
        <v>0.25</v>
      </c>
      <c r="O74" s="58">
        <f>IF(M74&gt;0, N74/M74, "")</f>
        <v/>
      </c>
    </row>
    <row r="75">
      <c r="A75" s="33" t="inlineStr">
        <is>
          <t>LOG-072</t>
        </is>
      </c>
      <c r="B75" s="33" t="inlineStr"/>
      <c r="C75" s="34" t="inlineStr"/>
      <c r="D75" s="34">
        <f>IFERROR(VLOOKUP(C75, '⚙️ Lookup Tables'!$A$4:$B$15, 2, FALSE), "")</f>
        <v/>
      </c>
      <c r="E75" s="34" t="inlineStr"/>
      <c r="F75" s="35" t="inlineStr"/>
      <c r="G75" s="33" t="inlineStr">
        <is>
          <t>No</t>
        </is>
      </c>
      <c r="H75" s="33" t="inlineStr">
        <is>
          <t>No</t>
        </is>
      </c>
      <c r="I75" s="34" t="inlineStr"/>
      <c r="J75" s="34" t="inlineStr"/>
      <c r="L75" t="n">
        <v>0.25</v>
      </c>
      <c r="O75" s="58">
        <f>IF(M75&gt;0, N75/M75, "")</f>
        <v/>
      </c>
    </row>
    <row r="76">
      <c r="A76" s="22" t="inlineStr">
        <is>
          <t>LOG-073</t>
        </is>
      </c>
      <c r="B76" s="22" t="inlineStr"/>
      <c r="C76" s="38" t="inlineStr"/>
      <c r="D76" s="38">
        <f>IFERROR(VLOOKUP(C76, '⚙️ Lookup Tables'!$A$4:$B$15, 2, FALSE), "")</f>
        <v/>
      </c>
      <c r="E76" s="38" t="inlineStr"/>
      <c r="F76" s="24" t="inlineStr"/>
      <c r="G76" s="22" t="inlineStr">
        <is>
          <t>No</t>
        </is>
      </c>
      <c r="H76" s="22" t="inlineStr">
        <is>
          <t>No</t>
        </is>
      </c>
      <c r="I76" s="38" t="inlineStr"/>
      <c r="J76" s="38" t="inlineStr"/>
      <c r="L76" t="n">
        <v>0.25</v>
      </c>
      <c r="O76" s="58">
        <f>IF(M76&gt;0, N76/M76, "")</f>
        <v/>
      </c>
    </row>
    <row r="77">
      <c r="A77" s="33" t="inlineStr">
        <is>
          <t>LOG-074</t>
        </is>
      </c>
      <c r="B77" s="33" t="inlineStr"/>
      <c r="C77" s="34" t="inlineStr"/>
      <c r="D77" s="34">
        <f>IFERROR(VLOOKUP(C77, '⚙️ Lookup Tables'!$A$4:$B$15, 2, FALSE), "")</f>
        <v/>
      </c>
      <c r="E77" s="34" t="inlineStr"/>
      <c r="F77" s="35" t="inlineStr"/>
      <c r="G77" s="33" t="inlineStr">
        <is>
          <t>No</t>
        </is>
      </c>
      <c r="H77" s="33" t="inlineStr">
        <is>
          <t>No</t>
        </is>
      </c>
      <c r="I77" s="34" t="inlineStr"/>
      <c r="J77" s="34" t="inlineStr"/>
      <c r="L77" t="n">
        <v>0.25</v>
      </c>
      <c r="O77" s="58">
        <f>IF(M77&gt;0, N77/M77, "")</f>
        <v/>
      </c>
    </row>
    <row r="78">
      <c r="A78" s="22" t="inlineStr">
        <is>
          <t>LOG-075</t>
        </is>
      </c>
      <c r="B78" s="22" t="inlineStr"/>
      <c r="C78" s="38" t="inlineStr"/>
      <c r="D78" s="38">
        <f>IFERROR(VLOOKUP(C78, '⚙️ Lookup Tables'!$A$4:$B$15, 2, FALSE), "")</f>
        <v/>
      </c>
      <c r="E78" s="38" t="inlineStr"/>
      <c r="F78" s="24" t="inlineStr"/>
      <c r="G78" s="22" t="inlineStr">
        <is>
          <t>No</t>
        </is>
      </c>
      <c r="H78" s="22" t="inlineStr">
        <is>
          <t>No</t>
        </is>
      </c>
      <c r="I78" s="38" t="inlineStr"/>
      <c r="J78" s="38" t="inlineStr"/>
      <c r="L78" t="n">
        <v>0.25</v>
      </c>
      <c r="O78" s="58">
        <f>IF(M78&gt;0, N78/M78, "")</f>
        <v/>
      </c>
    </row>
    <row r="79">
      <c r="A79" s="33" t="inlineStr">
        <is>
          <t>LOG-076</t>
        </is>
      </c>
      <c r="B79" s="33" t="inlineStr"/>
      <c r="C79" s="34" t="inlineStr"/>
      <c r="D79" s="34">
        <f>IFERROR(VLOOKUP(C79, '⚙️ Lookup Tables'!$A$4:$B$15, 2, FALSE), "")</f>
        <v/>
      </c>
      <c r="E79" s="34" t="inlineStr"/>
      <c r="F79" s="35" t="inlineStr"/>
      <c r="G79" s="33" t="inlineStr">
        <is>
          <t>No</t>
        </is>
      </c>
      <c r="H79" s="33" t="inlineStr">
        <is>
          <t>No</t>
        </is>
      </c>
      <c r="I79" s="34" t="inlineStr"/>
      <c r="J79" s="34" t="inlineStr"/>
      <c r="L79" t="n">
        <v>0.25</v>
      </c>
      <c r="O79" s="58">
        <f>IF(M79&gt;0, N79/M79, "")</f>
        <v/>
      </c>
    </row>
    <row r="80">
      <c r="A80" s="22" t="inlineStr">
        <is>
          <t>LOG-077</t>
        </is>
      </c>
      <c r="B80" s="22" t="inlineStr"/>
      <c r="C80" s="38" t="inlineStr"/>
      <c r="D80" s="38">
        <f>IFERROR(VLOOKUP(C80, '⚙️ Lookup Tables'!$A$4:$B$15, 2, FALSE), "")</f>
        <v/>
      </c>
      <c r="E80" s="38" t="inlineStr"/>
      <c r="F80" s="24" t="inlineStr"/>
      <c r="G80" s="22" t="inlineStr">
        <is>
          <t>No</t>
        </is>
      </c>
      <c r="H80" s="22" t="inlineStr">
        <is>
          <t>No</t>
        </is>
      </c>
      <c r="I80" s="38" t="inlineStr"/>
      <c r="J80" s="38" t="inlineStr"/>
      <c r="L80" t="n">
        <v>0.25</v>
      </c>
      <c r="O80" s="58">
        <f>IF(M80&gt;0, N80/M80, "")</f>
        <v/>
      </c>
    </row>
    <row r="81">
      <c r="A81" s="33" t="inlineStr">
        <is>
          <t>LOG-078</t>
        </is>
      </c>
      <c r="B81" s="33" t="inlineStr"/>
      <c r="C81" s="34" t="inlineStr"/>
      <c r="D81" s="34">
        <f>IFERROR(VLOOKUP(C81, '⚙️ Lookup Tables'!$A$4:$B$15, 2, FALSE), "")</f>
        <v/>
      </c>
      <c r="E81" s="34" t="inlineStr"/>
      <c r="F81" s="35" t="inlineStr"/>
      <c r="G81" s="33" t="inlineStr">
        <is>
          <t>No</t>
        </is>
      </c>
      <c r="H81" s="33" t="inlineStr">
        <is>
          <t>No</t>
        </is>
      </c>
      <c r="I81" s="34" t="inlineStr"/>
      <c r="J81" s="34" t="inlineStr"/>
      <c r="L81" t="n">
        <v>0.25</v>
      </c>
      <c r="O81" s="58">
        <f>IF(M81&gt;0, N81/M81, "")</f>
        <v/>
      </c>
    </row>
    <row r="82">
      <c r="A82" s="22" t="inlineStr">
        <is>
          <t>LOG-079</t>
        </is>
      </c>
      <c r="B82" s="22" t="inlineStr"/>
      <c r="C82" s="38" t="inlineStr"/>
      <c r="D82" s="38">
        <f>IFERROR(VLOOKUP(C82, '⚙️ Lookup Tables'!$A$4:$B$15, 2, FALSE), "")</f>
        <v/>
      </c>
      <c r="E82" s="38" t="inlineStr"/>
      <c r="F82" s="24" t="inlineStr"/>
      <c r="G82" s="22" t="inlineStr">
        <is>
          <t>No</t>
        </is>
      </c>
      <c r="H82" s="22" t="inlineStr">
        <is>
          <t>No</t>
        </is>
      </c>
      <c r="I82" s="38" t="inlineStr"/>
      <c r="J82" s="38" t="inlineStr"/>
      <c r="L82" t="n">
        <v>0.25</v>
      </c>
      <c r="O82" s="58">
        <f>IF(M82&gt;0, N82/M82, "")</f>
        <v/>
      </c>
    </row>
    <row r="83">
      <c r="A83" s="33" t="inlineStr">
        <is>
          <t>LOG-080</t>
        </is>
      </c>
      <c r="B83" s="33" t="inlineStr"/>
      <c r="C83" s="34" t="inlineStr"/>
      <c r="D83" s="34">
        <f>IFERROR(VLOOKUP(C83, '⚙️ Lookup Tables'!$A$4:$B$15, 2, FALSE), "")</f>
        <v/>
      </c>
      <c r="E83" s="34" t="inlineStr"/>
      <c r="F83" s="35" t="inlineStr"/>
      <c r="G83" s="33" t="inlineStr">
        <is>
          <t>No</t>
        </is>
      </c>
      <c r="H83" s="33" t="inlineStr">
        <is>
          <t>No</t>
        </is>
      </c>
      <c r="I83" s="34" t="inlineStr"/>
      <c r="J83" s="34" t="inlineStr"/>
      <c r="L83" t="n">
        <v>0.25</v>
      </c>
      <c r="O83" s="58">
        <f>IF(M83&gt;0, N83/M83, "")</f>
        <v/>
      </c>
    </row>
    <row r="84">
      <c r="A84" s="22" t="inlineStr">
        <is>
          <t>LOG-081</t>
        </is>
      </c>
      <c r="B84" s="22" t="inlineStr"/>
      <c r="C84" s="38" t="inlineStr"/>
      <c r="D84" s="38">
        <f>IFERROR(VLOOKUP(C84, '⚙️ Lookup Tables'!$A$4:$B$15, 2, FALSE), "")</f>
        <v/>
      </c>
      <c r="E84" s="38" t="inlineStr"/>
      <c r="F84" s="24" t="inlineStr"/>
      <c r="G84" s="22" t="inlineStr">
        <is>
          <t>No</t>
        </is>
      </c>
      <c r="H84" s="22" t="inlineStr">
        <is>
          <t>No</t>
        </is>
      </c>
      <c r="I84" s="38" t="inlineStr"/>
      <c r="J84" s="38" t="inlineStr"/>
      <c r="L84" t="n">
        <v>0.25</v>
      </c>
      <c r="O84" s="58">
        <f>IF(M84&gt;0, N84/M84, "")</f>
        <v/>
      </c>
    </row>
    <row r="85">
      <c r="A85" s="33" t="inlineStr">
        <is>
          <t>LOG-082</t>
        </is>
      </c>
      <c r="B85" s="33" t="inlineStr"/>
      <c r="C85" s="34" t="inlineStr"/>
      <c r="D85" s="34">
        <f>IFERROR(VLOOKUP(C85, '⚙️ Lookup Tables'!$A$4:$B$15, 2, FALSE), "")</f>
        <v/>
      </c>
      <c r="E85" s="34" t="inlineStr"/>
      <c r="F85" s="35" t="inlineStr"/>
      <c r="G85" s="33" t="inlineStr">
        <is>
          <t>No</t>
        </is>
      </c>
      <c r="H85" s="33" t="inlineStr">
        <is>
          <t>No</t>
        </is>
      </c>
      <c r="I85" s="34" t="inlineStr"/>
      <c r="J85" s="34" t="inlineStr"/>
      <c r="L85" t="n">
        <v>0.25</v>
      </c>
      <c r="O85" s="58">
        <f>IF(M85&gt;0, N85/M85, "")</f>
        <v/>
      </c>
    </row>
    <row r="86">
      <c r="A86" s="22" t="inlineStr">
        <is>
          <t>LOG-083</t>
        </is>
      </c>
      <c r="B86" s="22" t="inlineStr"/>
      <c r="C86" s="38" t="inlineStr"/>
      <c r="D86" s="38">
        <f>IFERROR(VLOOKUP(C86, '⚙️ Lookup Tables'!$A$4:$B$15, 2, FALSE), "")</f>
        <v/>
      </c>
      <c r="E86" s="38" t="inlineStr"/>
      <c r="F86" s="24" t="inlineStr"/>
      <c r="G86" s="22" t="inlineStr">
        <is>
          <t>No</t>
        </is>
      </c>
      <c r="H86" s="22" t="inlineStr">
        <is>
          <t>No</t>
        </is>
      </c>
      <c r="I86" s="38" t="inlineStr"/>
      <c r="J86" s="38" t="inlineStr"/>
      <c r="L86" t="n">
        <v>0.25</v>
      </c>
      <c r="O86" s="58">
        <f>IF(M86&gt;0, N86/M86, "")</f>
        <v/>
      </c>
    </row>
    <row r="87">
      <c r="A87" s="33" t="inlineStr">
        <is>
          <t>LOG-084</t>
        </is>
      </c>
      <c r="B87" s="33" t="inlineStr"/>
      <c r="C87" s="34" t="inlineStr"/>
      <c r="D87" s="34">
        <f>IFERROR(VLOOKUP(C87, '⚙️ Lookup Tables'!$A$4:$B$15, 2, FALSE), "")</f>
        <v/>
      </c>
      <c r="E87" s="34" t="inlineStr"/>
      <c r="F87" s="35" t="inlineStr"/>
      <c r="G87" s="33" t="inlineStr">
        <is>
          <t>No</t>
        </is>
      </c>
      <c r="H87" s="33" t="inlineStr">
        <is>
          <t>No</t>
        </is>
      </c>
      <c r="I87" s="34" t="inlineStr"/>
      <c r="J87" s="34" t="inlineStr"/>
      <c r="L87" t="n">
        <v>0.25</v>
      </c>
      <c r="O87" s="58">
        <f>IF(M87&gt;0, N87/M87, "")</f>
        <v/>
      </c>
    </row>
    <row r="88">
      <c r="A88" s="22" t="inlineStr">
        <is>
          <t>LOG-085</t>
        </is>
      </c>
      <c r="B88" s="22" t="inlineStr"/>
      <c r="C88" s="38" t="inlineStr"/>
      <c r="D88" s="38">
        <f>IFERROR(VLOOKUP(C88, '⚙️ Lookup Tables'!$A$4:$B$15, 2, FALSE), "")</f>
        <v/>
      </c>
      <c r="E88" s="38" t="inlineStr"/>
      <c r="F88" s="24" t="inlineStr"/>
      <c r="G88" s="22" t="inlineStr">
        <is>
          <t>No</t>
        </is>
      </c>
      <c r="H88" s="22" t="inlineStr">
        <is>
          <t>No</t>
        </is>
      </c>
      <c r="I88" s="38" t="inlineStr"/>
      <c r="J88" s="38" t="inlineStr"/>
      <c r="L88" t="n">
        <v>0.25</v>
      </c>
      <c r="O88" s="58">
        <f>IF(M88&gt;0, N88/M88, "")</f>
        <v/>
      </c>
    </row>
    <row r="89">
      <c r="A89" s="33" t="inlineStr">
        <is>
          <t>LOG-086</t>
        </is>
      </c>
      <c r="B89" s="33" t="inlineStr"/>
      <c r="C89" s="34" t="inlineStr"/>
      <c r="D89" s="34">
        <f>IFERROR(VLOOKUP(C89, '⚙️ Lookup Tables'!$A$4:$B$15, 2, FALSE), "")</f>
        <v/>
      </c>
      <c r="E89" s="34" t="inlineStr"/>
      <c r="F89" s="35" t="inlineStr"/>
      <c r="G89" s="33" t="inlineStr">
        <is>
          <t>No</t>
        </is>
      </c>
      <c r="H89" s="33" t="inlineStr">
        <is>
          <t>No</t>
        </is>
      </c>
      <c r="I89" s="34" t="inlineStr"/>
      <c r="J89" s="34" t="inlineStr"/>
      <c r="L89" t="n">
        <v>0.25</v>
      </c>
      <c r="O89" s="58">
        <f>IF(M89&gt;0, N89/M89, "")</f>
        <v/>
      </c>
    </row>
    <row r="90">
      <c r="A90" s="22" t="inlineStr">
        <is>
          <t>LOG-087</t>
        </is>
      </c>
      <c r="B90" s="22" t="inlineStr"/>
      <c r="C90" s="38" t="inlineStr"/>
      <c r="D90" s="38">
        <f>IFERROR(VLOOKUP(C90, '⚙️ Lookup Tables'!$A$4:$B$15, 2, FALSE), "")</f>
        <v/>
      </c>
      <c r="E90" s="38" t="inlineStr"/>
      <c r="F90" s="24" t="inlineStr"/>
      <c r="G90" s="22" t="inlineStr">
        <is>
          <t>No</t>
        </is>
      </c>
      <c r="H90" s="22" t="inlineStr">
        <is>
          <t>No</t>
        </is>
      </c>
      <c r="I90" s="38" t="inlineStr"/>
      <c r="J90" s="38" t="inlineStr"/>
      <c r="L90" t="n">
        <v>0.25</v>
      </c>
      <c r="O90" s="58">
        <f>IF(M90&gt;0, N90/M90, "")</f>
        <v/>
      </c>
    </row>
    <row r="91">
      <c r="A91" s="33" t="inlineStr">
        <is>
          <t>LOG-088</t>
        </is>
      </c>
      <c r="B91" s="33" t="inlineStr"/>
      <c r="C91" s="34" t="inlineStr"/>
      <c r="D91" s="34">
        <f>IFERROR(VLOOKUP(C91, '⚙️ Lookup Tables'!$A$4:$B$15, 2, FALSE), "")</f>
        <v/>
      </c>
      <c r="E91" s="34" t="inlineStr"/>
      <c r="F91" s="35" t="inlineStr"/>
      <c r="G91" s="33" t="inlineStr">
        <is>
          <t>No</t>
        </is>
      </c>
      <c r="H91" s="33" t="inlineStr">
        <is>
          <t>No</t>
        </is>
      </c>
      <c r="I91" s="34" t="inlineStr"/>
      <c r="J91" s="34" t="inlineStr"/>
      <c r="L91" t="n">
        <v>0.25</v>
      </c>
      <c r="O91" s="58">
        <f>IF(M91&gt;0, N91/M91, "")</f>
        <v/>
      </c>
    </row>
    <row r="92">
      <c r="A92" s="22" t="inlineStr">
        <is>
          <t>LOG-089</t>
        </is>
      </c>
      <c r="B92" s="22" t="inlineStr"/>
      <c r="C92" s="38" t="inlineStr"/>
      <c r="D92" s="38">
        <f>IFERROR(VLOOKUP(C92, '⚙️ Lookup Tables'!$A$4:$B$15, 2, FALSE), "")</f>
        <v/>
      </c>
      <c r="E92" s="38" t="inlineStr"/>
      <c r="F92" s="24" t="inlineStr"/>
      <c r="G92" s="22" t="inlineStr">
        <is>
          <t>No</t>
        </is>
      </c>
      <c r="H92" s="22" t="inlineStr">
        <is>
          <t>No</t>
        </is>
      </c>
      <c r="I92" s="38" t="inlineStr"/>
      <c r="J92" s="38" t="inlineStr"/>
      <c r="L92" t="n">
        <v>0.25</v>
      </c>
      <c r="O92" s="58">
        <f>IF(M92&gt;0, N92/M92, "")</f>
        <v/>
      </c>
    </row>
    <row r="93">
      <c r="A93" s="33" t="inlineStr">
        <is>
          <t>LOG-090</t>
        </is>
      </c>
      <c r="B93" s="33" t="inlineStr"/>
      <c r="C93" s="34" t="inlineStr"/>
      <c r="D93" s="34">
        <f>IFERROR(VLOOKUP(C93, '⚙️ Lookup Tables'!$A$4:$B$15, 2, FALSE), "")</f>
        <v/>
      </c>
      <c r="E93" s="34" t="inlineStr"/>
      <c r="F93" s="35" t="inlineStr"/>
      <c r="G93" s="33" t="inlineStr">
        <is>
          <t>No</t>
        </is>
      </c>
      <c r="H93" s="33" t="inlineStr">
        <is>
          <t>No</t>
        </is>
      </c>
      <c r="I93" s="34" t="inlineStr"/>
      <c r="J93" s="34" t="inlineStr"/>
      <c r="L93" t="n">
        <v>0.25</v>
      </c>
      <c r="O93" s="58">
        <f>IF(M93&gt;0, N93/M93, "")</f>
        <v/>
      </c>
    </row>
    <row r="94">
      <c r="A94" s="22" t="inlineStr">
        <is>
          <t>LOG-091</t>
        </is>
      </c>
      <c r="B94" s="22" t="inlineStr"/>
      <c r="C94" s="38" t="inlineStr"/>
      <c r="D94" s="38">
        <f>IFERROR(VLOOKUP(C94, '⚙️ Lookup Tables'!$A$4:$B$15, 2, FALSE), "")</f>
        <v/>
      </c>
      <c r="E94" s="38" t="inlineStr"/>
      <c r="F94" s="24" t="inlineStr"/>
      <c r="G94" s="22" t="inlineStr">
        <is>
          <t>No</t>
        </is>
      </c>
      <c r="H94" s="22" t="inlineStr">
        <is>
          <t>No</t>
        </is>
      </c>
      <c r="I94" s="38" t="inlineStr"/>
      <c r="J94" s="38" t="inlineStr"/>
      <c r="L94" t="n">
        <v>0.25</v>
      </c>
      <c r="O94" s="58">
        <f>IF(M94&gt;0, N94/M94, "")</f>
        <v/>
      </c>
    </row>
    <row r="95">
      <c r="A95" s="33" t="inlineStr">
        <is>
          <t>LOG-092</t>
        </is>
      </c>
      <c r="B95" s="33" t="inlineStr"/>
      <c r="C95" s="34" t="inlineStr"/>
      <c r="D95" s="34">
        <f>IFERROR(VLOOKUP(C95, '⚙️ Lookup Tables'!$A$4:$B$15, 2, FALSE), "")</f>
        <v/>
      </c>
      <c r="E95" s="34" t="inlineStr"/>
      <c r="F95" s="35" t="inlineStr"/>
      <c r="G95" s="33" t="inlineStr">
        <is>
          <t>No</t>
        </is>
      </c>
      <c r="H95" s="33" t="inlineStr">
        <is>
          <t>No</t>
        </is>
      </c>
      <c r="I95" s="34" t="inlineStr"/>
      <c r="J95" s="34" t="inlineStr"/>
      <c r="L95" t="n">
        <v>0.25</v>
      </c>
      <c r="O95" s="58">
        <f>IF(M95&gt;0, N95/M95, "")</f>
        <v/>
      </c>
    </row>
    <row r="96">
      <c r="A96" s="22" t="inlineStr">
        <is>
          <t>LOG-093</t>
        </is>
      </c>
      <c r="B96" s="22" t="inlineStr"/>
      <c r="C96" s="38" t="inlineStr"/>
      <c r="D96" s="38">
        <f>IFERROR(VLOOKUP(C96, '⚙️ Lookup Tables'!$A$4:$B$15, 2, FALSE), "")</f>
        <v/>
      </c>
      <c r="E96" s="38" t="inlineStr"/>
      <c r="F96" s="24" t="inlineStr"/>
      <c r="G96" s="22" t="inlineStr">
        <is>
          <t>No</t>
        </is>
      </c>
      <c r="H96" s="22" t="inlineStr">
        <is>
          <t>No</t>
        </is>
      </c>
      <c r="I96" s="38" t="inlineStr"/>
      <c r="J96" s="38" t="inlineStr"/>
      <c r="L96" t="n">
        <v>0.25</v>
      </c>
      <c r="O96" s="58">
        <f>IF(M96&gt;0, N96/M96, "")</f>
        <v/>
      </c>
    </row>
    <row r="97">
      <c r="A97" s="33" t="inlineStr">
        <is>
          <t>LOG-094</t>
        </is>
      </c>
      <c r="B97" s="33" t="inlineStr"/>
      <c r="C97" s="34" t="inlineStr"/>
      <c r="D97" s="34">
        <f>IFERROR(VLOOKUP(C97, '⚙️ Lookup Tables'!$A$4:$B$15, 2, FALSE), "")</f>
        <v/>
      </c>
      <c r="E97" s="34" t="inlineStr"/>
      <c r="F97" s="35" t="inlineStr"/>
      <c r="G97" s="33" t="inlineStr">
        <is>
          <t>No</t>
        </is>
      </c>
      <c r="H97" s="33" t="inlineStr">
        <is>
          <t>No</t>
        </is>
      </c>
      <c r="I97" s="34" t="inlineStr"/>
      <c r="J97" s="34" t="inlineStr"/>
      <c r="L97" t="n">
        <v>0.25</v>
      </c>
      <c r="O97" s="58">
        <f>IF(M97&gt;0, N97/M97, "")</f>
        <v/>
      </c>
    </row>
    <row r="98">
      <c r="A98" s="22" t="inlineStr">
        <is>
          <t>LOG-095</t>
        </is>
      </c>
      <c r="B98" s="22" t="inlineStr"/>
      <c r="C98" s="38" t="inlineStr"/>
      <c r="D98" s="38">
        <f>IFERROR(VLOOKUP(C98, '⚙️ Lookup Tables'!$A$4:$B$15, 2, FALSE), "")</f>
        <v/>
      </c>
      <c r="E98" s="38" t="inlineStr"/>
      <c r="F98" s="24" t="inlineStr"/>
      <c r="G98" s="22" t="inlineStr">
        <is>
          <t>No</t>
        </is>
      </c>
      <c r="H98" s="22" t="inlineStr">
        <is>
          <t>No</t>
        </is>
      </c>
      <c r="I98" s="38" t="inlineStr"/>
      <c r="J98" s="38" t="inlineStr"/>
      <c r="L98" t="n">
        <v>0.25</v>
      </c>
      <c r="O98" s="58">
        <f>IF(M98&gt;0, N98/M98, "")</f>
        <v/>
      </c>
    </row>
    <row r="99">
      <c r="A99" s="33" t="inlineStr">
        <is>
          <t>LOG-096</t>
        </is>
      </c>
      <c r="B99" s="33" t="inlineStr"/>
      <c r="C99" s="34" t="inlineStr"/>
      <c r="D99" s="34">
        <f>IFERROR(VLOOKUP(C99, '⚙️ Lookup Tables'!$A$4:$B$15, 2, FALSE), "")</f>
        <v/>
      </c>
      <c r="E99" s="34" t="inlineStr"/>
      <c r="F99" s="35" t="inlineStr"/>
      <c r="G99" s="33" t="inlineStr">
        <is>
          <t>No</t>
        </is>
      </c>
      <c r="H99" s="33" t="inlineStr">
        <is>
          <t>No</t>
        </is>
      </c>
      <c r="I99" s="34" t="inlineStr"/>
      <c r="J99" s="34" t="inlineStr"/>
      <c r="L99" t="n">
        <v>0.25</v>
      </c>
      <c r="O99" s="58">
        <f>IF(M99&gt;0, N99/M99, "")</f>
        <v/>
      </c>
    </row>
    <row r="100">
      <c r="A100" s="22" t="inlineStr">
        <is>
          <t>LOG-097</t>
        </is>
      </c>
      <c r="B100" s="22" t="inlineStr"/>
      <c r="C100" s="38" t="inlineStr"/>
      <c r="D100" s="38">
        <f>IFERROR(VLOOKUP(C100, '⚙️ Lookup Tables'!$A$4:$B$15, 2, FALSE), "")</f>
        <v/>
      </c>
      <c r="E100" s="38" t="inlineStr"/>
      <c r="F100" s="24" t="inlineStr"/>
      <c r="G100" s="22" t="inlineStr">
        <is>
          <t>No</t>
        </is>
      </c>
      <c r="H100" s="22" t="inlineStr">
        <is>
          <t>No</t>
        </is>
      </c>
      <c r="I100" s="38" t="inlineStr"/>
      <c r="J100" s="38" t="inlineStr"/>
      <c r="L100" t="n">
        <v>0.25</v>
      </c>
      <c r="O100" s="58">
        <f>IF(M100&gt;0, N100/M100, "")</f>
        <v/>
      </c>
    </row>
    <row r="101">
      <c r="A101" s="33" t="inlineStr">
        <is>
          <t>LOG-098</t>
        </is>
      </c>
      <c r="B101" s="33" t="inlineStr"/>
      <c r="C101" s="34" t="inlineStr"/>
      <c r="D101" s="34">
        <f>IFERROR(VLOOKUP(C101, '⚙️ Lookup Tables'!$A$4:$B$15, 2, FALSE), "")</f>
        <v/>
      </c>
      <c r="E101" s="34" t="inlineStr"/>
      <c r="F101" s="35" t="inlineStr"/>
      <c r="G101" s="33" t="inlineStr">
        <is>
          <t>No</t>
        </is>
      </c>
      <c r="H101" s="33" t="inlineStr">
        <is>
          <t>No</t>
        </is>
      </c>
      <c r="I101" s="34" t="inlineStr"/>
      <c r="J101" s="34" t="inlineStr"/>
    </row>
    <row r="102">
      <c r="A102" s="22" t="inlineStr">
        <is>
          <t>LOG-099</t>
        </is>
      </c>
      <c r="B102" s="22" t="inlineStr"/>
      <c r="C102" s="38" t="inlineStr"/>
      <c r="D102" s="38">
        <f>IFERROR(VLOOKUP(C102, '⚙️ Lookup Tables'!$A$4:$B$15, 2, FALSE), "")</f>
        <v/>
      </c>
      <c r="E102" s="38" t="inlineStr"/>
      <c r="F102" s="24" t="inlineStr"/>
      <c r="G102" s="22" t="inlineStr">
        <is>
          <t>No</t>
        </is>
      </c>
      <c r="H102" s="22" t="inlineStr">
        <is>
          <t>No</t>
        </is>
      </c>
      <c r="I102" s="38" t="inlineStr"/>
      <c r="J102" s="38" t="inlineStr"/>
    </row>
    <row r="103">
      <c r="A103" s="33" t="inlineStr">
        <is>
          <t>LOG-100</t>
        </is>
      </c>
      <c r="B103" s="33" t="inlineStr"/>
      <c r="C103" s="34" t="inlineStr"/>
      <c r="D103" s="34">
        <f>IFERROR(VLOOKUP(C103, '⚙️ Lookup Tables'!$A$4:$B$15, 2, FALSE), "")</f>
        <v/>
      </c>
      <c r="E103" s="34" t="inlineStr"/>
      <c r="F103" s="35" t="inlineStr"/>
      <c r="G103" s="33" t="inlineStr">
        <is>
          <t>No</t>
        </is>
      </c>
      <c r="H103" s="33" t="inlineStr">
        <is>
          <t>No</t>
        </is>
      </c>
      <c r="I103" s="34" t="inlineStr"/>
      <c r="J103" s="34" t="inlineStr"/>
    </row>
    <row r="104">
      <c r="A104" s="22" t="inlineStr">
        <is>
          <t>LOG-101</t>
        </is>
      </c>
      <c r="B104" s="22" t="inlineStr"/>
      <c r="C104" s="38" t="inlineStr"/>
      <c r="D104" s="38">
        <f>IFERROR(VLOOKUP(C104, '⚙️ Lookup Tables'!$A$4:$B$15, 2, FALSE), "")</f>
        <v/>
      </c>
      <c r="E104" s="38" t="inlineStr"/>
      <c r="F104" s="24" t="inlineStr"/>
      <c r="G104" s="22" t="inlineStr">
        <is>
          <t>No</t>
        </is>
      </c>
      <c r="H104" s="22" t="inlineStr">
        <is>
          <t>No</t>
        </is>
      </c>
      <c r="I104" s="38" t="inlineStr"/>
      <c r="J104" s="38" t="inlineStr"/>
    </row>
    <row r="105">
      <c r="A105" s="33" t="inlineStr">
        <is>
          <t>LOG-102</t>
        </is>
      </c>
      <c r="B105" s="33" t="inlineStr"/>
      <c r="C105" s="34" t="inlineStr"/>
      <c r="D105" s="34">
        <f>IFERROR(VLOOKUP(C105, '⚙️ Lookup Tables'!$A$4:$B$15, 2, FALSE), "")</f>
        <v/>
      </c>
      <c r="E105" s="34" t="inlineStr"/>
      <c r="F105" s="35" t="inlineStr"/>
      <c r="G105" s="33" t="inlineStr">
        <is>
          <t>No</t>
        </is>
      </c>
      <c r="H105" s="33" t="inlineStr">
        <is>
          <t>No</t>
        </is>
      </c>
      <c r="I105" s="34" t="inlineStr"/>
      <c r="J105" s="34" t="inlineStr"/>
    </row>
    <row r="106">
      <c r="A106" s="22" t="inlineStr">
        <is>
          <t>LOG-103</t>
        </is>
      </c>
      <c r="B106" s="22" t="inlineStr"/>
      <c r="C106" s="38" t="inlineStr"/>
      <c r="D106" s="38">
        <f>IFERROR(VLOOKUP(C106, '⚙️ Lookup Tables'!$A$4:$B$15, 2, FALSE), "")</f>
        <v/>
      </c>
      <c r="E106" s="38" t="inlineStr"/>
      <c r="F106" s="24" t="inlineStr"/>
      <c r="G106" s="22" t="inlineStr">
        <is>
          <t>No</t>
        </is>
      </c>
      <c r="H106" s="22" t="inlineStr">
        <is>
          <t>No</t>
        </is>
      </c>
      <c r="I106" s="38" t="inlineStr"/>
      <c r="J106" s="38" t="inlineStr"/>
    </row>
    <row r="107">
      <c r="A107" s="33" t="inlineStr">
        <is>
          <t>LOG-104</t>
        </is>
      </c>
      <c r="B107" s="33" t="inlineStr"/>
      <c r="C107" s="34" t="inlineStr"/>
      <c r="D107" s="34">
        <f>IFERROR(VLOOKUP(C107, '⚙️ Lookup Tables'!$A$4:$B$15, 2, FALSE), "")</f>
        <v/>
      </c>
      <c r="E107" s="34" t="inlineStr"/>
      <c r="F107" s="35" t="inlineStr"/>
      <c r="G107" s="33" t="inlineStr">
        <is>
          <t>No</t>
        </is>
      </c>
      <c r="H107" s="33" t="inlineStr">
        <is>
          <t>No</t>
        </is>
      </c>
      <c r="I107" s="34" t="inlineStr"/>
      <c r="J107" s="34" t="inlineStr"/>
    </row>
    <row r="108">
      <c r="A108" s="22" t="inlineStr">
        <is>
          <t>LOG-105</t>
        </is>
      </c>
      <c r="B108" s="22" t="inlineStr"/>
      <c r="C108" s="38" t="inlineStr"/>
      <c r="D108" s="38">
        <f>IFERROR(VLOOKUP(C108, '⚙️ Lookup Tables'!$A$4:$B$15, 2, FALSE), "")</f>
        <v/>
      </c>
      <c r="E108" s="38" t="inlineStr"/>
      <c r="F108" s="24" t="inlineStr"/>
      <c r="G108" s="22" t="inlineStr">
        <is>
          <t>No</t>
        </is>
      </c>
      <c r="H108" s="22" t="inlineStr">
        <is>
          <t>No</t>
        </is>
      </c>
      <c r="I108" s="38" t="inlineStr"/>
      <c r="J108" s="38" t="inlineStr"/>
    </row>
    <row r="109">
      <c r="A109" s="33" t="inlineStr">
        <is>
          <t>LOG-106</t>
        </is>
      </c>
      <c r="B109" s="33" t="inlineStr"/>
      <c r="C109" s="34" t="inlineStr"/>
      <c r="D109" s="34">
        <f>IFERROR(VLOOKUP(C109, '⚙️ Lookup Tables'!$A$4:$B$15, 2, FALSE), "")</f>
        <v/>
      </c>
      <c r="E109" s="34" t="inlineStr"/>
      <c r="F109" s="35" t="inlineStr"/>
      <c r="G109" s="33" t="inlineStr">
        <is>
          <t>No</t>
        </is>
      </c>
      <c r="H109" s="33" t="inlineStr">
        <is>
          <t>No</t>
        </is>
      </c>
      <c r="I109" s="34" t="inlineStr"/>
      <c r="J109" s="34" t="inlineStr"/>
    </row>
    <row r="110">
      <c r="A110" s="22" t="inlineStr">
        <is>
          <t>LOG-107</t>
        </is>
      </c>
      <c r="B110" s="22" t="inlineStr"/>
      <c r="C110" s="38" t="inlineStr"/>
      <c r="D110" s="38">
        <f>IFERROR(VLOOKUP(C110, '⚙️ Lookup Tables'!$A$4:$B$15, 2, FALSE), "")</f>
        <v/>
      </c>
      <c r="E110" s="38" t="inlineStr"/>
      <c r="F110" s="24" t="inlineStr"/>
      <c r="G110" s="22" t="inlineStr">
        <is>
          <t>No</t>
        </is>
      </c>
      <c r="H110" s="22" t="inlineStr">
        <is>
          <t>No</t>
        </is>
      </c>
      <c r="I110" s="38" t="inlineStr"/>
      <c r="J110" s="38" t="inlineStr"/>
    </row>
    <row r="111">
      <c r="A111" s="33" t="inlineStr">
        <is>
          <t>LOG-108</t>
        </is>
      </c>
      <c r="B111" s="33" t="inlineStr"/>
      <c r="C111" s="34" t="inlineStr"/>
      <c r="D111" s="34">
        <f>IFERROR(VLOOKUP(C111, '⚙️ Lookup Tables'!$A$4:$B$15, 2, FALSE), "")</f>
        <v/>
      </c>
      <c r="E111" s="34" t="inlineStr"/>
      <c r="F111" s="35" t="inlineStr"/>
      <c r="G111" s="33" t="inlineStr">
        <is>
          <t>No</t>
        </is>
      </c>
      <c r="H111" s="33" t="inlineStr">
        <is>
          <t>No</t>
        </is>
      </c>
      <c r="I111" s="34" t="inlineStr"/>
      <c r="J111" s="34" t="inlineStr"/>
    </row>
    <row r="112">
      <c r="A112" s="22" t="inlineStr">
        <is>
          <t>LOG-109</t>
        </is>
      </c>
      <c r="B112" s="22" t="inlineStr"/>
      <c r="C112" s="38" t="inlineStr"/>
      <c r="D112" s="38">
        <f>IFERROR(VLOOKUP(C112, '⚙️ Lookup Tables'!$A$4:$B$15, 2, FALSE), "")</f>
        <v/>
      </c>
      <c r="E112" s="38" t="inlineStr"/>
      <c r="F112" s="24" t="inlineStr"/>
      <c r="G112" s="22" t="inlineStr">
        <is>
          <t>No</t>
        </is>
      </c>
      <c r="H112" s="22" t="inlineStr">
        <is>
          <t>No</t>
        </is>
      </c>
      <c r="I112" s="38" t="inlineStr"/>
      <c r="J112" s="38" t="inlineStr"/>
    </row>
    <row r="113">
      <c r="A113" s="33" t="inlineStr">
        <is>
          <t>LOG-110</t>
        </is>
      </c>
      <c r="B113" s="33" t="inlineStr"/>
      <c r="C113" s="34" t="inlineStr"/>
      <c r="D113" s="34">
        <f>IFERROR(VLOOKUP(C113, '⚙️ Lookup Tables'!$A$4:$B$15, 2, FALSE), "")</f>
        <v/>
      </c>
      <c r="E113" s="34" t="inlineStr"/>
      <c r="F113" s="35" t="inlineStr"/>
      <c r="G113" s="33" t="inlineStr">
        <is>
          <t>No</t>
        </is>
      </c>
      <c r="H113" s="33" t="inlineStr">
        <is>
          <t>No</t>
        </is>
      </c>
      <c r="I113" s="34" t="inlineStr"/>
      <c r="J113" s="34" t="inlineStr"/>
    </row>
    <row r="114">
      <c r="A114" s="22" t="inlineStr">
        <is>
          <t>LOG-111</t>
        </is>
      </c>
      <c r="B114" s="22" t="inlineStr"/>
      <c r="C114" s="38" t="inlineStr"/>
      <c r="D114" s="38">
        <f>IFERROR(VLOOKUP(C114, '⚙️ Lookup Tables'!$A$4:$B$15, 2, FALSE), "")</f>
        <v/>
      </c>
      <c r="E114" s="38" t="inlineStr"/>
      <c r="F114" s="24" t="inlineStr"/>
      <c r="G114" s="22" t="inlineStr">
        <is>
          <t>No</t>
        </is>
      </c>
      <c r="H114" s="22" t="inlineStr">
        <is>
          <t>No</t>
        </is>
      </c>
      <c r="I114" s="38" t="inlineStr"/>
      <c r="J114" s="38" t="inlineStr"/>
    </row>
    <row r="115">
      <c r="A115" s="33" t="inlineStr">
        <is>
          <t>LOG-112</t>
        </is>
      </c>
      <c r="B115" s="33" t="inlineStr"/>
      <c r="C115" s="34" t="inlineStr"/>
      <c r="D115" s="34">
        <f>IFERROR(VLOOKUP(C115, '⚙️ Lookup Tables'!$A$4:$B$15, 2, FALSE), "")</f>
        <v/>
      </c>
      <c r="E115" s="34" t="inlineStr"/>
      <c r="F115" s="35" t="inlineStr"/>
      <c r="G115" s="33" t="inlineStr">
        <is>
          <t>No</t>
        </is>
      </c>
      <c r="H115" s="33" t="inlineStr">
        <is>
          <t>No</t>
        </is>
      </c>
      <c r="I115" s="34" t="inlineStr"/>
      <c r="J115" s="34" t="inlineStr"/>
    </row>
    <row r="116">
      <c r="A116" s="22" t="inlineStr">
        <is>
          <t>LOG-113</t>
        </is>
      </c>
      <c r="B116" s="22" t="inlineStr"/>
      <c r="C116" s="38" t="inlineStr"/>
      <c r="D116" s="38">
        <f>IFERROR(VLOOKUP(C116, '⚙️ Lookup Tables'!$A$4:$B$15, 2, FALSE), "")</f>
        <v/>
      </c>
      <c r="E116" s="38" t="inlineStr"/>
      <c r="F116" s="24" t="inlineStr"/>
      <c r="G116" s="22" t="inlineStr">
        <is>
          <t>No</t>
        </is>
      </c>
      <c r="H116" s="22" t="inlineStr">
        <is>
          <t>No</t>
        </is>
      </c>
      <c r="I116" s="38" t="inlineStr"/>
      <c r="J116" s="38" t="inlineStr"/>
    </row>
    <row r="117">
      <c r="A117" s="33" t="inlineStr">
        <is>
          <t>LOG-114</t>
        </is>
      </c>
      <c r="B117" s="33" t="inlineStr"/>
      <c r="C117" s="34" t="inlineStr"/>
      <c r="D117" s="34">
        <f>IFERROR(VLOOKUP(C117, '⚙️ Lookup Tables'!$A$4:$B$15, 2, FALSE), "")</f>
        <v/>
      </c>
      <c r="E117" s="34" t="inlineStr"/>
      <c r="F117" s="35" t="inlineStr"/>
      <c r="G117" s="33" t="inlineStr">
        <is>
          <t>No</t>
        </is>
      </c>
      <c r="H117" s="33" t="inlineStr">
        <is>
          <t>No</t>
        </is>
      </c>
      <c r="I117" s="34" t="inlineStr"/>
      <c r="J117" s="34" t="inlineStr"/>
    </row>
    <row r="118">
      <c r="A118" s="22" t="inlineStr">
        <is>
          <t>LOG-115</t>
        </is>
      </c>
      <c r="B118" s="22" t="inlineStr"/>
      <c r="C118" s="38" t="inlineStr"/>
      <c r="D118" s="38">
        <f>IFERROR(VLOOKUP(C118, '⚙️ Lookup Tables'!$A$4:$B$15, 2, FALSE), "")</f>
        <v/>
      </c>
      <c r="E118" s="38" t="inlineStr"/>
      <c r="F118" s="24" t="inlineStr"/>
      <c r="G118" s="22" t="inlineStr">
        <is>
          <t>No</t>
        </is>
      </c>
      <c r="H118" s="22" t="inlineStr">
        <is>
          <t>No</t>
        </is>
      </c>
      <c r="I118" s="38" t="inlineStr"/>
      <c r="J118" s="38" t="inlineStr"/>
    </row>
    <row r="119">
      <c r="A119" s="33" t="inlineStr">
        <is>
          <t>LOG-116</t>
        </is>
      </c>
      <c r="B119" s="33" t="inlineStr"/>
      <c r="C119" s="34" t="inlineStr"/>
      <c r="D119" s="34">
        <f>IFERROR(VLOOKUP(C119, '⚙️ Lookup Tables'!$A$4:$B$15, 2, FALSE), "")</f>
        <v/>
      </c>
      <c r="E119" s="34" t="inlineStr"/>
      <c r="F119" s="35" t="inlineStr"/>
      <c r="G119" s="33" t="inlineStr">
        <is>
          <t>No</t>
        </is>
      </c>
      <c r="H119" s="33" t="inlineStr">
        <is>
          <t>No</t>
        </is>
      </c>
      <c r="I119" s="34" t="inlineStr"/>
      <c r="J119" s="34" t="inlineStr"/>
    </row>
    <row r="120">
      <c r="A120" s="22" t="inlineStr">
        <is>
          <t>LOG-117</t>
        </is>
      </c>
      <c r="B120" s="22" t="inlineStr"/>
      <c r="C120" s="38" t="inlineStr"/>
      <c r="D120" s="38">
        <f>IFERROR(VLOOKUP(C120, '⚙️ Lookup Tables'!$A$4:$B$15, 2, FALSE), "")</f>
        <v/>
      </c>
      <c r="E120" s="38" t="inlineStr"/>
      <c r="F120" s="24" t="inlineStr"/>
      <c r="G120" s="22" t="inlineStr">
        <is>
          <t>No</t>
        </is>
      </c>
      <c r="H120" s="22" t="inlineStr">
        <is>
          <t>No</t>
        </is>
      </c>
      <c r="I120" s="38" t="inlineStr"/>
      <c r="J120" s="38" t="inlineStr"/>
    </row>
    <row r="121">
      <c r="A121" s="33" t="inlineStr">
        <is>
          <t>LOG-118</t>
        </is>
      </c>
      <c r="B121" s="33" t="inlineStr"/>
      <c r="C121" s="34" t="inlineStr"/>
      <c r="D121" s="34">
        <f>IFERROR(VLOOKUP(C121, '⚙️ Lookup Tables'!$A$4:$B$15, 2, FALSE), "")</f>
        <v/>
      </c>
      <c r="E121" s="34" t="inlineStr"/>
      <c r="F121" s="35" t="inlineStr"/>
      <c r="G121" s="33" t="inlineStr">
        <is>
          <t>No</t>
        </is>
      </c>
      <c r="H121" s="33" t="inlineStr">
        <is>
          <t>No</t>
        </is>
      </c>
      <c r="I121" s="34" t="inlineStr"/>
      <c r="J121" s="34" t="inlineStr"/>
    </row>
    <row r="122">
      <c r="A122" s="22" t="inlineStr">
        <is>
          <t>LOG-119</t>
        </is>
      </c>
      <c r="B122" s="22" t="inlineStr"/>
      <c r="C122" s="38" t="inlineStr"/>
      <c r="D122" s="38">
        <f>IFERROR(VLOOKUP(C122, '⚙️ Lookup Tables'!$A$4:$B$15, 2, FALSE), "")</f>
        <v/>
      </c>
      <c r="E122" s="38" t="inlineStr"/>
      <c r="F122" s="24" t="inlineStr"/>
      <c r="G122" s="22" t="inlineStr">
        <is>
          <t>No</t>
        </is>
      </c>
      <c r="H122" s="22" t="inlineStr">
        <is>
          <t>No</t>
        </is>
      </c>
      <c r="I122" s="38" t="inlineStr"/>
      <c r="J122" s="38" t="inlineStr"/>
    </row>
    <row r="123">
      <c r="A123" s="33" t="inlineStr">
        <is>
          <t>LOG-120</t>
        </is>
      </c>
      <c r="B123" s="33" t="inlineStr"/>
      <c r="C123" s="34" t="inlineStr"/>
      <c r="D123" s="34">
        <f>IFERROR(VLOOKUP(C123, '⚙️ Lookup Tables'!$A$4:$B$15, 2, FALSE), "")</f>
        <v/>
      </c>
      <c r="E123" s="34" t="inlineStr"/>
      <c r="F123" s="35" t="inlineStr"/>
      <c r="G123" s="33" t="inlineStr">
        <is>
          <t>No</t>
        </is>
      </c>
      <c r="H123" s="33" t="inlineStr">
        <is>
          <t>No</t>
        </is>
      </c>
      <c r="I123" s="34" t="inlineStr"/>
      <c r="J123" s="34" t="inlineStr"/>
    </row>
    <row r="124">
      <c r="A124" s="22" t="inlineStr">
        <is>
          <t>LOG-121</t>
        </is>
      </c>
      <c r="B124" s="22" t="inlineStr"/>
      <c r="C124" s="38" t="inlineStr"/>
      <c r="D124" s="38">
        <f>IFERROR(VLOOKUP(C124, '⚙️ Lookup Tables'!$A$4:$B$15, 2, FALSE), "")</f>
        <v/>
      </c>
      <c r="E124" s="38" t="inlineStr"/>
      <c r="F124" s="24" t="inlineStr"/>
      <c r="G124" s="22" t="inlineStr">
        <is>
          <t>No</t>
        </is>
      </c>
      <c r="H124" s="22" t="inlineStr">
        <is>
          <t>No</t>
        </is>
      </c>
      <c r="I124" s="38" t="inlineStr"/>
      <c r="J124" s="38" t="inlineStr"/>
    </row>
    <row r="125">
      <c r="A125" s="33" t="inlineStr">
        <is>
          <t>LOG-122</t>
        </is>
      </c>
      <c r="B125" s="33" t="inlineStr"/>
      <c r="C125" s="34" t="inlineStr"/>
      <c r="D125" s="34">
        <f>IFERROR(VLOOKUP(C125, '⚙️ Lookup Tables'!$A$4:$B$15, 2, FALSE), "")</f>
        <v/>
      </c>
      <c r="E125" s="34" t="inlineStr"/>
      <c r="F125" s="35" t="inlineStr"/>
      <c r="G125" s="33" t="inlineStr">
        <is>
          <t>No</t>
        </is>
      </c>
      <c r="H125" s="33" t="inlineStr">
        <is>
          <t>No</t>
        </is>
      </c>
      <c r="I125" s="34" t="inlineStr"/>
      <c r="J125" s="34" t="inlineStr"/>
    </row>
    <row r="126">
      <c r="A126" s="22" t="inlineStr">
        <is>
          <t>LOG-123</t>
        </is>
      </c>
      <c r="B126" s="22" t="inlineStr"/>
      <c r="C126" s="38" t="inlineStr"/>
      <c r="D126" s="38">
        <f>IFERROR(VLOOKUP(C126, '⚙️ Lookup Tables'!$A$4:$B$15, 2, FALSE), "")</f>
        <v/>
      </c>
      <c r="E126" s="38" t="inlineStr"/>
      <c r="F126" s="24" t="inlineStr"/>
      <c r="G126" s="22" t="inlineStr">
        <is>
          <t>No</t>
        </is>
      </c>
      <c r="H126" s="22" t="inlineStr">
        <is>
          <t>No</t>
        </is>
      </c>
      <c r="I126" s="38" t="inlineStr"/>
      <c r="J126" s="38" t="inlineStr"/>
    </row>
    <row r="127">
      <c r="A127" s="33" t="inlineStr">
        <is>
          <t>LOG-124</t>
        </is>
      </c>
      <c r="B127" s="33" t="inlineStr"/>
      <c r="C127" s="34" t="inlineStr"/>
      <c r="D127" s="34">
        <f>IFERROR(VLOOKUP(C127, '⚙️ Lookup Tables'!$A$4:$B$15, 2, FALSE), "")</f>
        <v/>
      </c>
      <c r="E127" s="34" t="inlineStr"/>
      <c r="F127" s="35" t="inlineStr"/>
      <c r="G127" s="33" t="inlineStr">
        <is>
          <t>No</t>
        </is>
      </c>
      <c r="H127" s="33" t="inlineStr">
        <is>
          <t>No</t>
        </is>
      </c>
      <c r="I127" s="34" t="inlineStr"/>
      <c r="J127" s="34" t="inlineStr"/>
    </row>
    <row r="128">
      <c r="A128" s="22" t="inlineStr">
        <is>
          <t>LOG-125</t>
        </is>
      </c>
      <c r="B128" s="22" t="inlineStr"/>
      <c r="C128" s="38" t="inlineStr"/>
      <c r="D128" s="38">
        <f>IFERROR(VLOOKUP(C128, '⚙️ Lookup Tables'!$A$4:$B$15, 2, FALSE), "")</f>
        <v/>
      </c>
      <c r="E128" s="38" t="inlineStr"/>
      <c r="F128" s="24" t="inlineStr"/>
      <c r="G128" s="22" t="inlineStr">
        <is>
          <t>No</t>
        </is>
      </c>
      <c r="H128" s="22" t="inlineStr">
        <is>
          <t>No</t>
        </is>
      </c>
      <c r="I128" s="38" t="inlineStr"/>
      <c r="J128" s="38" t="inlineStr"/>
    </row>
    <row r="129">
      <c r="A129" s="33" t="inlineStr">
        <is>
          <t>LOG-126</t>
        </is>
      </c>
      <c r="B129" s="33" t="inlineStr"/>
      <c r="C129" s="34" t="inlineStr"/>
      <c r="D129" s="34">
        <f>IFERROR(VLOOKUP(C129, '⚙️ Lookup Tables'!$A$4:$B$15, 2, FALSE), "")</f>
        <v/>
      </c>
      <c r="E129" s="34" t="inlineStr"/>
      <c r="F129" s="35" t="inlineStr"/>
      <c r="G129" s="33" t="inlineStr">
        <is>
          <t>No</t>
        </is>
      </c>
      <c r="H129" s="33" t="inlineStr">
        <is>
          <t>No</t>
        </is>
      </c>
      <c r="I129" s="34" t="inlineStr"/>
      <c r="J129" s="34" t="inlineStr"/>
    </row>
    <row r="130">
      <c r="A130" s="22" t="inlineStr">
        <is>
          <t>LOG-127</t>
        </is>
      </c>
      <c r="B130" s="22" t="inlineStr"/>
      <c r="C130" s="38" t="inlineStr"/>
      <c r="D130" s="38">
        <f>IFERROR(VLOOKUP(C130, '⚙️ Lookup Tables'!$A$4:$B$15, 2, FALSE), "")</f>
        <v/>
      </c>
      <c r="E130" s="38" t="inlineStr"/>
      <c r="F130" s="24" t="inlineStr"/>
      <c r="G130" s="22" t="inlineStr">
        <is>
          <t>No</t>
        </is>
      </c>
      <c r="H130" s="22" t="inlineStr">
        <is>
          <t>No</t>
        </is>
      </c>
      <c r="I130" s="38" t="inlineStr"/>
      <c r="J130" s="38" t="inlineStr"/>
    </row>
    <row r="131">
      <c r="A131" s="33" t="inlineStr">
        <is>
          <t>LOG-128</t>
        </is>
      </c>
      <c r="B131" s="33" t="inlineStr"/>
      <c r="C131" s="34" t="inlineStr"/>
      <c r="D131" s="34">
        <f>IFERROR(VLOOKUP(C131, '⚙️ Lookup Tables'!$A$4:$B$15, 2, FALSE), "")</f>
        <v/>
      </c>
      <c r="E131" s="34" t="inlineStr"/>
      <c r="F131" s="35" t="inlineStr"/>
      <c r="G131" s="33" t="inlineStr">
        <is>
          <t>No</t>
        </is>
      </c>
      <c r="H131" s="33" t="inlineStr">
        <is>
          <t>No</t>
        </is>
      </c>
      <c r="I131" s="34" t="inlineStr"/>
      <c r="J131" s="34" t="inlineStr"/>
    </row>
    <row r="132">
      <c r="A132" s="22" t="inlineStr">
        <is>
          <t>LOG-129</t>
        </is>
      </c>
      <c r="B132" s="22" t="inlineStr"/>
      <c r="C132" s="38" t="inlineStr"/>
      <c r="D132" s="38">
        <f>IFERROR(VLOOKUP(C132, '⚙️ Lookup Tables'!$A$4:$B$15, 2, FALSE), "")</f>
        <v/>
      </c>
      <c r="E132" s="38" t="inlineStr"/>
      <c r="F132" s="24" t="inlineStr"/>
      <c r="G132" s="22" t="inlineStr">
        <is>
          <t>No</t>
        </is>
      </c>
      <c r="H132" s="22" t="inlineStr">
        <is>
          <t>No</t>
        </is>
      </c>
      <c r="I132" s="38" t="inlineStr"/>
      <c r="J132" s="38" t="inlineStr"/>
    </row>
    <row r="133">
      <c r="A133" s="33" t="inlineStr">
        <is>
          <t>LOG-130</t>
        </is>
      </c>
      <c r="B133" s="33" t="inlineStr"/>
      <c r="C133" s="34" t="inlineStr"/>
      <c r="D133" s="34">
        <f>IFERROR(VLOOKUP(C133, '⚙️ Lookup Tables'!$A$4:$B$15, 2, FALSE), "")</f>
        <v/>
      </c>
      <c r="E133" s="34" t="inlineStr"/>
      <c r="F133" s="35" t="inlineStr"/>
      <c r="G133" s="33" t="inlineStr">
        <is>
          <t>No</t>
        </is>
      </c>
      <c r="H133" s="33" t="inlineStr">
        <is>
          <t>No</t>
        </is>
      </c>
      <c r="I133" s="34" t="inlineStr"/>
      <c r="J133" s="34" t="inlineStr"/>
    </row>
    <row r="134">
      <c r="A134" s="22" t="inlineStr">
        <is>
          <t>LOG-131</t>
        </is>
      </c>
      <c r="B134" s="22" t="inlineStr"/>
      <c r="C134" s="38" t="inlineStr"/>
      <c r="D134" s="38">
        <f>IFERROR(VLOOKUP(C134, '⚙️ Lookup Tables'!$A$4:$B$15, 2, FALSE), "")</f>
        <v/>
      </c>
      <c r="E134" s="38" t="inlineStr"/>
      <c r="F134" s="24" t="inlineStr"/>
      <c r="G134" s="22" t="inlineStr">
        <is>
          <t>No</t>
        </is>
      </c>
      <c r="H134" s="22" t="inlineStr">
        <is>
          <t>No</t>
        </is>
      </c>
      <c r="I134" s="38" t="inlineStr"/>
      <c r="J134" s="38" t="inlineStr"/>
    </row>
    <row r="135">
      <c r="A135" s="33" t="inlineStr">
        <is>
          <t>LOG-132</t>
        </is>
      </c>
      <c r="B135" s="33" t="inlineStr"/>
      <c r="C135" s="34" t="inlineStr"/>
      <c r="D135" s="34">
        <f>IFERROR(VLOOKUP(C135, '⚙️ Lookup Tables'!$A$4:$B$15, 2, FALSE), "")</f>
        <v/>
      </c>
      <c r="E135" s="34" t="inlineStr"/>
      <c r="F135" s="35" t="inlineStr"/>
      <c r="G135" s="33" t="inlineStr">
        <is>
          <t>No</t>
        </is>
      </c>
      <c r="H135" s="33" t="inlineStr">
        <is>
          <t>No</t>
        </is>
      </c>
      <c r="I135" s="34" t="inlineStr"/>
      <c r="J135" s="34" t="inlineStr"/>
    </row>
    <row r="136">
      <c r="A136" s="22" t="inlineStr">
        <is>
          <t>LOG-133</t>
        </is>
      </c>
      <c r="B136" s="22" t="inlineStr"/>
      <c r="C136" s="38" t="inlineStr"/>
      <c r="D136" s="38">
        <f>IFERROR(VLOOKUP(C136, '⚙️ Lookup Tables'!$A$4:$B$15, 2, FALSE), "")</f>
        <v/>
      </c>
      <c r="E136" s="38" t="inlineStr"/>
      <c r="F136" s="24" t="inlineStr"/>
      <c r="G136" s="22" t="inlineStr">
        <is>
          <t>No</t>
        </is>
      </c>
      <c r="H136" s="22" t="inlineStr">
        <is>
          <t>No</t>
        </is>
      </c>
      <c r="I136" s="38" t="inlineStr"/>
      <c r="J136" s="38" t="inlineStr"/>
    </row>
    <row r="137">
      <c r="A137" s="33" t="inlineStr">
        <is>
          <t>LOG-134</t>
        </is>
      </c>
      <c r="B137" s="33" t="inlineStr"/>
      <c r="C137" s="34" t="inlineStr"/>
      <c r="D137" s="34">
        <f>IFERROR(VLOOKUP(C137, '⚙️ Lookup Tables'!$A$4:$B$15, 2, FALSE), "")</f>
        <v/>
      </c>
      <c r="E137" s="34" t="inlineStr"/>
      <c r="F137" s="35" t="inlineStr"/>
      <c r="G137" s="33" t="inlineStr">
        <is>
          <t>No</t>
        </is>
      </c>
      <c r="H137" s="33" t="inlineStr">
        <is>
          <t>No</t>
        </is>
      </c>
      <c r="I137" s="34" t="inlineStr"/>
      <c r="J137" s="34" t="inlineStr"/>
    </row>
    <row r="138">
      <c r="A138" s="22" t="inlineStr">
        <is>
          <t>LOG-135</t>
        </is>
      </c>
      <c r="B138" s="22" t="inlineStr"/>
      <c r="C138" s="38" t="inlineStr"/>
      <c r="D138" s="38">
        <f>IFERROR(VLOOKUP(C138, '⚙️ Lookup Tables'!$A$4:$B$15, 2, FALSE), "")</f>
        <v/>
      </c>
      <c r="E138" s="38" t="inlineStr"/>
      <c r="F138" s="24" t="inlineStr"/>
      <c r="G138" s="22" t="inlineStr">
        <is>
          <t>No</t>
        </is>
      </c>
      <c r="H138" s="22" t="inlineStr">
        <is>
          <t>No</t>
        </is>
      </c>
      <c r="I138" s="38" t="inlineStr"/>
      <c r="J138" s="38" t="inlineStr"/>
    </row>
    <row r="139">
      <c r="A139" s="33" t="inlineStr">
        <is>
          <t>LOG-136</t>
        </is>
      </c>
      <c r="B139" s="33" t="inlineStr"/>
      <c r="C139" s="34" t="inlineStr"/>
      <c r="D139" s="34">
        <f>IFERROR(VLOOKUP(C139, '⚙️ Lookup Tables'!$A$4:$B$15, 2, FALSE), "")</f>
        <v/>
      </c>
      <c r="E139" s="34" t="inlineStr"/>
      <c r="F139" s="35" t="inlineStr"/>
      <c r="G139" s="33" t="inlineStr">
        <is>
          <t>No</t>
        </is>
      </c>
      <c r="H139" s="33" t="inlineStr">
        <is>
          <t>No</t>
        </is>
      </c>
      <c r="I139" s="34" t="inlineStr"/>
      <c r="J139" s="34" t="inlineStr"/>
    </row>
    <row r="140">
      <c r="A140" s="22" t="inlineStr">
        <is>
          <t>LOG-137</t>
        </is>
      </c>
      <c r="B140" s="22" t="inlineStr"/>
      <c r="C140" s="38" t="inlineStr"/>
      <c r="D140" s="38">
        <f>IFERROR(VLOOKUP(C140, '⚙️ Lookup Tables'!$A$4:$B$15, 2, FALSE), "")</f>
        <v/>
      </c>
      <c r="E140" s="38" t="inlineStr"/>
      <c r="F140" s="24" t="inlineStr"/>
      <c r="G140" s="22" t="inlineStr">
        <is>
          <t>No</t>
        </is>
      </c>
      <c r="H140" s="22" t="inlineStr">
        <is>
          <t>No</t>
        </is>
      </c>
      <c r="I140" s="38" t="inlineStr"/>
      <c r="J140" s="38" t="inlineStr"/>
    </row>
    <row r="141">
      <c r="A141" s="33" t="inlineStr">
        <is>
          <t>LOG-138</t>
        </is>
      </c>
      <c r="B141" s="33" t="inlineStr"/>
      <c r="C141" s="34" t="inlineStr"/>
      <c r="D141" s="34">
        <f>IFERROR(VLOOKUP(C141, '⚙️ Lookup Tables'!$A$4:$B$15, 2, FALSE), "")</f>
        <v/>
      </c>
      <c r="E141" s="34" t="inlineStr"/>
      <c r="F141" s="35" t="inlineStr"/>
      <c r="G141" s="33" t="inlineStr">
        <is>
          <t>No</t>
        </is>
      </c>
      <c r="H141" s="33" t="inlineStr">
        <is>
          <t>No</t>
        </is>
      </c>
      <c r="I141" s="34" t="inlineStr"/>
      <c r="J141" s="34" t="inlineStr"/>
    </row>
    <row r="142">
      <c r="A142" s="22" t="inlineStr">
        <is>
          <t>LOG-139</t>
        </is>
      </c>
      <c r="B142" s="22" t="inlineStr"/>
      <c r="C142" s="38" t="inlineStr"/>
      <c r="D142" s="38">
        <f>IFERROR(VLOOKUP(C142, '⚙️ Lookup Tables'!$A$4:$B$15, 2, FALSE), "")</f>
        <v/>
      </c>
      <c r="E142" s="38" t="inlineStr"/>
      <c r="F142" s="24" t="inlineStr"/>
      <c r="G142" s="22" t="inlineStr">
        <is>
          <t>No</t>
        </is>
      </c>
      <c r="H142" s="22" t="inlineStr">
        <is>
          <t>No</t>
        </is>
      </c>
      <c r="I142" s="38" t="inlineStr"/>
      <c r="J142" s="38" t="inlineStr"/>
    </row>
    <row r="143">
      <c r="A143" s="33" t="inlineStr">
        <is>
          <t>LOG-140</t>
        </is>
      </c>
      <c r="B143" s="33" t="inlineStr"/>
      <c r="C143" s="34" t="inlineStr"/>
      <c r="D143" s="34">
        <f>IFERROR(VLOOKUP(C143, '⚙️ Lookup Tables'!$A$4:$B$15, 2, FALSE), "")</f>
        <v/>
      </c>
      <c r="E143" s="34" t="inlineStr"/>
      <c r="F143" s="35" t="inlineStr"/>
      <c r="G143" s="33" t="inlineStr">
        <is>
          <t>No</t>
        </is>
      </c>
      <c r="H143" s="33" t="inlineStr">
        <is>
          <t>No</t>
        </is>
      </c>
      <c r="I143" s="34" t="inlineStr"/>
      <c r="J143" s="34" t="inlineStr"/>
    </row>
    <row r="144">
      <c r="A144" s="22" t="inlineStr">
        <is>
          <t>LOG-141</t>
        </is>
      </c>
      <c r="B144" s="22" t="inlineStr"/>
      <c r="C144" s="38" t="inlineStr"/>
      <c r="D144" s="38">
        <f>IFERROR(VLOOKUP(C144, '⚙️ Lookup Tables'!$A$4:$B$15, 2, FALSE), "")</f>
        <v/>
      </c>
      <c r="E144" s="38" t="inlineStr"/>
      <c r="F144" s="24" t="inlineStr"/>
      <c r="G144" s="22" t="inlineStr">
        <is>
          <t>No</t>
        </is>
      </c>
      <c r="H144" s="22" t="inlineStr">
        <is>
          <t>No</t>
        </is>
      </c>
      <c r="I144" s="38" t="inlineStr"/>
      <c r="J144" s="38" t="inlineStr"/>
    </row>
    <row r="145">
      <c r="A145" s="33" t="inlineStr">
        <is>
          <t>LOG-142</t>
        </is>
      </c>
      <c r="B145" s="33" t="inlineStr"/>
      <c r="C145" s="34" t="inlineStr"/>
      <c r="D145" s="34">
        <f>IFERROR(VLOOKUP(C145, '⚙️ Lookup Tables'!$A$4:$B$15, 2, FALSE), "")</f>
        <v/>
      </c>
      <c r="E145" s="34" t="inlineStr"/>
      <c r="F145" s="35" t="inlineStr"/>
      <c r="G145" s="33" t="inlineStr">
        <is>
          <t>No</t>
        </is>
      </c>
      <c r="H145" s="33" t="inlineStr">
        <is>
          <t>No</t>
        </is>
      </c>
      <c r="I145" s="34" t="inlineStr"/>
      <c r="J145" s="34" t="inlineStr"/>
    </row>
    <row r="146">
      <c r="A146" s="22" t="inlineStr">
        <is>
          <t>LOG-143</t>
        </is>
      </c>
      <c r="B146" s="22" t="inlineStr"/>
      <c r="C146" s="38" t="inlineStr"/>
      <c r="D146" s="38">
        <f>IFERROR(VLOOKUP(C146, '⚙️ Lookup Tables'!$A$4:$B$15, 2, FALSE), "")</f>
        <v/>
      </c>
      <c r="E146" s="38" t="inlineStr"/>
      <c r="F146" s="24" t="inlineStr"/>
      <c r="G146" s="22" t="inlineStr">
        <is>
          <t>No</t>
        </is>
      </c>
      <c r="H146" s="22" t="inlineStr">
        <is>
          <t>No</t>
        </is>
      </c>
      <c r="I146" s="38" t="inlineStr"/>
      <c r="J146" s="38" t="inlineStr"/>
    </row>
    <row r="147">
      <c r="A147" s="33" t="inlineStr">
        <is>
          <t>LOG-144</t>
        </is>
      </c>
      <c r="B147" s="33" t="inlineStr"/>
      <c r="C147" s="34" t="inlineStr"/>
      <c r="D147" s="34">
        <f>IFERROR(VLOOKUP(C147, '⚙️ Lookup Tables'!$A$4:$B$15, 2, FALSE), "")</f>
        <v/>
      </c>
      <c r="E147" s="34" t="inlineStr"/>
      <c r="F147" s="35" t="inlineStr"/>
      <c r="G147" s="33" t="inlineStr">
        <is>
          <t>No</t>
        </is>
      </c>
      <c r="H147" s="33" t="inlineStr">
        <is>
          <t>No</t>
        </is>
      </c>
      <c r="I147" s="34" t="inlineStr"/>
      <c r="J147" s="34" t="inlineStr"/>
    </row>
    <row r="148">
      <c r="A148" s="22" t="inlineStr">
        <is>
          <t>LOG-145</t>
        </is>
      </c>
      <c r="B148" s="22" t="inlineStr"/>
      <c r="C148" s="38" t="inlineStr"/>
      <c r="D148" s="38">
        <f>IFERROR(VLOOKUP(C148, '⚙️ Lookup Tables'!$A$4:$B$15, 2, FALSE), "")</f>
        <v/>
      </c>
      <c r="E148" s="38" t="inlineStr"/>
      <c r="F148" s="24" t="inlineStr"/>
      <c r="G148" s="22" t="inlineStr">
        <is>
          <t>No</t>
        </is>
      </c>
      <c r="H148" s="22" t="inlineStr">
        <is>
          <t>No</t>
        </is>
      </c>
      <c r="I148" s="38" t="inlineStr"/>
      <c r="J148" s="38" t="inlineStr"/>
    </row>
    <row r="149">
      <c r="A149" s="33" t="inlineStr">
        <is>
          <t>LOG-146</t>
        </is>
      </c>
      <c r="B149" s="33" t="inlineStr"/>
      <c r="C149" s="34" t="inlineStr"/>
      <c r="D149" s="34">
        <f>IFERROR(VLOOKUP(C149, '⚙️ Lookup Tables'!$A$4:$B$15, 2, FALSE), "")</f>
        <v/>
      </c>
      <c r="E149" s="34" t="inlineStr"/>
      <c r="F149" s="35" t="inlineStr"/>
      <c r="G149" s="33" t="inlineStr">
        <is>
          <t>No</t>
        </is>
      </c>
      <c r="H149" s="33" t="inlineStr">
        <is>
          <t>No</t>
        </is>
      </c>
      <c r="I149" s="34" t="inlineStr"/>
      <c r="J149" s="34" t="inlineStr"/>
    </row>
    <row r="150">
      <c r="A150" s="22" t="inlineStr">
        <is>
          <t>LOG-147</t>
        </is>
      </c>
      <c r="B150" s="22" t="inlineStr"/>
      <c r="C150" s="38" t="inlineStr"/>
      <c r="D150" s="38">
        <f>IFERROR(VLOOKUP(C150, '⚙️ Lookup Tables'!$A$4:$B$15, 2, FALSE), "")</f>
        <v/>
      </c>
      <c r="E150" s="38" t="inlineStr"/>
      <c r="F150" s="24" t="inlineStr"/>
      <c r="G150" s="22" t="inlineStr">
        <is>
          <t>No</t>
        </is>
      </c>
      <c r="H150" s="22" t="inlineStr">
        <is>
          <t>No</t>
        </is>
      </c>
      <c r="I150" s="38" t="inlineStr"/>
      <c r="J150" s="38" t="inlineStr"/>
    </row>
    <row r="151">
      <c r="A151" s="33" t="inlineStr">
        <is>
          <t>LOG-148</t>
        </is>
      </c>
      <c r="B151" s="33" t="inlineStr"/>
      <c r="C151" s="34" t="inlineStr"/>
      <c r="D151" s="34">
        <f>IFERROR(VLOOKUP(C151, '⚙️ Lookup Tables'!$A$4:$B$15, 2, FALSE), "")</f>
        <v/>
      </c>
      <c r="E151" s="34" t="inlineStr"/>
      <c r="F151" s="35" t="inlineStr"/>
      <c r="G151" s="33" t="inlineStr">
        <is>
          <t>No</t>
        </is>
      </c>
      <c r="H151" s="33" t="inlineStr">
        <is>
          <t>No</t>
        </is>
      </c>
      <c r="I151" s="34" t="inlineStr"/>
      <c r="J151" s="34" t="inlineStr"/>
    </row>
    <row r="152">
      <c r="A152" s="22" t="inlineStr">
        <is>
          <t>LOG-149</t>
        </is>
      </c>
      <c r="B152" s="22" t="inlineStr"/>
      <c r="C152" s="38" t="inlineStr"/>
      <c r="D152" s="38">
        <f>IFERROR(VLOOKUP(C152, '⚙️ Lookup Tables'!$A$4:$B$15, 2, FALSE), "")</f>
        <v/>
      </c>
      <c r="E152" s="38" t="inlineStr"/>
      <c r="F152" s="24" t="inlineStr"/>
      <c r="G152" s="22" t="inlineStr">
        <is>
          <t>No</t>
        </is>
      </c>
      <c r="H152" s="22" t="inlineStr">
        <is>
          <t>No</t>
        </is>
      </c>
      <c r="I152" s="38" t="inlineStr"/>
      <c r="J152" s="38" t="inlineStr"/>
    </row>
    <row r="153">
      <c r="A153" s="33" t="inlineStr">
        <is>
          <t>LOG-150</t>
        </is>
      </c>
      <c r="B153" s="33" t="inlineStr"/>
      <c r="C153" s="34" t="inlineStr"/>
      <c r="D153" s="34">
        <f>IFERROR(VLOOKUP(C153, '⚙️ Lookup Tables'!$A$4:$B$15, 2, FALSE), "")</f>
        <v/>
      </c>
      <c r="E153" s="34" t="inlineStr"/>
      <c r="F153" s="35" t="inlineStr"/>
      <c r="G153" s="33" t="inlineStr">
        <is>
          <t>No</t>
        </is>
      </c>
      <c r="H153" s="33" t="inlineStr">
        <is>
          <t>No</t>
        </is>
      </c>
      <c r="I153" s="34" t="inlineStr"/>
      <c r="J153" s="34" t="inlineStr"/>
    </row>
    <row r="154">
      <c r="A154" s="22" t="inlineStr">
        <is>
          <t>LOG-151</t>
        </is>
      </c>
      <c r="B154" s="22" t="inlineStr"/>
      <c r="C154" s="38" t="inlineStr"/>
      <c r="D154" s="38">
        <f>IFERROR(VLOOKUP(C154, '⚙️ Lookup Tables'!$A$4:$B$15, 2, FALSE), "")</f>
        <v/>
      </c>
      <c r="E154" s="38" t="inlineStr"/>
      <c r="F154" s="24" t="inlineStr"/>
      <c r="G154" s="22" t="inlineStr">
        <is>
          <t>No</t>
        </is>
      </c>
      <c r="H154" s="22" t="inlineStr">
        <is>
          <t>No</t>
        </is>
      </c>
      <c r="I154" s="38" t="inlineStr"/>
      <c r="J154" s="38" t="inlineStr"/>
    </row>
    <row r="155">
      <c r="A155" s="33" t="inlineStr">
        <is>
          <t>LOG-152</t>
        </is>
      </c>
      <c r="B155" s="33" t="inlineStr"/>
      <c r="C155" s="34" t="inlineStr"/>
      <c r="D155" s="34">
        <f>IFERROR(VLOOKUP(C155, '⚙️ Lookup Tables'!$A$4:$B$15, 2, FALSE), "")</f>
        <v/>
      </c>
      <c r="E155" s="34" t="inlineStr"/>
      <c r="F155" s="35" t="inlineStr"/>
      <c r="G155" s="33" t="inlineStr">
        <is>
          <t>No</t>
        </is>
      </c>
      <c r="H155" s="33" t="inlineStr">
        <is>
          <t>No</t>
        </is>
      </c>
      <c r="I155" s="34" t="inlineStr"/>
      <c r="J155" s="34" t="inlineStr"/>
    </row>
    <row r="156">
      <c r="A156" s="22" t="inlineStr">
        <is>
          <t>LOG-153</t>
        </is>
      </c>
      <c r="B156" s="22" t="inlineStr"/>
      <c r="C156" s="38" t="inlineStr"/>
      <c r="D156" s="38">
        <f>IFERROR(VLOOKUP(C156, '⚙️ Lookup Tables'!$A$4:$B$15, 2, FALSE), "")</f>
        <v/>
      </c>
      <c r="E156" s="38" t="inlineStr"/>
      <c r="F156" s="24" t="inlineStr"/>
      <c r="G156" s="22" t="inlineStr">
        <is>
          <t>No</t>
        </is>
      </c>
      <c r="H156" s="22" t="inlineStr">
        <is>
          <t>No</t>
        </is>
      </c>
      <c r="I156" s="38" t="inlineStr"/>
      <c r="J156" s="38" t="inlineStr"/>
    </row>
    <row r="157">
      <c r="A157" s="33" t="inlineStr">
        <is>
          <t>LOG-154</t>
        </is>
      </c>
      <c r="B157" s="33" t="inlineStr"/>
      <c r="C157" s="34" t="inlineStr"/>
      <c r="D157" s="34">
        <f>IFERROR(VLOOKUP(C157, '⚙️ Lookup Tables'!$A$4:$B$15, 2, FALSE), "")</f>
        <v/>
      </c>
      <c r="E157" s="34" t="inlineStr"/>
      <c r="F157" s="35" t="inlineStr"/>
      <c r="G157" s="33" t="inlineStr">
        <is>
          <t>No</t>
        </is>
      </c>
      <c r="H157" s="33" t="inlineStr">
        <is>
          <t>No</t>
        </is>
      </c>
      <c r="I157" s="34" t="inlineStr"/>
      <c r="J157" s="34" t="inlineStr"/>
    </row>
    <row r="158">
      <c r="A158" s="22" t="inlineStr">
        <is>
          <t>LOG-155</t>
        </is>
      </c>
      <c r="B158" s="22" t="inlineStr"/>
      <c r="C158" s="38" t="inlineStr"/>
      <c r="D158" s="38">
        <f>IFERROR(VLOOKUP(C158, '⚙️ Lookup Tables'!$A$4:$B$15, 2, FALSE), "")</f>
        <v/>
      </c>
      <c r="E158" s="38" t="inlineStr"/>
      <c r="F158" s="24" t="inlineStr"/>
      <c r="G158" s="22" t="inlineStr">
        <is>
          <t>No</t>
        </is>
      </c>
      <c r="H158" s="22" t="inlineStr">
        <is>
          <t>No</t>
        </is>
      </c>
      <c r="I158" s="38" t="inlineStr"/>
      <c r="J158" s="38" t="inlineStr"/>
    </row>
    <row r="159">
      <c r="A159" s="33" t="inlineStr">
        <is>
          <t>LOG-156</t>
        </is>
      </c>
      <c r="B159" s="33" t="inlineStr"/>
      <c r="C159" s="34" t="inlineStr"/>
      <c r="D159" s="34">
        <f>IFERROR(VLOOKUP(C159, '⚙️ Lookup Tables'!$A$4:$B$15, 2, FALSE), "")</f>
        <v/>
      </c>
      <c r="E159" s="34" t="inlineStr"/>
      <c r="F159" s="35" t="inlineStr"/>
      <c r="G159" s="33" t="inlineStr">
        <is>
          <t>No</t>
        </is>
      </c>
      <c r="H159" s="33" t="inlineStr">
        <is>
          <t>No</t>
        </is>
      </c>
      <c r="I159" s="34" t="inlineStr"/>
      <c r="J159" s="34" t="inlineStr"/>
    </row>
    <row r="160">
      <c r="A160" s="22" t="inlineStr">
        <is>
          <t>LOG-157</t>
        </is>
      </c>
      <c r="B160" s="22" t="inlineStr"/>
      <c r="C160" s="38" t="inlineStr"/>
      <c r="D160" s="38">
        <f>IFERROR(VLOOKUP(C160, '⚙️ Lookup Tables'!$A$4:$B$15, 2, FALSE), "")</f>
        <v/>
      </c>
      <c r="E160" s="38" t="inlineStr"/>
      <c r="F160" s="24" t="inlineStr"/>
      <c r="G160" s="22" t="inlineStr">
        <is>
          <t>No</t>
        </is>
      </c>
      <c r="H160" s="22" t="inlineStr">
        <is>
          <t>No</t>
        </is>
      </c>
      <c r="I160" s="38" t="inlineStr"/>
      <c r="J160" s="38" t="inlineStr"/>
    </row>
    <row r="161">
      <c r="A161" s="33" t="inlineStr">
        <is>
          <t>LOG-158</t>
        </is>
      </c>
      <c r="B161" s="33" t="inlineStr"/>
      <c r="C161" s="34" t="inlineStr"/>
      <c r="D161" s="34">
        <f>IFERROR(VLOOKUP(C161, '⚙️ Lookup Tables'!$A$4:$B$15, 2, FALSE), "")</f>
        <v/>
      </c>
      <c r="E161" s="34" t="inlineStr"/>
      <c r="F161" s="35" t="inlineStr"/>
      <c r="G161" s="33" t="inlineStr">
        <is>
          <t>No</t>
        </is>
      </c>
      <c r="H161" s="33" t="inlineStr">
        <is>
          <t>No</t>
        </is>
      </c>
      <c r="I161" s="34" t="inlineStr"/>
      <c r="J161" s="34" t="inlineStr"/>
    </row>
    <row r="162">
      <c r="A162" s="22" t="inlineStr">
        <is>
          <t>LOG-159</t>
        </is>
      </c>
      <c r="B162" s="22" t="inlineStr"/>
      <c r="C162" s="38" t="inlineStr"/>
      <c r="D162" s="38">
        <f>IFERROR(VLOOKUP(C162, '⚙️ Lookup Tables'!$A$4:$B$15, 2, FALSE), "")</f>
        <v/>
      </c>
      <c r="E162" s="38" t="inlineStr"/>
      <c r="F162" s="24" t="inlineStr"/>
      <c r="G162" s="22" t="inlineStr">
        <is>
          <t>No</t>
        </is>
      </c>
      <c r="H162" s="22" t="inlineStr">
        <is>
          <t>No</t>
        </is>
      </c>
      <c r="I162" s="38" t="inlineStr"/>
      <c r="J162" s="38" t="inlineStr"/>
    </row>
    <row r="163">
      <c r="A163" s="33" t="inlineStr">
        <is>
          <t>LOG-160</t>
        </is>
      </c>
      <c r="B163" s="33" t="inlineStr"/>
      <c r="C163" s="34" t="inlineStr"/>
      <c r="D163" s="34">
        <f>IFERROR(VLOOKUP(C163, '⚙️ Lookup Tables'!$A$4:$B$15, 2, FALSE), "")</f>
        <v/>
      </c>
      <c r="E163" s="34" t="inlineStr"/>
      <c r="F163" s="35" t="inlineStr"/>
      <c r="G163" s="33" t="inlineStr">
        <is>
          <t>No</t>
        </is>
      </c>
      <c r="H163" s="33" t="inlineStr">
        <is>
          <t>No</t>
        </is>
      </c>
      <c r="I163" s="34" t="inlineStr"/>
      <c r="J163" s="34" t="inlineStr"/>
    </row>
    <row r="164">
      <c r="A164" s="22" t="inlineStr">
        <is>
          <t>LOG-161</t>
        </is>
      </c>
      <c r="B164" s="22" t="inlineStr"/>
      <c r="C164" s="38" t="inlineStr"/>
      <c r="D164" s="38">
        <f>IFERROR(VLOOKUP(C164, '⚙️ Lookup Tables'!$A$4:$B$15, 2, FALSE), "")</f>
        <v/>
      </c>
      <c r="E164" s="38" t="inlineStr"/>
      <c r="F164" s="24" t="inlineStr"/>
      <c r="G164" s="22" t="inlineStr">
        <is>
          <t>No</t>
        </is>
      </c>
      <c r="H164" s="22" t="inlineStr">
        <is>
          <t>No</t>
        </is>
      </c>
      <c r="I164" s="38" t="inlineStr"/>
      <c r="J164" s="38" t="inlineStr"/>
    </row>
    <row r="165">
      <c r="A165" s="33" t="inlineStr">
        <is>
          <t>LOG-162</t>
        </is>
      </c>
      <c r="B165" s="33" t="inlineStr"/>
      <c r="C165" s="34" t="inlineStr"/>
      <c r="D165" s="34">
        <f>IFERROR(VLOOKUP(C165, '⚙️ Lookup Tables'!$A$4:$B$15, 2, FALSE), "")</f>
        <v/>
      </c>
      <c r="E165" s="34" t="inlineStr"/>
      <c r="F165" s="35" t="inlineStr"/>
      <c r="G165" s="33" t="inlineStr">
        <is>
          <t>No</t>
        </is>
      </c>
      <c r="H165" s="33" t="inlineStr">
        <is>
          <t>No</t>
        </is>
      </c>
      <c r="I165" s="34" t="inlineStr"/>
      <c r="J165" s="34" t="inlineStr"/>
    </row>
    <row r="166">
      <c r="A166" s="22" t="inlineStr">
        <is>
          <t>LOG-163</t>
        </is>
      </c>
      <c r="B166" s="22" t="inlineStr"/>
      <c r="C166" s="38" t="inlineStr"/>
      <c r="D166" s="38">
        <f>IFERROR(VLOOKUP(C166, '⚙️ Lookup Tables'!$A$4:$B$15, 2, FALSE), "")</f>
        <v/>
      </c>
      <c r="E166" s="38" t="inlineStr"/>
      <c r="F166" s="24" t="inlineStr"/>
      <c r="G166" s="22" t="inlineStr">
        <is>
          <t>No</t>
        </is>
      </c>
      <c r="H166" s="22" t="inlineStr">
        <is>
          <t>No</t>
        </is>
      </c>
      <c r="I166" s="38" t="inlineStr"/>
      <c r="J166" s="38" t="inlineStr"/>
    </row>
    <row r="167">
      <c r="A167" s="33" t="inlineStr">
        <is>
          <t>LOG-164</t>
        </is>
      </c>
      <c r="B167" s="33" t="inlineStr"/>
      <c r="C167" s="34" t="inlineStr"/>
      <c r="D167" s="34">
        <f>IFERROR(VLOOKUP(C167, '⚙️ Lookup Tables'!$A$4:$B$15, 2, FALSE), "")</f>
        <v/>
      </c>
      <c r="E167" s="34" t="inlineStr"/>
      <c r="F167" s="35" t="inlineStr"/>
      <c r="G167" s="33" t="inlineStr">
        <is>
          <t>No</t>
        </is>
      </c>
      <c r="H167" s="33" t="inlineStr">
        <is>
          <t>No</t>
        </is>
      </c>
      <c r="I167" s="34" t="inlineStr"/>
      <c r="J167" s="34" t="inlineStr"/>
    </row>
    <row r="168">
      <c r="A168" s="22" t="inlineStr">
        <is>
          <t>LOG-165</t>
        </is>
      </c>
      <c r="B168" s="22" t="inlineStr"/>
      <c r="C168" s="38" t="inlineStr"/>
      <c r="D168" s="38">
        <f>IFERROR(VLOOKUP(C168, '⚙️ Lookup Tables'!$A$4:$B$15, 2, FALSE), "")</f>
        <v/>
      </c>
      <c r="E168" s="38" t="inlineStr"/>
      <c r="F168" s="24" t="inlineStr"/>
      <c r="G168" s="22" t="inlineStr">
        <is>
          <t>No</t>
        </is>
      </c>
      <c r="H168" s="22" t="inlineStr">
        <is>
          <t>No</t>
        </is>
      </c>
      <c r="I168" s="38" t="inlineStr"/>
      <c r="J168" s="38" t="inlineStr"/>
    </row>
    <row r="169">
      <c r="A169" s="33" t="inlineStr">
        <is>
          <t>LOG-166</t>
        </is>
      </c>
      <c r="B169" s="33" t="inlineStr"/>
      <c r="C169" s="34" t="inlineStr"/>
      <c r="D169" s="34">
        <f>IFERROR(VLOOKUP(C169, '⚙️ Lookup Tables'!$A$4:$B$15, 2, FALSE), "")</f>
        <v/>
      </c>
      <c r="E169" s="34" t="inlineStr"/>
      <c r="F169" s="35" t="inlineStr"/>
      <c r="G169" s="33" t="inlineStr">
        <is>
          <t>No</t>
        </is>
      </c>
      <c r="H169" s="33" t="inlineStr">
        <is>
          <t>No</t>
        </is>
      </c>
      <c r="I169" s="34" t="inlineStr"/>
      <c r="J169" s="34" t="inlineStr"/>
    </row>
    <row r="170">
      <c r="A170" s="22" t="inlineStr">
        <is>
          <t>LOG-167</t>
        </is>
      </c>
      <c r="B170" s="22" t="inlineStr"/>
      <c r="C170" s="38" t="inlineStr"/>
      <c r="D170" s="38">
        <f>IFERROR(VLOOKUP(C170, '⚙️ Lookup Tables'!$A$4:$B$15, 2, FALSE), "")</f>
        <v/>
      </c>
      <c r="E170" s="38" t="inlineStr"/>
      <c r="F170" s="24" t="inlineStr"/>
      <c r="G170" s="22" t="inlineStr">
        <is>
          <t>No</t>
        </is>
      </c>
      <c r="H170" s="22" t="inlineStr">
        <is>
          <t>No</t>
        </is>
      </c>
      <c r="I170" s="38" t="inlineStr"/>
      <c r="J170" s="38" t="inlineStr"/>
    </row>
    <row r="171">
      <c r="A171" s="33" t="inlineStr">
        <is>
          <t>LOG-168</t>
        </is>
      </c>
      <c r="B171" s="33" t="inlineStr"/>
      <c r="C171" s="34" t="inlineStr"/>
      <c r="D171" s="34">
        <f>IFERROR(VLOOKUP(C171, '⚙️ Lookup Tables'!$A$4:$B$15, 2, FALSE), "")</f>
        <v/>
      </c>
      <c r="E171" s="34" t="inlineStr"/>
      <c r="F171" s="35" t="inlineStr"/>
      <c r="G171" s="33" t="inlineStr">
        <is>
          <t>No</t>
        </is>
      </c>
      <c r="H171" s="33" t="inlineStr">
        <is>
          <t>No</t>
        </is>
      </c>
      <c r="I171" s="34" t="inlineStr"/>
      <c r="J171" s="34" t="inlineStr"/>
    </row>
    <row r="172">
      <c r="A172" s="22" t="inlineStr">
        <is>
          <t>LOG-169</t>
        </is>
      </c>
      <c r="B172" s="22" t="inlineStr"/>
      <c r="C172" s="38" t="inlineStr"/>
      <c r="D172" s="38">
        <f>IFERROR(VLOOKUP(C172, '⚙️ Lookup Tables'!$A$4:$B$15, 2, FALSE), "")</f>
        <v/>
      </c>
      <c r="E172" s="38" t="inlineStr"/>
      <c r="F172" s="24" t="inlineStr"/>
      <c r="G172" s="22" t="inlineStr">
        <is>
          <t>No</t>
        </is>
      </c>
      <c r="H172" s="22" t="inlineStr">
        <is>
          <t>No</t>
        </is>
      </c>
      <c r="I172" s="38" t="inlineStr"/>
      <c r="J172" s="38" t="inlineStr"/>
    </row>
    <row r="173">
      <c r="A173" s="33" t="inlineStr">
        <is>
          <t>LOG-170</t>
        </is>
      </c>
      <c r="B173" s="33" t="inlineStr"/>
      <c r="C173" s="34" t="inlineStr"/>
      <c r="D173" s="34">
        <f>IFERROR(VLOOKUP(C173, '⚙️ Lookup Tables'!$A$4:$B$15, 2, FALSE), "")</f>
        <v/>
      </c>
      <c r="E173" s="34" t="inlineStr"/>
      <c r="F173" s="35" t="inlineStr"/>
      <c r="G173" s="33" t="inlineStr">
        <is>
          <t>No</t>
        </is>
      </c>
      <c r="H173" s="33" t="inlineStr">
        <is>
          <t>No</t>
        </is>
      </c>
      <c r="I173" s="34" t="inlineStr"/>
      <c r="J173" s="34" t="inlineStr"/>
    </row>
    <row r="174">
      <c r="A174" s="22" t="inlineStr">
        <is>
          <t>LOG-171</t>
        </is>
      </c>
      <c r="B174" s="22" t="inlineStr"/>
      <c r="C174" s="38" t="inlineStr"/>
      <c r="D174" s="38">
        <f>IFERROR(VLOOKUP(C174, '⚙️ Lookup Tables'!$A$4:$B$15, 2, FALSE), "")</f>
        <v/>
      </c>
      <c r="E174" s="38" t="inlineStr"/>
      <c r="F174" s="24" t="inlineStr"/>
      <c r="G174" s="22" t="inlineStr">
        <is>
          <t>No</t>
        </is>
      </c>
      <c r="H174" s="22" t="inlineStr">
        <is>
          <t>No</t>
        </is>
      </c>
      <c r="I174" s="38" t="inlineStr"/>
      <c r="J174" s="38" t="inlineStr"/>
    </row>
    <row r="175">
      <c r="A175" s="33" t="inlineStr">
        <is>
          <t>LOG-172</t>
        </is>
      </c>
      <c r="B175" s="33" t="inlineStr"/>
      <c r="C175" s="34" t="inlineStr"/>
      <c r="D175" s="34">
        <f>IFERROR(VLOOKUP(C175, '⚙️ Lookup Tables'!$A$4:$B$15, 2, FALSE), "")</f>
        <v/>
      </c>
      <c r="E175" s="34" t="inlineStr"/>
      <c r="F175" s="35" t="inlineStr"/>
      <c r="G175" s="33" t="inlineStr">
        <is>
          <t>No</t>
        </is>
      </c>
      <c r="H175" s="33" t="inlineStr">
        <is>
          <t>No</t>
        </is>
      </c>
      <c r="I175" s="34" t="inlineStr"/>
      <c r="J175" s="34" t="inlineStr"/>
    </row>
    <row r="176">
      <c r="A176" s="22" t="inlineStr">
        <is>
          <t>LOG-173</t>
        </is>
      </c>
      <c r="B176" s="22" t="inlineStr"/>
      <c r="C176" s="38" t="inlineStr"/>
      <c r="D176" s="38">
        <f>IFERROR(VLOOKUP(C176, '⚙️ Lookup Tables'!$A$4:$B$15, 2, FALSE), "")</f>
        <v/>
      </c>
      <c r="E176" s="38" t="inlineStr"/>
      <c r="F176" s="24" t="inlineStr"/>
      <c r="G176" s="22" t="inlineStr">
        <is>
          <t>No</t>
        </is>
      </c>
      <c r="H176" s="22" t="inlineStr">
        <is>
          <t>No</t>
        </is>
      </c>
      <c r="I176" s="38" t="inlineStr"/>
      <c r="J176" s="38" t="inlineStr"/>
    </row>
    <row r="177">
      <c r="A177" s="33" t="inlineStr">
        <is>
          <t>LOG-174</t>
        </is>
      </c>
      <c r="B177" s="33" t="inlineStr"/>
      <c r="C177" s="34" t="inlineStr"/>
      <c r="D177" s="34">
        <f>IFERROR(VLOOKUP(C177, '⚙️ Lookup Tables'!$A$4:$B$15, 2, FALSE), "")</f>
        <v/>
      </c>
      <c r="E177" s="34" t="inlineStr"/>
      <c r="F177" s="35" t="inlineStr"/>
      <c r="G177" s="33" t="inlineStr">
        <is>
          <t>No</t>
        </is>
      </c>
      <c r="H177" s="33" t="inlineStr">
        <is>
          <t>No</t>
        </is>
      </c>
      <c r="I177" s="34" t="inlineStr"/>
      <c r="J177" s="34" t="inlineStr"/>
    </row>
    <row r="178">
      <c r="A178" s="22" t="inlineStr">
        <is>
          <t>LOG-175</t>
        </is>
      </c>
      <c r="B178" s="22" t="inlineStr"/>
      <c r="C178" s="38" t="inlineStr"/>
      <c r="D178" s="38">
        <f>IFERROR(VLOOKUP(C178, '⚙️ Lookup Tables'!$A$4:$B$15, 2, FALSE), "")</f>
        <v/>
      </c>
      <c r="E178" s="38" t="inlineStr"/>
      <c r="F178" s="24" t="inlineStr"/>
      <c r="G178" s="22" t="inlineStr">
        <is>
          <t>No</t>
        </is>
      </c>
      <c r="H178" s="22" t="inlineStr">
        <is>
          <t>No</t>
        </is>
      </c>
      <c r="I178" s="38" t="inlineStr"/>
      <c r="J178" s="38" t="inlineStr"/>
    </row>
    <row r="179">
      <c r="A179" s="33" t="inlineStr">
        <is>
          <t>LOG-176</t>
        </is>
      </c>
      <c r="B179" s="33" t="inlineStr"/>
      <c r="C179" s="34" t="inlineStr"/>
      <c r="D179" s="34">
        <f>IFERROR(VLOOKUP(C179, '⚙️ Lookup Tables'!$A$4:$B$15, 2, FALSE), "")</f>
        <v/>
      </c>
      <c r="E179" s="34" t="inlineStr"/>
      <c r="F179" s="35" t="inlineStr"/>
      <c r="G179" s="33" t="inlineStr">
        <is>
          <t>No</t>
        </is>
      </c>
      <c r="H179" s="33" t="inlineStr">
        <is>
          <t>No</t>
        </is>
      </c>
      <c r="I179" s="34" t="inlineStr"/>
      <c r="J179" s="34" t="inlineStr"/>
    </row>
    <row r="180">
      <c r="A180" s="22" t="inlineStr">
        <is>
          <t>LOG-177</t>
        </is>
      </c>
      <c r="B180" s="22" t="inlineStr"/>
      <c r="C180" s="38" t="inlineStr"/>
      <c r="D180" s="38">
        <f>IFERROR(VLOOKUP(C180, '⚙️ Lookup Tables'!$A$4:$B$15, 2, FALSE), "")</f>
        <v/>
      </c>
      <c r="E180" s="38" t="inlineStr"/>
      <c r="F180" s="24" t="inlineStr"/>
      <c r="G180" s="22" t="inlineStr">
        <is>
          <t>No</t>
        </is>
      </c>
      <c r="H180" s="22" t="inlineStr">
        <is>
          <t>No</t>
        </is>
      </c>
      <c r="I180" s="38" t="inlineStr"/>
      <c r="J180" s="38" t="inlineStr"/>
    </row>
    <row r="181">
      <c r="A181" s="33" t="inlineStr">
        <is>
          <t>LOG-178</t>
        </is>
      </c>
      <c r="B181" s="33" t="inlineStr"/>
      <c r="C181" s="34" t="inlineStr"/>
      <c r="D181" s="34">
        <f>IFERROR(VLOOKUP(C181, '⚙️ Lookup Tables'!$A$4:$B$15, 2, FALSE), "")</f>
        <v/>
      </c>
      <c r="E181" s="34" t="inlineStr"/>
      <c r="F181" s="35" t="inlineStr"/>
      <c r="G181" s="33" t="inlineStr">
        <is>
          <t>No</t>
        </is>
      </c>
      <c r="H181" s="33" t="inlineStr">
        <is>
          <t>No</t>
        </is>
      </c>
      <c r="I181" s="34" t="inlineStr"/>
      <c r="J181" s="34" t="inlineStr"/>
    </row>
    <row r="182">
      <c r="A182" s="22" t="inlineStr">
        <is>
          <t>LOG-179</t>
        </is>
      </c>
      <c r="B182" s="22" t="inlineStr"/>
      <c r="C182" s="38" t="inlineStr"/>
      <c r="D182" s="38">
        <f>IFERROR(VLOOKUP(C182, '⚙️ Lookup Tables'!$A$4:$B$15, 2, FALSE), "")</f>
        <v/>
      </c>
      <c r="E182" s="38" t="inlineStr"/>
      <c r="F182" s="24" t="inlineStr"/>
      <c r="G182" s="22" t="inlineStr">
        <is>
          <t>No</t>
        </is>
      </c>
      <c r="H182" s="22" t="inlineStr">
        <is>
          <t>No</t>
        </is>
      </c>
      <c r="I182" s="38" t="inlineStr"/>
      <c r="J182" s="38" t="inlineStr"/>
    </row>
    <row r="183">
      <c r="A183" s="33" t="inlineStr">
        <is>
          <t>LOG-180</t>
        </is>
      </c>
      <c r="B183" s="33" t="inlineStr"/>
      <c r="C183" s="34" t="inlineStr"/>
      <c r="D183" s="34">
        <f>IFERROR(VLOOKUP(C183, '⚙️ Lookup Tables'!$A$4:$B$15, 2, FALSE), "")</f>
        <v/>
      </c>
      <c r="E183" s="34" t="inlineStr"/>
      <c r="F183" s="35" t="inlineStr"/>
      <c r="G183" s="33" t="inlineStr">
        <is>
          <t>No</t>
        </is>
      </c>
      <c r="H183" s="33" t="inlineStr">
        <is>
          <t>No</t>
        </is>
      </c>
      <c r="I183" s="34" t="inlineStr"/>
      <c r="J183" s="34" t="inlineStr"/>
    </row>
    <row r="184">
      <c r="A184" s="22" t="inlineStr">
        <is>
          <t>LOG-181</t>
        </is>
      </c>
      <c r="B184" s="22" t="inlineStr"/>
      <c r="C184" s="38" t="inlineStr"/>
      <c r="D184" s="38">
        <f>IFERROR(VLOOKUP(C184, '⚙️ Lookup Tables'!$A$4:$B$15, 2, FALSE), "")</f>
        <v/>
      </c>
      <c r="E184" s="38" t="inlineStr"/>
      <c r="F184" s="24" t="inlineStr"/>
      <c r="G184" s="22" t="inlineStr">
        <is>
          <t>No</t>
        </is>
      </c>
      <c r="H184" s="22" t="inlineStr">
        <is>
          <t>No</t>
        </is>
      </c>
      <c r="I184" s="38" t="inlineStr"/>
      <c r="J184" s="38" t="inlineStr"/>
    </row>
    <row r="185">
      <c r="A185" s="33" t="inlineStr">
        <is>
          <t>LOG-182</t>
        </is>
      </c>
      <c r="B185" s="33" t="inlineStr"/>
      <c r="C185" s="34" t="inlineStr"/>
      <c r="D185" s="34">
        <f>IFERROR(VLOOKUP(C185, '⚙️ Lookup Tables'!$A$4:$B$15, 2, FALSE), "")</f>
        <v/>
      </c>
      <c r="E185" s="34" t="inlineStr"/>
      <c r="F185" s="35" t="inlineStr"/>
      <c r="G185" s="33" t="inlineStr">
        <is>
          <t>No</t>
        </is>
      </c>
      <c r="H185" s="33" t="inlineStr">
        <is>
          <t>No</t>
        </is>
      </c>
      <c r="I185" s="34" t="inlineStr"/>
      <c r="J185" s="34" t="inlineStr"/>
    </row>
    <row r="186">
      <c r="A186" s="22" t="inlineStr">
        <is>
          <t>LOG-183</t>
        </is>
      </c>
      <c r="B186" s="22" t="inlineStr"/>
      <c r="C186" s="38" t="inlineStr"/>
      <c r="D186" s="38">
        <f>IFERROR(VLOOKUP(C186, '⚙️ Lookup Tables'!$A$4:$B$15, 2, FALSE), "")</f>
        <v/>
      </c>
      <c r="E186" s="38" t="inlineStr"/>
      <c r="F186" s="24" t="inlineStr"/>
      <c r="G186" s="22" t="inlineStr">
        <is>
          <t>No</t>
        </is>
      </c>
      <c r="H186" s="22" t="inlineStr">
        <is>
          <t>No</t>
        </is>
      </c>
      <c r="I186" s="38" t="inlineStr"/>
      <c r="J186" s="38" t="inlineStr"/>
    </row>
    <row r="187">
      <c r="A187" s="33" t="inlineStr">
        <is>
          <t>LOG-184</t>
        </is>
      </c>
      <c r="B187" s="33" t="inlineStr"/>
      <c r="C187" s="34" t="inlineStr"/>
      <c r="D187" s="34">
        <f>IFERROR(VLOOKUP(C187, '⚙️ Lookup Tables'!$A$4:$B$15, 2, FALSE), "")</f>
        <v/>
      </c>
      <c r="E187" s="34" t="inlineStr"/>
      <c r="F187" s="35" t="inlineStr"/>
      <c r="G187" s="33" t="inlineStr">
        <is>
          <t>No</t>
        </is>
      </c>
      <c r="H187" s="33" t="inlineStr">
        <is>
          <t>No</t>
        </is>
      </c>
      <c r="I187" s="34" t="inlineStr"/>
      <c r="J187" s="34" t="inlineStr"/>
    </row>
    <row r="188">
      <c r="A188" s="22" t="inlineStr">
        <is>
          <t>LOG-185</t>
        </is>
      </c>
      <c r="B188" s="22" t="inlineStr"/>
      <c r="C188" s="38" t="inlineStr"/>
      <c r="D188" s="38">
        <f>IFERROR(VLOOKUP(C188, '⚙️ Lookup Tables'!$A$4:$B$15, 2, FALSE), "")</f>
        <v/>
      </c>
      <c r="E188" s="38" t="inlineStr"/>
      <c r="F188" s="24" t="inlineStr"/>
      <c r="G188" s="22" t="inlineStr">
        <is>
          <t>No</t>
        </is>
      </c>
      <c r="H188" s="22" t="inlineStr">
        <is>
          <t>No</t>
        </is>
      </c>
      <c r="I188" s="38" t="inlineStr"/>
      <c r="J188" s="38" t="inlineStr"/>
    </row>
    <row r="189">
      <c r="A189" s="33" t="inlineStr">
        <is>
          <t>LOG-186</t>
        </is>
      </c>
      <c r="B189" s="33" t="inlineStr"/>
      <c r="C189" s="34" t="inlineStr"/>
      <c r="D189" s="34">
        <f>IFERROR(VLOOKUP(C189, '⚙️ Lookup Tables'!$A$4:$B$15, 2, FALSE), "")</f>
        <v/>
      </c>
      <c r="E189" s="34" t="inlineStr"/>
      <c r="F189" s="35" t="inlineStr"/>
      <c r="G189" s="33" t="inlineStr">
        <is>
          <t>No</t>
        </is>
      </c>
      <c r="H189" s="33" t="inlineStr">
        <is>
          <t>No</t>
        </is>
      </c>
      <c r="I189" s="34" t="inlineStr"/>
      <c r="J189" s="34" t="inlineStr"/>
    </row>
    <row r="190">
      <c r="A190" s="22" t="inlineStr">
        <is>
          <t>LOG-187</t>
        </is>
      </c>
      <c r="B190" s="22" t="inlineStr"/>
      <c r="C190" s="38" t="inlineStr"/>
      <c r="D190" s="38">
        <f>IFERROR(VLOOKUP(C190, '⚙️ Lookup Tables'!$A$4:$B$15, 2, FALSE), "")</f>
        <v/>
      </c>
      <c r="E190" s="38" t="inlineStr"/>
      <c r="F190" s="24" t="inlineStr"/>
      <c r="G190" s="22" t="inlineStr">
        <is>
          <t>No</t>
        </is>
      </c>
      <c r="H190" s="22" t="inlineStr">
        <is>
          <t>No</t>
        </is>
      </c>
      <c r="I190" s="38" t="inlineStr"/>
      <c r="J190" s="38" t="inlineStr"/>
    </row>
    <row r="191">
      <c r="A191" s="33" t="inlineStr">
        <is>
          <t>LOG-188</t>
        </is>
      </c>
      <c r="B191" s="33" t="inlineStr"/>
      <c r="C191" s="34" t="inlineStr"/>
      <c r="D191" s="34">
        <f>IFERROR(VLOOKUP(C191, '⚙️ Lookup Tables'!$A$4:$B$15, 2, FALSE), "")</f>
        <v/>
      </c>
      <c r="E191" s="34" t="inlineStr"/>
      <c r="F191" s="35" t="inlineStr"/>
      <c r="G191" s="33" t="inlineStr">
        <is>
          <t>No</t>
        </is>
      </c>
      <c r="H191" s="33" t="inlineStr">
        <is>
          <t>No</t>
        </is>
      </c>
      <c r="I191" s="34" t="inlineStr"/>
      <c r="J191" s="34" t="inlineStr"/>
    </row>
    <row r="192">
      <c r="A192" s="22" t="inlineStr">
        <is>
          <t>LOG-189</t>
        </is>
      </c>
      <c r="B192" s="22" t="inlineStr"/>
      <c r="C192" s="38" t="inlineStr"/>
      <c r="D192" s="38">
        <f>IFERROR(VLOOKUP(C192, '⚙️ Lookup Tables'!$A$4:$B$15, 2, FALSE), "")</f>
        <v/>
      </c>
      <c r="E192" s="38" t="inlineStr"/>
      <c r="F192" s="24" t="inlineStr"/>
      <c r="G192" s="22" t="inlineStr">
        <is>
          <t>No</t>
        </is>
      </c>
      <c r="H192" s="22" t="inlineStr">
        <is>
          <t>No</t>
        </is>
      </c>
      <c r="I192" s="38" t="inlineStr"/>
      <c r="J192" s="38" t="inlineStr"/>
    </row>
    <row r="193">
      <c r="A193" s="33" t="inlineStr">
        <is>
          <t>LOG-190</t>
        </is>
      </c>
      <c r="B193" s="33" t="inlineStr"/>
      <c r="C193" s="34" t="inlineStr"/>
      <c r="D193" s="34">
        <f>IFERROR(VLOOKUP(C193, '⚙️ Lookup Tables'!$A$4:$B$15, 2, FALSE), "")</f>
        <v/>
      </c>
      <c r="E193" s="34" t="inlineStr"/>
      <c r="F193" s="35" t="inlineStr"/>
      <c r="G193" s="33" t="inlineStr">
        <is>
          <t>No</t>
        </is>
      </c>
      <c r="H193" s="33" t="inlineStr">
        <is>
          <t>No</t>
        </is>
      </c>
      <c r="I193" s="34" t="inlineStr"/>
      <c r="J193" s="34" t="inlineStr"/>
    </row>
    <row r="194">
      <c r="A194" s="22" t="inlineStr">
        <is>
          <t>LOG-191</t>
        </is>
      </c>
      <c r="B194" s="22" t="inlineStr"/>
      <c r="C194" s="38" t="inlineStr"/>
      <c r="D194" s="38">
        <f>IFERROR(VLOOKUP(C194, '⚙️ Lookup Tables'!$A$4:$B$15, 2, FALSE), "")</f>
        <v/>
      </c>
      <c r="E194" s="38" t="inlineStr"/>
      <c r="F194" s="24" t="inlineStr"/>
      <c r="G194" s="22" t="inlineStr">
        <is>
          <t>No</t>
        </is>
      </c>
      <c r="H194" s="22" t="inlineStr">
        <is>
          <t>No</t>
        </is>
      </c>
      <c r="I194" s="38" t="inlineStr"/>
      <c r="J194" s="38" t="inlineStr"/>
    </row>
    <row r="195">
      <c r="A195" s="33" t="inlineStr">
        <is>
          <t>LOG-192</t>
        </is>
      </c>
      <c r="B195" s="33" t="inlineStr"/>
      <c r="C195" s="34" t="inlineStr"/>
      <c r="D195" s="34">
        <f>IFERROR(VLOOKUP(C195, '⚙️ Lookup Tables'!$A$4:$B$15, 2, FALSE), "")</f>
        <v/>
      </c>
      <c r="E195" s="34" t="inlineStr"/>
      <c r="F195" s="35" t="inlineStr"/>
      <c r="G195" s="33" t="inlineStr">
        <is>
          <t>No</t>
        </is>
      </c>
      <c r="H195" s="33" t="inlineStr">
        <is>
          <t>No</t>
        </is>
      </c>
      <c r="I195" s="34" t="inlineStr"/>
      <c r="J195" s="34" t="inlineStr"/>
    </row>
    <row r="196">
      <c r="A196" s="22" t="inlineStr">
        <is>
          <t>LOG-193</t>
        </is>
      </c>
      <c r="B196" s="22" t="inlineStr"/>
      <c r="C196" s="38" t="inlineStr"/>
      <c r="D196" s="38">
        <f>IFERROR(VLOOKUP(C196, '⚙️ Lookup Tables'!$A$4:$B$15, 2, FALSE), "")</f>
        <v/>
      </c>
      <c r="E196" s="38" t="inlineStr"/>
      <c r="F196" s="24" t="inlineStr"/>
      <c r="G196" s="22" t="inlineStr">
        <is>
          <t>No</t>
        </is>
      </c>
      <c r="H196" s="22" t="inlineStr">
        <is>
          <t>No</t>
        </is>
      </c>
      <c r="I196" s="38" t="inlineStr"/>
      <c r="J196" s="38" t="inlineStr"/>
    </row>
    <row r="197">
      <c r="A197" s="33" t="inlineStr">
        <is>
          <t>LOG-194</t>
        </is>
      </c>
      <c r="B197" s="33" t="inlineStr"/>
      <c r="C197" s="34" t="inlineStr"/>
      <c r="D197" s="34">
        <f>IFERROR(VLOOKUP(C197, '⚙️ Lookup Tables'!$A$4:$B$15, 2, FALSE), "")</f>
        <v/>
      </c>
      <c r="E197" s="34" t="inlineStr"/>
      <c r="F197" s="35" t="inlineStr"/>
      <c r="G197" s="33" t="inlineStr">
        <is>
          <t>No</t>
        </is>
      </c>
      <c r="H197" s="33" t="inlineStr">
        <is>
          <t>No</t>
        </is>
      </c>
      <c r="I197" s="34" t="inlineStr"/>
      <c r="J197" s="34" t="inlineStr"/>
    </row>
    <row r="198">
      <c r="A198" s="22" t="inlineStr">
        <is>
          <t>LOG-195</t>
        </is>
      </c>
      <c r="B198" s="22" t="inlineStr"/>
      <c r="C198" s="38" t="inlineStr"/>
      <c r="D198" s="38">
        <f>IFERROR(VLOOKUP(C198, '⚙️ Lookup Tables'!$A$4:$B$15, 2, FALSE), "")</f>
        <v/>
      </c>
      <c r="E198" s="38" t="inlineStr"/>
      <c r="F198" s="24" t="inlineStr"/>
      <c r="G198" s="22" t="inlineStr">
        <is>
          <t>No</t>
        </is>
      </c>
      <c r="H198" s="22" t="inlineStr">
        <is>
          <t>No</t>
        </is>
      </c>
      <c r="I198" s="38" t="inlineStr"/>
      <c r="J198" s="38" t="inlineStr"/>
    </row>
    <row r="199">
      <c r="A199" s="33" t="inlineStr">
        <is>
          <t>LOG-196</t>
        </is>
      </c>
      <c r="B199" s="33" t="inlineStr"/>
      <c r="C199" s="34" t="inlineStr"/>
      <c r="D199" s="34">
        <f>IFERROR(VLOOKUP(C199, '⚙️ Lookup Tables'!$A$4:$B$15, 2, FALSE), "")</f>
        <v/>
      </c>
      <c r="E199" s="34" t="inlineStr"/>
      <c r="F199" s="35" t="inlineStr"/>
      <c r="G199" s="33" t="inlineStr">
        <is>
          <t>No</t>
        </is>
      </c>
      <c r="H199" s="33" t="inlineStr">
        <is>
          <t>No</t>
        </is>
      </c>
      <c r="I199" s="34" t="inlineStr"/>
      <c r="J199" s="34" t="inlineStr"/>
    </row>
    <row r="200">
      <c r="A200" s="22" t="inlineStr">
        <is>
          <t>LOG-197</t>
        </is>
      </c>
      <c r="B200" s="22" t="inlineStr"/>
      <c r="C200" s="38" t="inlineStr"/>
      <c r="D200" s="38">
        <f>IFERROR(VLOOKUP(C200, '⚙️ Lookup Tables'!$A$4:$B$15, 2, FALSE), "")</f>
        <v/>
      </c>
      <c r="E200" s="38" t="inlineStr"/>
      <c r="F200" s="24" t="inlineStr"/>
      <c r="G200" s="22" t="inlineStr">
        <is>
          <t>No</t>
        </is>
      </c>
      <c r="H200" s="22" t="inlineStr">
        <is>
          <t>No</t>
        </is>
      </c>
      <c r="I200" s="38" t="inlineStr"/>
      <c r="J200" s="38" t="inlineStr"/>
    </row>
    <row r="201">
      <c r="A201" s="33" t="inlineStr">
        <is>
          <t>LOG-198</t>
        </is>
      </c>
      <c r="B201" s="33" t="inlineStr"/>
      <c r="C201" s="34" t="inlineStr"/>
      <c r="D201" s="34">
        <f>IFERROR(VLOOKUP(C201, '⚙️ Lookup Tables'!$A$4:$B$15, 2, FALSE), "")</f>
        <v/>
      </c>
      <c r="E201" s="34" t="inlineStr"/>
      <c r="F201" s="35" t="inlineStr"/>
      <c r="G201" s="33" t="inlineStr">
        <is>
          <t>No</t>
        </is>
      </c>
      <c r="H201" s="33" t="inlineStr">
        <is>
          <t>No</t>
        </is>
      </c>
      <c r="I201" s="34" t="inlineStr"/>
      <c r="J201" s="34" t="inlineStr"/>
    </row>
    <row r="202">
      <c r="A202" s="22" t="inlineStr">
        <is>
          <t>LOG-199</t>
        </is>
      </c>
      <c r="B202" s="22" t="inlineStr"/>
      <c r="C202" s="38" t="inlineStr"/>
      <c r="D202" s="38">
        <f>IFERROR(VLOOKUP(C202, '⚙️ Lookup Tables'!$A$4:$B$15, 2, FALSE), "")</f>
        <v/>
      </c>
      <c r="E202" s="38" t="inlineStr"/>
      <c r="F202" s="24" t="inlineStr"/>
      <c r="G202" s="22" t="inlineStr">
        <is>
          <t>No</t>
        </is>
      </c>
      <c r="H202" s="22" t="inlineStr">
        <is>
          <t>No</t>
        </is>
      </c>
      <c r="I202" s="38" t="inlineStr"/>
      <c r="J202" s="38" t="inlineStr"/>
    </row>
    <row r="203">
      <c r="A203" s="33" t="inlineStr">
        <is>
          <t>LOG-200</t>
        </is>
      </c>
      <c r="B203" s="33" t="inlineStr"/>
      <c r="C203" s="34" t="inlineStr"/>
      <c r="D203" s="34">
        <f>IFERROR(VLOOKUP(C203, '⚙️ Lookup Tables'!$A$4:$B$15, 2, FALSE), "")</f>
        <v/>
      </c>
      <c r="E203" s="34" t="inlineStr"/>
      <c r="F203" s="35" t="inlineStr"/>
      <c r="G203" s="33" t="inlineStr">
        <is>
          <t>No</t>
        </is>
      </c>
      <c r="H203" s="33" t="inlineStr">
        <is>
          <t>No</t>
        </is>
      </c>
      <c r="I203" s="34" t="inlineStr"/>
      <c r="J203" s="34" t="inlineStr"/>
    </row>
    <row r="204">
      <c r="A204" s="22" t="inlineStr">
        <is>
          <t>LOG-201</t>
        </is>
      </c>
      <c r="B204" s="22" t="inlineStr"/>
      <c r="C204" s="38" t="inlineStr"/>
      <c r="D204" s="38">
        <f>IFERROR(VLOOKUP(C204, '⚙️ Lookup Tables'!$A$4:$B$15, 2, FALSE), "")</f>
        <v/>
      </c>
      <c r="E204" s="38" t="inlineStr"/>
      <c r="F204" s="24" t="inlineStr"/>
      <c r="G204" s="22" t="inlineStr">
        <is>
          <t>No</t>
        </is>
      </c>
      <c r="H204" s="22" t="inlineStr">
        <is>
          <t>No</t>
        </is>
      </c>
      <c r="I204" s="38" t="inlineStr"/>
      <c r="J204" s="38" t="inlineStr"/>
    </row>
    <row r="205">
      <c r="A205" s="33" t="inlineStr">
        <is>
          <t>LOG-202</t>
        </is>
      </c>
      <c r="B205" s="33" t="inlineStr"/>
      <c r="C205" s="34" t="inlineStr"/>
      <c r="D205" s="34">
        <f>IFERROR(VLOOKUP(C205, '⚙️ Lookup Tables'!$A$4:$B$15, 2, FALSE), "")</f>
        <v/>
      </c>
      <c r="E205" s="34" t="inlineStr"/>
      <c r="F205" s="35" t="inlineStr"/>
      <c r="G205" s="33" t="inlineStr">
        <is>
          <t>No</t>
        </is>
      </c>
      <c r="H205" s="33" t="inlineStr">
        <is>
          <t>No</t>
        </is>
      </c>
      <c r="I205" s="34" t="inlineStr"/>
      <c r="J205" s="34" t="inlineStr"/>
    </row>
    <row r="206">
      <c r="A206" s="22" t="inlineStr">
        <is>
          <t>LOG-203</t>
        </is>
      </c>
      <c r="B206" s="22" t="inlineStr"/>
      <c r="C206" s="38" t="inlineStr"/>
      <c r="D206" s="38">
        <f>IFERROR(VLOOKUP(C206, '⚙️ Lookup Tables'!$A$4:$B$15, 2, FALSE), "")</f>
        <v/>
      </c>
      <c r="E206" s="38" t="inlineStr"/>
      <c r="F206" s="24" t="inlineStr"/>
      <c r="G206" s="22" t="inlineStr">
        <is>
          <t>No</t>
        </is>
      </c>
      <c r="H206" s="22" t="inlineStr">
        <is>
          <t>No</t>
        </is>
      </c>
      <c r="I206" s="38" t="inlineStr"/>
      <c r="J206" s="38" t="inlineStr"/>
    </row>
    <row r="207">
      <c r="A207" s="33" t="inlineStr">
        <is>
          <t>LOG-204</t>
        </is>
      </c>
      <c r="B207" s="33" t="inlineStr"/>
      <c r="C207" s="34" t="inlineStr"/>
      <c r="D207" s="34">
        <f>IFERROR(VLOOKUP(C207, '⚙️ Lookup Tables'!$A$4:$B$15, 2, FALSE), "")</f>
        <v/>
      </c>
      <c r="E207" s="34" t="inlineStr"/>
      <c r="F207" s="35" t="inlineStr"/>
      <c r="G207" s="33" t="inlineStr">
        <is>
          <t>No</t>
        </is>
      </c>
      <c r="H207" s="33" t="inlineStr">
        <is>
          <t>No</t>
        </is>
      </c>
      <c r="I207" s="34" t="inlineStr"/>
      <c r="J207" s="34" t="inlineStr"/>
    </row>
    <row r="208">
      <c r="A208" s="22" t="inlineStr">
        <is>
          <t>LOG-205</t>
        </is>
      </c>
      <c r="B208" s="22" t="inlineStr"/>
      <c r="C208" s="38" t="inlineStr"/>
      <c r="D208" s="38">
        <f>IFERROR(VLOOKUP(C208, '⚙️ Lookup Tables'!$A$4:$B$15, 2, FALSE), "")</f>
        <v/>
      </c>
      <c r="E208" s="38" t="inlineStr"/>
      <c r="F208" s="24" t="inlineStr"/>
      <c r="G208" s="22" t="inlineStr">
        <is>
          <t>No</t>
        </is>
      </c>
      <c r="H208" s="22" t="inlineStr">
        <is>
          <t>No</t>
        </is>
      </c>
      <c r="I208" s="38" t="inlineStr"/>
      <c r="J208" s="38" t="inlineStr"/>
    </row>
    <row r="209">
      <c r="A209" s="33" t="inlineStr">
        <is>
          <t>LOG-206</t>
        </is>
      </c>
      <c r="B209" s="33" t="inlineStr"/>
      <c r="C209" s="34" t="inlineStr"/>
      <c r="D209" s="34">
        <f>IFERROR(VLOOKUP(C209, '⚙️ Lookup Tables'!$A$4:$B$15, 2, FALSE), "")</f>
        <v/>
      </c>
      <c r="E209" s="34" t="inlineStr"/>
      <c r="F209" s="35" t="inlineStr"/>
      <c r="G209" s="33" t="inlineStr">
        <is>
          <t>No</t>
        </is>
      </c>
      <c r="H209" s="33" t="inlineStr">
        <is>
          <t>No</t>
        </is>
      </c>
      <c r="I209" s="34" t="inlineStr"/>
      <c r="J209" s="34" t="inlineStr"/>
    </row>
    <row r="210">
      <c r="A210" s="22" t="inlineStr">
        <is>
          <t>LOG-207</t>
        </is>
      </c>
      <c r="B210" s="22" t="inlineStr"/>
      <c r="C210" s="38" t="inlineStr"/>
      <c r="D210" s="38">
        <f>IFERROR(VLOOKUP(C210, '⚙️ Lookup Tables'!$A$4:$B$15, 2, FALSE), "")</f>
        <v/>
      </c>
      <c r="E210" s="38" t="inlineStr"/>
      <c r="F210" s="24" t="inlineStr"/>
      <c r="G210" s="22" t="inlineStr">
        <is>
          <t>No</t>
        </is>
      </c>
      <c r="H210" s="22" t="inlineStr">
        <is>
          <t>No</t>
        </is>
      </c>
      <c r="I210" s="38" t="inlineStr"/>
      <c r="J210" s="38" t="inlineStr"/>
    </row>
    <row r="211">
      <c r="A211" s="33" t="inlineStr">
        <is>
          <t>LOG-208</t>
        </is>
      </c>
      <c r="B211" s="33" t="inlineStr"/>
      <c r="C211" s="34" t="inlineStr"/>
      <c r="D211" s="34">
        <f>IFERROR(VLOOKUP(C211, '⚙️ Lookup Tables'!$A$4:$B$15, 2, FALSE), "")</f>
        <v/>
      </c>
      <c r="E211" s="34" t="inlineStr"/>
      <c r="F211" s="35" t="inlineStr"/>
      <c r="G211" s="33" t="inlineStr">
        <is>
          <t>No</t>
        </is>
      </c>
      <c r="H211" s="33" t="inlineStr">
        <is>
          <t>No</t>
        </is>
      </c>
      <c r="I211" s="34" t="inlineStr"/>
      <c r="J211" s="34" t="inlineStr"/>
    </row>
    <row r="212">
      <c r="A212" s="22" t="inlineStr">
        <is>
          <t>LOG-209</t>
        </is>
      </c>
      <c r="B212" s="22" t="inlineStr"/>
      <c r="C212" s="38" t="inlineStr"/>
      <c r="D212" s="38">
        <f>IFERROR(VLOOKUP(C212, '⚙️ Lookup Tables'!$A$4:$B$15, 2, FALSE), "")</f>
        <v/>
      </c>
      <c r="E212" s="38" t="inlineStr"/>
      <c r="F212" s="24" t="inlineStr"/>
      <c r="G212" s="22" t="inlineStr">
        <is>
          <t>No</t>
        </is>
      </c>
      <c r="H212" s="22" t="inlineStr">
        <is>
          <t>No</t>
        </is>
      </c>
      <c r="I212" s="38" t="inlineStr"/>
      <c r="J212" s="38" t="inlineStr"/>
    </row>
    <row r="213">
      <c r="A213" s="33" t="inlineStr">
        <is>
          <t>LOG-210</t>
        </is>
      </c>
      <c r="B213" s="33" t="inlineStr"/>
      <c r="C213" s="34" t="inlineStr"/>
      <c r="D213" s="34">
        <f>IFERROR(VLOOKUP(C213, '⚙️ Lookup Tables'!$A$4:$B$15, 2, FALSE), "")</f>
        <v/>
      </c>
      <c r="E213" s="34" t="inlineStr"/>
      <c r="F213" s="35" t="inlineStr"/>
      <c r="G213" s="33" t="inlineStr">
        <is>
          <t>No</t>
        </is>
      </c>
      <c r="H213" s="33" t="inlineStr">
        <is>
          <t>No</t>
        </is>
      </c>
      <c r="I213" s="34" t="inlineStr"/>
      <c r="J213" s="34" t="inlineStr"/>
    </row>
    <row r="214">
      <c r="A214" s="22" t="inlineStr">
        <is>
          <t>LOG-211</t>
        </is>
      </c>
      <c r="B214" s="22" t="inlineStr"/>
      <c r="C214" s="38" t="inlineStr"/>
      <c r="D214" s="38">
        <f>IFERROR(VLOOKUP(C214, '⚙️ Lookup Tables'!$A$4:$B$15, 2, FALSE), "")</f>
        <v/>
      </c>
      <c r="E214" s="38" t="inlineStr"/>
      <c r="F214" s="24" t="inlineStr"/>
      <c r="G214" s="22" t="inlineStr">
        <is>
          <t>No</t>
        </is>
      </c>
      <c r="H214" s="22" t="inlineStr">
        <is>
          <t>No</t>
        </is>
      </c>
      <c r="I214" s="38" t="inlineStr"/>
      <c r="J214" s="38" t="inlineStr"/>
    </row>
    <row r="215">
      <c r="A215" s="33" t="inlineStr">
        <is>
          <t>LOG-212</t>
        </is>
      </c>
      <c r="B215" s="33" t="inlineStr"/>
      <c r="C215" s="34" t="inlineStr"/>
      <c r="D215" s="34">
        <f>IFERROR(VLOOKUP(C215, '⚙️ Lookup Tables'!$A$4:$B$15, 2, FALSE), "")</f>
        <v/>
      </c>
      <c r="E215" s="34" t="inlineStr"/>
      <c r="F215" s="35" t="inlineStr"/>
      <c r="G215" s="33" t="inlineStr">
        <is>
          <t>No</t>
        </is>
      </c>
      <c r="H215" s="33" t="inlineStr">
        <is>
          <t>No</t>
        </is>
      </c>
      <c r="I215" s="34" t="inlineStr"/>
      <c r="J215" s="34" t="inlineStr"/>
    </row>
    <row r="216">
      <c r="A216" s="22" t="inlineStr">
        <is>
          <t>LOG-213</t>
        </is>
      </c>
      <c r="B216" s="22" t="inlineStr"/>
      <c r="C216" s="38" t="inlineStr"/>
      <c r="D216" s="38">
        <f>IFERROR(VLOOKUP(C216, '⚙️ Lookup Tables'!$A$4:$B$15, 2, FALSE), "")</f>
        <v/>
      </c>
      <c r="E216" s="38" t="inlineStr"/>
      <c r="F216" s="24" t="inlineStr"/>
      <c r="G216" s="22" t="inlineStr">
        <is>
          <t>No</t>
        </is>
      </c>
      <c r="H216" s="22" t="inlineStr">
        <is>
          <t>No</t>
        </is>
      </c>
      <c r="I216" s="38" t="inlineStr"/>
      <c r="J216" s="38" t="inlineStr"/>
    </row>
    <row r="217">
      <c r="A217" s="33" t="inlineStr">
        <is>
          <t>LOG-214</t>
        </is>
      </c>
      <c r="B217" s="33" t="inlineStr"/>
      <c r="C217" s="34" t="inlineStr"/>
      <c r="D217" s="34">
        <f>IFERROR(VLOOKUP(C217, '⚙️ Lookup Tables'!$A$4:$B$15, 2, FALSE), "")</f>
        <v/>
      </c>
      <c r="E217" s="34" t="inlineStr"/>
      <c r="F217" s="35" t="inlineStr"/>
      <c r="G217" s="33" t="inlineStr">
        <is>
          <t>No</t>
        </is>
      </c>
      <c r="H217" s="33" t="inlineStr">
        <is>
          <t>No</t>
        </is>
      </c>
      <c r="I217" s="34" t="inlineStr"/>
      <c r="J217" s="34" t="inlineStr"/>
    </row>
    <row r="218">
      <c r="A218" s="22" t="inlineStr">
        <is>
          <t>LOG-215</t>
        </is>
      </c>
      <c r="B218" s="22" t="inlineStr"/>
      <c r="C218" s="38" t="inlineStr"/>
      <c r="D218" s="38">
        <f>IFERROR(VLOOKUP(C218, '⚙️ Lookup Tables'!$A$4:$B$15, 2, FALSE), "")</f>
        <v/>
      </c>
      <c r="E218" s="38" t="inlineStr"/>
      <c r="F218" s="24" t="inlineStr"/>
      <c r="G218" s="22" t="inlineStr">
        <is>
          <t>No</t>
        </is>
      </c>
      <c r="H218" s="22" t="inlineStr">
        <is>
          <t>No</t>
        </is>
      </c>
      <c r="I218" s="38" t="inlineStr"/>
      <c r="J218" s="38" t="inlineStr"/>
    </row>
    <row r="219">
      <c r="A219" s="33" t="inlineStr">
        <is>
          <t>LOG-216</t>
        </is>
      </c>
      <c r="B219" s="33" t="inlineStr"/>
      <c r="C219" s="34" t="inlineStr"/>
      <c r="D219" s="34">
        <f>IFERROR(VLOOKUP(C219, '⚙️ Lookup Tables'!$A$4:$B$15, 2, FALSE), "")</f>
        <v/>
      </c>
      <c r="E219" s="34" t="inlineStr"/>
      <c r="F219" s="35" t="inlineStr"/>
      <c r="G219" s="33" t="inlineStr">
        <is>
          <t>No</t>
        </is>
      </c>
      <c r="H219" s="33" t="inlineStr">
        <is>
          <t>No</t>
        </is>
      </c>
      <c r="I219" s="34" t="inlineStr"/>
      <c r="J219" s="34" t="inlineStr"/>
    </row>
    <row r="220">
      <c r="A220" s="22" t="inlineStr">
        <is>
          <t>LOG-217</t>
        </is>
      </c>
      <c r="B220" s="22" t="inlineStr"/>
      <c r="C220" s="38" t="inlineStr"/>
      <c r="D220" s="38">
        <f>IFERROR(VLOOKUP(C220, '⚙️ Lookup Tables'!$A$4:$B$15, 2, FALSE), "")</f>
        <v/>
      </c>
      <c r="E220" s="38" t="inlineStr"/>
      <c r="F220" s="24" t="inlineStr"/>
      <c r="G220" s="22" t="inlineStr">
        <is>
          <t>No</t>
        </is>
      </c>
      <c r="H220" s="22" t="inlineStr">
        <is>
          <t>No</t>
        </is>
      </c>
      <c r="I220" s="38" t="inlineStr"/>
      <c r="J220" s="38" t="inlineStr"/>
    </row>
    <row r="221">
      <c r="A221" s="33" t="inlineStr">
        <is>
          <t>LOG-218</t>
        </is>
      </c>
      <c r="B221" s="33" t="inlineStr"/>
      <c r="C221" s="34" t="inlineStr"/>
      <c r="D221" s="34">
        <f>IFERROR(VLOOKUP(C221, '⚙️ Lookup Tables'!$A$4:$B$15, 2, FALSE), "")</f>
        <v/>
      </c>
      <c r="E221" s="34" t="inlineStr"/>
      <c r="F221" s="35" t="inlineStr"/>
      <c r="G221" s="33" t="inlineStr">
        <is>
          <t>No</t>
        </is>
      </c>
      <c r="H221" s="33" t="inlineStr">
        <is>
          <t>No</t>
        </is>
      </c>
      <c r="I221" s="34" t="inlineStr"/>
      <c r="J221" s="34" t="inlineStr"/>
    </row>
    <row r="222">
      <c r="A222" s="22" t="inlineStr">
        <is>
          <t>LOG-219</t>
        </is>
      </c>
      <c r="B222" s="22" t="inlineStr"/>
      <c r="C222" s="38" t="inlineStr"/>
      <c r="D222" s="38">
        <f>IFERROR(VLOOKUP(C222, '⚙️ Lookup Tables'!$A$4:$B$15, 2, FALSE), "")</f>
        <v/>
      </c>
      <c r="E222" s="38" t="inlineStr"/>
      <c r="F222" s="24" t="inlineStr"/>
      <c r="G222" s="22" t="inlineStr">
        <is>
          <t>No</t>
        </is>
      </c>
      <c r="H222" s="22" t="inlineStr">
        <is>
          <t>No</t>
        </is>
      </c>
      <c r="I222" s="38" t="inlineStr"/>
      <c r="J222" s="38" t="inlineStr"/>
    </row>
    <row r="223">
      <c r="A223" s="33" t="inlineStr">
        <is>
          <t>LOG-220</t>
        </is>
      </c>
      <c r="B223" s="33" t="inlineStr"/>
      <c r="C223" s="34" t="inlineStr"/>
      <c r="D223" s="34">
        <f>IFERROR(VLOOKUP(C223, '⚙️ Lookup Tables'!$A$4:$B$15, 2, FALSE), "")</f>
        <v/>
      </c>
      <c r="E223" s="34" t="inlineStr"/>
      <c r="F223" s="35" t="inlineStr"/>
      <c r="G223" s="33" t="inlineStr">
        <is>
          <t>No</t>
        </is>
      </c>
      <c r="H223" s="33" t="inlineStr">
        <is>
          <t>No</t>
        </is>
      </c>
      <c r="I223" s="34" t="inlineStr"/>
      <c r="J223" s="34" t="inlineStr"/>
    </row>
    <row r="224">
      <c r="A224" s="22" t="inlineStr">
        <is>
          <t>LOG-221</t>
        </is>
      </c>
      <c r="B224" s="22" t="inlineStr"/>
      <c r="C224" s="38" t="inlineStr"/>
      <c r="D224" s="38">
        <f>IFERROR(VLOOKUP(C224, '⚙️ Lookup Tables'!$A$4:$B$15, 2, FALSE), "")</f>
        <v/>
      </c>
      <c r="E224" s="38" t="inlineStr"/>
      <c r="F224" s="24" t="inlineStr"/>
      <c r="G224" s="22" t="inlineStr">
        <is>
          <t>No</t>
        </is>
      </c>
      <c r="H224" s="22" t="inlineStr">
        <is>
          <t>No</t>
        </is>
      </c>
      <c r="I224" s="38" t="inlineStr"/>
      <c r="J224" s="38" t="inlineStr"/>
    </row>
    <row r="225">
      <c r="A225" s="33" t="inlineStr">
        <is>
          <t>LOG-222</t>
        </is>
      </c>
      <c r="B225" s="33" t="inlineStr"/>
      <c r="C225" s="34" t="inlineStr"/>
      <c r="D225" s="34">
        <f>IFERROR(VLOOKUP(C225, '⚙️ Lookup Tables'!$A$4:$B$15, 2, FALSE), "")</f>
        <v/>
      </c>
      <c r="E225" s="34" t="inlineStr"/>
      <c r="F225" s="35" t="inlineStr"/>
      <c r="G225" s="33" t="inlineStr">
        <is>
          <t>No</t>
        </is>
      </c>
      <c r="H225" s="33" t="inlineStr">
        <is>
          <t>No</t>
        </is>
      </c>
      <c r="I225" s="34" t="inlineStr"/>
      <c r="J225" s="34" t="inlineStr"/>
    </row>
    <row r="226">
      <c r="A226" s="22" t="inlineStr">
        <is>
          <t>LOG-223</t>
        </is>
      </c>
      <c r="B226" s="22" t="inlineStr"/>
      <c r="C226" s="38" t="inlineStr"/>
      <c r="D226" s="38">
        <f>IFERROR(VLOOKUP(C226, '⚙️ Lookup Tables'!$A$4:$B$15, 2, FALSE), "")</f>
        <v/>
      </c>
      <c r="E226" s="38" t="inlineStr"/>
      <c r="F226" s="24" t="inlineStr"/>
      <c r="G226" s="22" t="inlineStr">
        <is>
          <t>No</t>
        </is>
      </c>
      <c r="H226" s="22" t="inlineStr">
        <is>
          <t>No</t>
        </is>
      </c>
      <c r="I226" s="38" t="inlineStr"/>
      <c r="J226" s="38" t="inlineStr"/>
    </row>
    <row r="227">
      <c r="A227" s="33" t="inlineStr">
        <is>
          <t>LOG-224</t>
        </is>
      </c>
      <c r="B227" s="33" t="inlineStr"/>
      <c r="C227" s="34" t="inlineStr"/>
      <c r="D227" s="34">
        <f>IFERROR(VLOOKUP(C227, '⚙️ Lookup Tables'!$A$4:$B$15, 2, FALSE), "")</f>
        <v/>
      </c>
      <c r="E227" s="34" t="inlineStr"/>
      <c r="F227" s="35" t="inlineStr"/>
      <c r="G227" s="33" t="inlineStr">
        <is>
          <t>No</t>
        </is>
      </c>
      <c r="H227" s="33" t="inlineStr">
        <is>
          <t>No</t>
        </is>
      </c>
      <c r="I227" s="34" t="inlineStr"/>
      <c r="J227" s="34" t="inlineStr"/>
    </row>
    <row r="228">
      <c r="A228" s="22" t="inlineStr">
        <is>
          <t>LOG-225</t>
        </is>
      </c>
      <c r="B228" s="22" t="inlineStr"/>
      <c r="C228" s="38" t="inlineStr"/>
      <c r="D228" s="38">
        <f>IFERROR(VLOOKUP(C228, '⚙️ Lookup Tables'!$A$4:$B$15, 2, FALSE), "")</f>
        <v/>
      </c>
      <c r="E228" s="38" t="inlineStr"/>
      <c r="F228" s="24" t="inlineStr"/>
      <c r="G228" s="22" t="inlineStr">
        <is>
          <t>No</t>
        </is>
      </c>
      <c r="H228" s="22" t="inlineStr">
        <is>
          <t>No</t>
        </is>
      </c>
      <c r="I228" s="38" t="inlineStr"/>
      <c r="J228" s="38" t="inlineStr"/>
    </row>
    <row r="229">
      <c r="A229" s="33" t="inlineStr">
        <is>
          <t>LOG-226</t>
        </is>
      </c>
      <c r="B229" s="33" t="inlineStr"/>
      <c r="C229" s="34" t="inlineStr"/>
      <c r="D229" s="34">
        <f>IFERROR(VLOOKUP(C229, '⚙️ Lookup Tables'!$A$4:$B$15, 2, FALSE), "")</f>
        <v/>
      </c>
      <c r="E229" s="34" t="inlineStr"/>
      <c r="F229" s="35" t="inlineStr"/>
      <c r="G229" s="33" t="inlineStr">
        <is>
          <t>No</t>
        </is>
      </c>
      <c r="H229" s="33" t="inlineStr">
        <is>
          <t>No</t>
        </is>
      </c>
      <c r="I229" s="34" t="inlineStr"/>
      <c r="J229" s="34" t="inlineStr"/>
    </row>
    <row r="230">
      <c r="A230" s="22" t="inlineStr">
        <is>
          <t>LOG-227</t>
        </is>
      </c>
      <c r="B230" s="22" t="inlineStr"/>
      <c r="C230" s="38" t="inlineStr"/>
      <c r="D230" s="38">
        <f>IFERROR(VLOOKUP(C230, '⚙️ Lookup Tables'!$A$4:$B$15, 2, FALSE), "")</f>
        <v/>
      </c>
      <c r="E230" s="38" t="inlineStr"/>
      <c r="F230" s="24" t="inlineStr"/>
      <c r="G230" s="22" t="inlineStr">
        <is>
          <t>No</t>
        </is>
      </c>
      <c r="H230" s="22" t="inlineStr">
        <is>
          <t>No</t>
        </is>
      </c>
      <c r="I230" s="38" t="inlineStr"/>
      <c r="J230" s="38" t="inlineStr"/>
    </row>
    <row r="231">
      <c r="A231" s="33" t="inlineStr">
        <is>
          <t>LOG-228</t>
        </is>
      </c>
      <c r="B231" s="33" t="inlineStr"/>
      <c r="C231" s="34" t="inlineStr"/>
      <c r="D231" s="34">
        <f>IFERROR(VLOOKUP(C231, '⚙️ Lookup Tables'!$A$4:$B$15, 2, FALSE), "")</f>
        <v/>
      </c>
      <c r="E231" s="34" t="inlineStr"/>
      <c r="F231" s="35" t="inlineStr"/>
      <c r="G231" s="33" t="inlineStr">
        <is>
          <t>No</t>
        </is>
      </c>
      <c r="H231" s="33" t="inlineStr">
        <is>
          <t>No</t>
        </is>
      </c>
      <c r="I231" s="34" t="inlineStr"/>
      <c r="J231" s="34" t="inlineStr"/>
    </row>
    <row r="232">
      <c r="A232" s="22" t="inlineStr">
        <is>
          <t>LOG-229</t>
        </is>
      </c>
      <c r="B232" s="22" t="inlineStr"/>
      <c r="C232" s="38" t="inlineStr"/>
      <c r="D232" s="38">
        <f>IFERROR(VLOOKUP(C232, '⚙️ Lookup Tables'!$A$4:$B$15, 2, FALSE), "")</f>
        <v/>
      </c>
      <c r="E232" s="38" t="inlineStr"/>
      <c r="F232" s="24" t="inlineStr"/>
      <c r="G232" s="22" t="inlineStr">
        <is>
          <t>No</t>
        </is>
      </c>
      <c r="H232" s="22" t="inlineStr">
        <is>
          <t>No</t>
        </is>
      </c>
      <c r="I232" s="38" t="inlineStr"/>
      <c r="J232" s="38" t="inlineStr"/>
    </row>
    <row r="233">
      <c r="A233" s="33" t="inlineStr">
        <is>
          <t>LOG-230</t>
        </is>
      </c>
      <c r="B233" s="33" t="inlineStr"/>
      <c r="C233" s="34" t="inlineStr"/>
      <c r="D233" s="34">
        <f>IFERROR(VLOOKUP(C233, '⚙️ Lookup Tables'!$A$4:$B$15, 2, FALSE), "")</f>
        <v/>
      </c>
      <c r="E233" s="34" t="inlineStr"/>
      <c r="F233" s="35" t="inlineStr"/>
      <c r="G233" s="33" t="inlineStr">
        <is>
          <t>No</t>
        </is>
      </c>
      <c r="H233" s="33" t="inlineStr">
        <is>
          <t>No</t>
        </is>
      </c>
      <c r="I233" s="34" t="inlineStr"/>
      <c r="J233" s="34" t="inlineStr"/>
    </row>
    <row r="234">
      <c r="A234" s="22" t="inlineStr">
        <is>
          <t>LOG-231</t>
        </is>
      </c>
      <c r="B234" s="22" t="inlineStr"/>
      <c r="C234" s="38" t="inlineStr"/>
      <c r="D234" s="38">
        <f>IFERROR(VLOOKUP(C234, '⚙️ Lookup Tables'!$A$4:$B$15, 2, FALSE), "")</f>
        <v/>
      </c>
      <c r="E234" s="38" t="inlineStr"/>
      <c r="F234" s="24" t="inlineStr"/>
      <c r="G234" s="22" t="inlineStr">
        <is>
          <t>No</t>
        </is>
      </c>
      <c r="H234" s="22" t="inlineStr">
        <is>
          <t>No</t>
        </is>
      </c>
      <c r="I234" s="38" t="inlineStr"/>
      <c r="J234" s="38" t="inlineStr"/>
    </row>
    <row r="235">
      <c r="A235" s="33" t="inlineStr">
        <is>
          <t>LOG-232</t>
        </is>
      </c>
      <c r="B235" s="33" t="inlineStr"/>
      <c r="C235" s="34" t="inlineStr"/>
      <c r="D235" s="34">
        <f>IFERROR(VLOOKUP(C235, '⚙️ Lookup Tables'!$A$4:$B$15, 2, FALSE), "")</f>
        <v/>
      </c>
      <c r="E235" s="34" t="inlineStr"/>
      <c r="F235" s="35" t="inlineStr"/>
      <c r="G235" s="33" t="inlineStr">
        <is>
          <t>No</t>
        </is>
      </c>
      <c r="H235" s="33" t="inlineStr">
        <is>
          <t>No</t>
        </is>
      </c>
      <c r="I235" s="34" t="inlineStr"/>
      <c r="J235" s="34" t="inlineStr"/>
    </row>
    <row r="236">
      <c r="A236" s="22" t="inlineStr">
        <is>
          <t>LOG-233</t>
        </is>
      </c>
      <c r="B236" s="22" t="inlineStr"/>
      <c r="C236" s="38" t="inlineStr"/>
      <c r="D236" s="38">
        <f>IFERROR(VLOOKUP(C236, '⚙️ Lookup Tables'!$A$4:$B$15, 2, FALSE), "")</f>
        <v/>
      </c>
      <c r="E236" s="38" t="inlineStr"/>
      <c r="F236" s="24" t="inlineStr"/>
      <c r="G236" s="22" t="inlineStr">
        <is>
          <t>No</t>
        </is>
      </c>
      <c r="H236" s="22" t="inlineStr">
        <is>
          <t>No</t>
        </is>
      </c>
      <c r="I236" s="38" t="inlineStr"/>
      <c r="J236" s="38" t="inlineStr"/>
    </row>
    <row r="237">
      <c r="A237" s="33" t="inlineStr">
        <is>
          <t>LOG-234</t>
        </is>
      </c>
      <c r="B237" s="33" t="inlineStr"/>
      <c r="C237" s="34" t="inlineStr"/>
      <c r="D237" s="34">
        <f>IFERROR(VLOOKUP(C237, '⚙️ Lookup Tables'!$A$4:$B$15, 2, FALSE), "")</f>
        <v/>
      </c>
      <c r="E237" s="34" t="inlineStr"/>
      <c r="F237" s="35" t="inlineStr"/>
      <c r="G237" s="33" t="inlineStr">
        <is>
          <t>No</t>
        </is>
      </c>
      <c r="H237" s="33" t="inlineStr">
        <is>
          <t>No</t>
        </is>
      </c>
      <c r="I237" s="34" t="inlineStr"/>
      <c r="J237" s="34" t="inlineStr"/>
    </row>
    <row r="238">
      <c r="A238" s="22" t="inlineStr">
        <is>
          <t>LOG-235</t>
        </is>
      </c>
      <c r="B238" s="22" t="inlineStr"/>
      <c r="C238" s="38" t="inlineStr"/>
      <c r="D238" s="38">
        <f>IFERROR(VLOOKUP(C238, '⚙️ Lookup Tables'!$A$4:$B$15, 2, FALSE), "")</f>
        <v/>
      </c>
      <c r="E238" s="38" t="inlineStr"/>
      <c r="F238" s="24" t="inlineStr"/>
      <c r="G238" s="22" t="inlineStr">
        <is>
          <t>No</t>
        </is>
      </c>
      <c r="H238" s="22" t="inlineStr">
        <is>
          <t>No</t>
        </is>
      </c>
      <c r="I238" s="38" t="inlineStr"/>
      <c r="J238" s="38" t="inlineStr"/>
    </row>
    <row r="239">
      <c r="A239" s="33" t="inlineStr">
        <is>
          <t>LOG-236</t>
        </is>
      </c>
      <c r="B239" s="33" t="inlineStr"/>
      <c r="C239" s="34" t="inlineStr"/>
      <c r="D239" s="34">
        <f>IFERROR(VLOOKUP(C239, '⚙️ Lookup Tables'!$A$4:$B$15, 2, FALSE), "")</f>
        <v/>
      </c>
      <c r="E239" s="34" t="inlineStr"/>
      <c r="F239" s="35" t="inlineStr"/>
      <c r="G239" s="33" t="inlineStr">
        <is>
          <t>No</t>
        </is>
      </c>
      <c r="H239" s="33" t="inlineStr">
        <is>
          <t>No</t>
        </is>
      </c>
      <c r="I239" s="34" t="inlineStr"/>
      <c r="J239" s="34" t="inlineStr"/>
    </row>
    <row r="240">
      <c r="A240" s="22" t="inlineStr">
        <is>
          <t>LOG-237</t>
        </is>
      </c>
      <c r="B240" s="22" t="inlineStr"/>
      <c r="C240" s="38" t="inlineStr"/>
      <c r="D240" s="38">
        <f>IFERROR(VLOOKUP(C240, '⚙️ Lookup Tables'!$A$4:$B$15, 2, FALSE), "")</f>
        <v/>
      </c>
      <c r="E240" s="38" t="inlineStr"/>
      <c r="F240" s="24" t="inlineStr"/>
      <c r="G240" s="22" t="inlineStr">
        <is>
          <t>No</t>
        </is>
      </c>
      <c r="H240" s="22" t="inlineStr">
        <is>
          <t>No</t>
        </is>
      </c>
      <c r="I240" s="38" t="inlineStr"/>
      <c r="J240" s="38" t="inlineStr"/>
    </row>
    <row r="241">
      <c r="A241" s="33" t="inlineStr">
        <is>
          <t>LOG-238</t>
        </is>
      </c>
      <c r="B241" s="33" t="inlineStr"/>
      <c r="C241" s="34" t="inlineStr"/>
      <c r="D241" s="34">
        <f>IFERROR(VLOOKUP(C241, '⚙️ Lookup Tables'!$A$4:$B$15, 2, FALSE), "")</f>
        <v/>
      </c>
      <c r="E241" s="34" t="inlineStr"/>
      <c r="F241" s="35" t="inlineStr"/>
      <c r="G241" s="33" t="inlineStr">
        <is>
          <t>No</t>
        </is>
      </c>
      <c r="H241" s="33" t="inlineStr">
        <is>
          <t>No</t>
        </is>
      </c>
      <c r="I241" s="34" t="inlineStr"/>
      <c r="J241" s="34" t="inlineStr"/>
    </row>
    <row r="242">
      <c r="A242" s="22" t="inlineStr">
        <is>
          <t>LOG-239</t>
        </is>
      </c>
      <c r="B242" s="22" t="inlineStr"/>
      <c r="C242" s="38" t="inlineStr"/>
      <c r="D242" s="38">
        <f>IFERROR(VLOOKUP(C242, '⚙️ Lookup Tables'!$A$4:$B$15, 2, FALSE), "")</f>
        <v/>
      </c>
      <c r="E242" s="38" t="inlineStr"/>
      <c r="F242" s="24" t="inlineStr"/>
      <c r="G242" s="22" t="inlineStr">
        <is>
          <t>No</t>
        </is>
      </c>
      <c r="H242" s="22" t="inlineStr">
        <is>
          <t>No</t>
        </is>
      </c>
      <c r="I242" s="38" t="inlineStr"/>
      <c r="J242" s="38" t="inlineStr"/>
    </row>
    <row r="243">
      <c r="A243" s="33" t="inlineStr">
        <is>
          <t>LOG-240</t>
        </is>
      </c>
      <c r="B243" s="33" t="inlineStr"/>
      <c r="C243" s="34" t="inlineStr"/>
      <c r="D243" s="34">
        <f>IFERROR(VLOOKUP(C243, '⚙️ Lookup Tables'!$A$4:$B$15, 2, FALSE), "")</f>
        <v/>
      </c>
      <c r="E243" s="34" t="inlineStr"/>
      <c r="F243" s="35" t="inlineStr"/>
      <c r="G243" s="33" t="inlineStr">
        <is>
          <t>No</t>
        </is>
      </c>
      <c r="H243" s="33" t="inlineStr">
        <is>
          <t>No</t>
        </is>
      </c>
      <c r="I243" s="34" t="inlineStr"/>
      <c r="J243" s="34" t="inlineStr"/>
    </row>
    <row r="244">
      <c r="A244" s="22" t="inlineStr">
        <is>
          <t>LOG-241</t>
        </is>
      </c>
      <c r="B244" s="22" t="inlineStr"/>
      <c r="C244" s="38" t="inlineStr"/>
      <c r="D244" s="38">
        <f>IFERROR(VLOOKUP(C244, '⚙️ Lookup Tables'!$A$4:$B$15, 2, FALSE), "")</f>
        <v/>
      </c>
      <c r="E244" s="38" t="inlineStr"/>
      <c r="F244" s="24" t="inlineStr"/>
      <c r="G244" s="22" t="inlineStr">
        <is>
          <t>No</t>
        </is>
      </c>
      <c r="H244" s="22" t="inlineStr">
        <is>
          <t>No</t>
        </is>
      </c>
      <c r="I244" s="38" t="inlineStr"/>
      <c r="J244" s="38" t="inlineStr"/>
    </row>
    <row r="245">
      <c r="A245" s="33" t="inlineStr">
        <is>
          <t>LOG-242</t>
        </is>
      </c>
      <c r="B245" s="33" t="inlineStr"/>
      <c r="C245" s="34" t="inlineStr"/>
      <c r="D245" s="34">
        <f>IFERROR(VLOOKUP(C245, '⚙️ Lookup Tables'!$A$4:$B$15, 2, FALSE), "")</f>
        <v/>
      </c>
      <c r="E245" s="34" t="inlineStr"/>
      <c r="F245" s="35" t="inlineStr"/>
      <c r="G245" s="33" t="inlineStr">
        <is>
          <t>No</t>
        </is>
      </c>
      <c r="H245" s="33" t="inlineStr">
        <is>
          <t>No</t>
        </is>
      </c>
      <c r="I245" s="34" t="inlineStr"/>
      <c r="J245" s="34" t="inlineStr"/>
    </row>
    <row r="246">
      <c r="A246" s="22" t="inlineStr">
        <is>
          <t>LOG-243</t>
        </is>
      </c>
      <c r="B246" s="22" t="inlineStr"/>
      <c r="C246" s="38" t="inlineStr"/>
      <c r="D246" s="38">
        <f>IFERROR(VLOOKUP(C246, '⚙️ Lookup Tables'!$A$4:$B$15, 2, FALSE), "")</f>
        <v/>
      </c>
      <c r="E246" s="38" t="inlineStr"/>
      <c r="F246" s="24" t="inlineStr"/>
      <c r="G246" s="22" t="inlineStr">
        <is>
          <t>No</t>
        </is>
      </c>
      <c r="H246" s="22" t="inlineStr">
        <is>
          <t>No</t>
        </is>
      </c>
      <c r="I246" s="38" t="inlineStr"/>
      <c r="J246" s="38" t="inlineStr"/>
    </row>
    <row r="247">
      <c r="A247" s="33" t="inlineStr">
        <is>
          <t>LOG-244</t>
        </is>
      </c>
      <c r="B247" s="33" t="inlineStr"/>
      <c r="C247" s="34" t="inlineStr"/>
      <c r="D247" s="34">
        <f>IFERROR(VLOOKUP(C247, '⚙️ Lookup Tables'!$A$4:$B$15, 2, FALSE), "")</f>
        <v/>
      </c>
      <c r="E247" s="34" t="inlineStr"/>
      <c r="F247" s="35" t="inlineStr"/>
      <c r="G247" s="33" t="inlineStr">
        <is>
          <t>No</t>
        </is>
      </c>
      <c r="H247" s="33" t="inlineStr">
        <is>
          <t>No</t>
        </is>
      </c>
      <c r="I247" s="34" t="inlineStr"/>
      <c r="J247" s="34" t="inlineStr"/>
    </row>
    <row r="248">
      <c r="A248" s="22" t="inlineStr">
        <is>
          <t>LOG-245</t>
        </is>
      </c>
      <c r="B248" s="22" t="inlineStr"/>
      <c r="C248" s="38" t="inlineStr"/>
      <c r="D248" s="38">
        <f>IFERROR(VLOOKUP(C248, '⚙️ Lookup Tables'!$A$4:$B$15, 2, FALSE), "")</f>
        <v/>
      </c>
      <c r="E248" s="38" t="inlineStr"/>
      <c r="F248" s="24" t="inlineStr"/>
      <c r="G248" s="22" t="inlineStr">
        <is>
          <t>No</t>
        </is>
      </c>
      <c r="H248" s="22" t="inlineStr">
        <is>
          <t>No</t>
        </is>
      </c>
      <c r="I248" s="38" t="inlineStr"/>
      <c r="J248" s="38" t="inlineStr"/>
    </row>
    <row r="249">
      <c r="A249" s="33" t="inlineStr">
        <is>
          <t>LOG-246</t>
        </is>
      </c>
      <c r="B249" s="33" t="inlineStr"/>
      <c r="C249" s="34" t="inlineStr"/>
      <c r="D249" s="34">
        <f>IFERROR(VLOOKUP(C249, '⚙️ Lookup Tables'!$A$4:$B$15, 2, FALSE), "")</f>
        <v/>
      </c>
      <c r="E249" s="34" t="inlineStr"/>
      <c r="F249" s="35" t="inlineStr"/>
      <c r="G249" s="33" t="inlineStr">
        <is>
          <t>No</t>
        </is>
      </c>
      <c r="H249" s="33" t="inlineStr">
        <is>
          <t>No</t>
        </is>
      </c>
      <c r="I249" s="34" t="inlineStr"/>
      <c r="J249" s="34" t="inlineStr"/>
    </row>
    <row r="250">
      <c r="A250" s="22" t="inlineStr">
        <is>
          <t>LOG-247</t>
        </is>
      </c>
      <c r="B250" s="22" t="inlineStr"/>
      <c r="C250" s="38" t="inlineStr"/>
      <c r="D250" s="38">
        <f>IFERROR(VLOOKUP(C250, '⚙️ Lookup Tables'!$A$4:$B$15, 2, FALSE), "")</f>
        <v/>
      </c>
      <c r="E250" s="38" t="inlineStr"/>
      <c r="F250" s="24" t="inlineStr"/>
      <c r="G250" s="22" t="inlineStr">
        <is>
          <t>No</t>
        </is>
      </c>
      <c r="H250" s="22" t="inlineStr">
        <is>
          <t>No</t>
        </is>
      </c>
      <c r="I250" s="38" t="inlineStr"/>
      <c r="J250" s="38" t="inlineStr"/>
    </row>
    <row r="251">
      <c r="A251" s="33" t="inlineStr">
        <is>
          <t>LOG-248</t>
        </is>
      </c>
      <c r="B251" s="33" t="inlineStr"/>
      <c r="C251" s="34" t="inlineStr"/>
      <c r="D251" s="34">
        <f>IFERROR(VLOOKUP(C251, '⚙️ Lookup Tables'!$A$4:$B$15, 2, FALSE), "")</f>
        <v/>
      </c>
      <c r="E251" s="34" t="inlineStr"/>
      <c r="F251" s="35" t="inlineStr"/>
      <c r="G251" s="33" t="inlineStr">
        <is>
          <t>No</t>
        </is>
      </c>
      <c r="H251" s="33" t="inlineStr">
        <is>
          <t>No</t>
        </is>
      </c>
      <c r="I251" s="34" t="inlineStr"/>
      <c r="J251" s="34" t="inlineStr"/>
    </row>
    <row r="252">
      <c r="A252" s="22" t="inlineStr">
        <is>
          <t>LOG-249</t>
        </is>
      </c>
      <c r="B252" s="22" t="inlineStr"/>
      <c r="C252" s="38" t="inlineStr"/>
      <c r="D252" s="38">
        <f>IFERROR(VLOOKUP(C252, '⚙️ Lookup Tables'!$A$4:$B$15, 2, FALSE), "")</f>
        <v/>
      </c>
      <c r="E252" s="38" t="inlineStr"/>
      <c r="F252" s="24" t="inlineStr"/>
      <c r="G252" s="22" t="inlineStr">
        <is>
          <t>No</t>
        </is>
      </c>
      <c r="H252" s="22" t="inlineStr">
        <is>
          <t>No</t>
        </is>
      </c>
      <c r="I252" s="38" t="inlineStr"/>
      <c r="J252" s="38" t="inlineStr"/>
    </row>
    <row r="253">
      <c r="A253" s="33" t="inlineStr">
        <is>
          <t>LOG-250</t>
        </is>
      </c>
      <c r="B253" s="33" t="inlineStr"/>
      <c r="C253" s="34" t="inlineStr"/>
      <c r="D253" s="34">
        <f>IFERROR(VLOOKUP(C253, '⚙️ Lookup Tables'!$A$4:$B$15, 2, FALSE), "")</f>
        <v/>
      </c>
      <c r="E253" s="34" t="inlineStr"/>
      <c r="F253" s="35" t="inlineStr"/>
      <c r="G253" s="33" t="inlineStr">
        <is>
          <t>No</t>
        </is>
      </c>
      <c r="H253" s="33" t="inlineStr">
        <is>
          <t>No</t>
        </is>
      </c>
      <c r="I253" s="34" t="inlineStr"/>
      <c r="J253" s="34" t="inlineStr"/>
    </row>
    <row r="254">
      <c r="A254" s="22" t="inlineStr">
        <is>
          <t>LOG-251</t>
        </is>
      </c>
      <c r="B254" s="22" t="inlineStr"/>
      <c r="C254" s="38" t="inlineStr"/>
      <c r="D254" s="38">
        <f>IFERROR(VLOOKUP(C254, '⚙️ Lookup Tables'!$A$4:$B$15, 2, FALSE), "")</f>
        <v/>
      </c>
      <c r="E254" s="38" t="inlineStr"/>
      <c r="F254" s="24" t="inlineStr"/>
      <c r="G254" s="22" t="inlineStr">
        <is>
          <t>No</t>
        </is>
      </c>
      <c r="H254" s="22" t="inlineStr">
        <is>
          <t>No</t>
        </is>
      </c>
      <c r="I254" s="38" t="inlineStr"/>
      <c r="J254" s="38" t="inlineStr"/>
    </row>
    <row r="255">
      <c r="A255" s="33" t="inlineStr">
        <is>
          <t>LOG-252</t>
        </is>
      </c>
      <c r="B255" s="33" t="inlineStr"/>
      <c r="C255" s="34" t="inlineStr"/>
      <c r="D255" s="34">
        <f>IFERROR(VLOOKUP(C255, '⚙️ Lookup Tables'!$A$4:$B$15, 2, FALSE), "")</f>
        <v/>
      </c>
      <c r="E255" s="34" t="inlineStr"/>
      <c r="F255" s="35" t="inlineStr"/>
      <c r="G255" s="33" t="inlineStr">
        <is>
          <t>No</t>
        </is>
      </c>
      <c r="H255" s="33" t="inlineStr">
        <is>
          <t>No</t>
        </is>
      </c>
      <c r="I255" s="34" t="inlineStr"/>
      <c r="J255" s="34" t="inlineStr"/>
    </row>
    <row r="256">
      <c r="A256" s="22" t="inlineStr">
        <is>
          <t>LOG-253</t>
        </is>
      </c>
      <c r="B256" s="22" t="inlineStr"/>
      <c r="C256" s="38" t="inlineStr"/>
      <c r="D256" s="38">
        <f>IFERROR(VLOOKUP(C256, '⚙️ Lookup Tables'!$A$4:$B$15, 2, FALSE), "")</f>
        <v/>
      </c>
      <c r="E256" s="38" t="inlineStr"/>
      <c r="F256" s="24" t="inlineStr"/>
      <c r="G256" s="22" t="inlineStr">
        <is>
          <t>No</t>
        </is>
      </c>
      <c r="H256" s="22" t="inlineStr">
        <is>
          <t>No</t>
        </is>
      </c>
      <c r="I256" s="38" t="inlineStr"/>
      <c r="J256" s="38" t="inlineStr"/>
    </row>
    <row r="257">
      <c r="A257" s="33" t="inlineStr">
        <is>
          <t>LOG-254</t>
        </is>
      </c>
      <c r="B257" s="33" t="inlineStr"/>
      <c r="C257" s="34" t="inlineStr"/>
      <c r="D257" s="34">
        <f>IFERROR(VLOOKUP(C257, '⚙️ Lookup Tables'!$A$4:$B$15, 2, FALSE), "")</f>
        <v/>
      </c>
      <c r="E257" s="34" t="inlineStr"/>
      <c r="F257" s="35" t="inlineStr"/>
      <c r="G257" s="33" t="inlineStr">
        <is>
          <t>No</t>
        </is>
      </c>
      <c r="H257" s="33" t="inlineStr">
        <is>
          <t>No</t>
        </is>
      </c>
      <c r="I257" s="34" t="inlineStr"/>
      <c r="J257" s="34" t="inlineStr"/>
    </row>
    <row r="258">
      <c r="A258" s="22" t="inlineStr">
        <is>
          <t>LOG-255</t>
        </is>
      </c>
      <c r="B258" s="22" t="inlineStr"/>
      <c r="C258" s="38" t="inlineStr"/>
      <c r="D258" s="38">
        <f>IFERROR(VLOOKUP(C258, '⚙️ Lookup Tables'!$A$4:$B$15, 2, FALSE), "")</f>
        <v/>
      </c>
      <c r="E258" s="38" t="inlineStr"/>
      <c r="F258" s="24" t="inlineStr"/>
      <c r="G258" s="22" t="inlineStr">
        <is>
          <t>No</t>
        </is>
      </c>
      <c r="H258" s="22" t="inlineStr">
        <is>
          <t>No</t>
        </is>
      </c>
      <c r="I258" s="38" t="inlineStr"/>
      <c r="J258" s="38" t="inlineStr"/>
    </row>
    <row r="259">
      <c r="A259" s="33" t="inlineStr">
        <is>
          <t>LOG-256</t>
        </is>
      </c>
      <c r="B259" s="33" t="inlineStr"/>
      <c r="C259" s="34" t="inlineStr"/>
      <c r="D259" s="34">
        <f>IFERROR(VLOOKUP(C259, '⚙️ Lookup Tables'!$A$4:$B$15, 2, FALSE), "")</f>
        <v/>
      </c>
      <c r="E259" s="34" t="inlineStr"/>
      <c r="F259" s="35" t="inlineStr"/>
      <c r="G259" s="33" t="inlineStr">
        <is>
          <t>No</t>
        </is>
      </c>
      <c r="H259" s="33" t="inlineStr">
        <is>
          <t>No</t>
        </is>
      </c>
      <c r="I259" s="34" t="inlineStr"/>
      <c r="J259" s="34" t="inlineStr"/>
    </row>
    <row r="260">
      <c r="A260" s="22" t="inlineStr">
        <is>
          <t>LOG-257</t>
        </is>
      </c>
      <c r="B260" s="22" t="inlineStr"/>
      <c r="C260" s="38" t="inlineStr"/>
      <c r="D260" s="38">
        <f>IFERROR(VLOOKUP(C260, '⚙️ Lookup Tables'!$A$4:$B$15, 2, FALSE), "")</f>
        <v/>
      </c>
      <c r="E260" s="38" t="inlineStr"/>
      <c r="F260" s="24" t="inlineStr"/>
      <c r="G260" s="22" t="inlineStr">
        <is>
          <t>No</t>
        </is>
      </c>
      <c r="H260" s="22" t="inlineStr">
        <is>
          <t>No</t>
        </is>
      </c>
      <c r="I260" s="38" t="inlineStr"/>
      <c r="J260" s="38" t="inlineStr"/>
    </row>
    <row r="261">
      <c r="A261" s="33" t="inlineStr">
        <is>
          <t>LOG-258</t>
        </is>
      </c>
      <c r="B261" s="33" t="inlineStr"/>
      <c r="C261" s="34" t="inlineStr"/>
      <c r="D261" s="34">
        <f>IFERROR(VLOOKUP(C261, '⚙️ Lookup Tables'!$A$4:$B$15, 2, FALSE), "")</f>
        <v/>
      </c>
      <c r="E261" s="34" t="inlineStr"/>
      <c r="F261" s="35" t="inlineStr"/>
      <c r="G261" s="33" t="inlineStr">
        <is>
          <t>No</t>
        </is>
      </c>
      <c r="H261" s="33" t="inlineStr">
        <is>
          <t>No</t>
        </is>
      </c>
      <c r="I261" s="34" t="inlineStr"/>
      <c r="J261" s="34" t="inlineStr"/>
    </row>
    <row r="262">
      <c r="A262" s="22" t="inlineStr">
        <is>
          <t>LOG-259</t>
        </is>
      </c>
      <c r="B262" s="22" t="inlineStr"/>
      <c r="C262" s="38" t="inlineStr"/>
      <c r="D262" s="38">
        <f>IFERROR(VLOOKUP(C262, '⚙️ Lookup Tables'!$A$4:$B$15, 2, FALSE), "")</f>
        <v/>
      </c>
      <c r="E262" s="38" t="inlineStr"/>
      <c r="F262" s="24" t="inlineStr"/>
      <c r="G262" s="22" t="inlineStr">
        <is>
          <t>No</t>
        </is>
      </c>
      <c r="H262" s="22" t="inlineStr">
        <is>
          <t>No</t>
        </is>
      </c>
      <c r="I262" s="38" t="inlineStr"/>
      <c r="J262" s="38" t="inlineStr"/>
    </row>
    <row r="263">
      <c r="A263" s="33" t="inlineStr">
        <is>
          <t>LOG-260</t>
        </is>
      </c>
      <c r="B263" s="33" t="inlineStr"/>
      <c r="C263" s="34" t="inlineStr"/>
      <c r="D263" s="34">
        <f>IFERROR(VLOOKUP(C263, '⚙️ Lookup Tables'!$A$4:$B$15, 2, FALSE), "")</f>
        <v/>
      </c>
      <c r="E263" s="34" t="inlineStr"/>
      <c r="F263" s="35" t="inlineStr"/>
      <c r="G263" s="33" t="inlineStr">
        <is>
          <t>No</t>
        </is>
      </c>
      <c r="H263" s="33" t="inlineStr">
        <is>
          <t>No</t>
        </is>
      </c>
      <c r="I263" s="34" t="inlineStr"/>
      <c r="J263" s="34" t="inlineStr"/>
    </row>
    <row r="264">
      <c r="A264" s="22" t="inlineStr">
        <is>
          <t>LOG-261</t>
        </is>
      </c>
      <c r="B264" s="22" t="inlineStr"/>
      <c r="C264" s="38" t="inlineStr"/>
      <c r="D264" s="38">
        <f>IFERROR(VLOOKUP(C264, '⚙️ Lookup Tables'!$A$4:$B$15, 2, FALSE), "")</f>
        <v/>
      </c>
      <c r="E264" s="38" t="inlineStr"/>
      <c r="F264" s="24" t="inlineStr"/>
      <c r="G264" s="22" t="inlineStr">
        <is>
          <t>No</t>
        </is>
      </c>
      <c r="H264" s="22" t="inlineStr">
        <is>
          <t>No</t>
        </is>
      </c>
      <c r="I264" s="38" t="inlineStr"/>
      <c r="J264" s="38" t="inlineStr"/>
    </row>
    <row r="265">
      <c r="A265" s="33" t="inlineStr">
        <is>
          <t>LOG-262</t>
        </is>
      </c>
      <c r="B265" s="33" t="inlineStr"/>
      <c r="C265" s="34" t="inlineStr"/>
      <c r="D265" s="34">
        <f>IFERROR(VLOOKUP(C265, '⚙️ Lookup Tables'!$A$4:$B$15, 2, FALSE), "")</f>
        <v/>
      </c>
      <c r="E265" s="34" t="inlineStr"/>
      <c r="F265" s="35" t="inlineStr"/>
      <c r="G265" s="33" t="inlineStr">
        <is>
          <t>No</t>
        </is>
      </c>
      <c r="H265" s="33" t="inlineStr">
        <is>
          <t>No</t>
        </is>
      </c>
      <c r="I265" s="34" t="inlineStr"/>
      <c r="J265" s="34" t="inlineStr"/>
    </row>
    <row r="266">
      <c r="A266" s="22" t="inlineStr">
        <is>
          <t>LOG-263</t>
        </is>
      </c>
      <c r="B266" s="22" t="inlineStr"/>
      <c r="C266" s="38" t="inlineStr"/>
      <c r="D266" s="38">
        <f>IFERROR(VLOOKUP(C266, '⚙️ Lookup Tables'!$A$4:$B$15, 2, FALSE), "")</f>
        <v/>
      </c>
      <c r="E266" s="38" t="inlineStr"/>
      <c r="F266" s="24" t="inlineStr"/>
      <c r="G266" s="22" t="inlineStr">
        <is>
          <t>No</t>
        </is>
      </c>
      <c r="H266" s="22" t="inlineStr">
        <is>
          <t>No</t>
        </is>
      </c>
      <c r="I266" s="38" t="inlineStr"/>
      <c r="J266" s="38" t="inlineStr"/>
    </row>
    <row r="267">
      <c r="A267" s="33" t="inlineStr">
        <is>
          <t>LOG-264</t>
        </is>
      </c>
      <c r="B267" s="33" t="inlineStr"/>
      <c r="C267" s="34" t="inlineStr"/>
      <c r="D267" s="34">
        <f>IFERROR(VLOOKUP(C267, '⚙️ Lookup Tables'!$A$4:$B$15, 2, FALSE), "")</f>
        <v/>
      </c>
      <c r="E267" s="34" t="inlineStr"/>
      <c r="F267" s="35" t="inlineStr"/>
      <c r="G267" s="33" t="inlineStr">
        <is>
          <t>No</t>
        </is>
      </c>
      <c r="H267" s="33" t="inlineStr">
        <is>
          <t>No</t>
        </is>
      </c>
      <c r="I267" s="34" t="inlineStr"/>
      <c r="J267" s="34" t="inlineStr"/>
    </row>
    <row r="268">
      <c r="A268" s="22" t="inlineStr">
        <is>
          <t>LOG-265</t>
        </is>
      </c>
      <c r="B268" s="22" t="inlineStr"/>
      <c r="C268" s="38" t="inlineStr"/>
      <c r="D268" s="38">
        <f>IFERROR(VLOOKUP(C268, '⚙️ Lookup Tables'!$A$4:$B$15, 2, FALSE), "")</f>
        <v/>
      </c>
      <c r="E268" s="38" t="inlineStr"/>
      <c r="F268" s="24" t="inlineStr"/>
      <c r="G268" s="22" t="inlineStr">
        <is>
          <t>No</t>
        </is>
      </c>
      <c r="H268" s="22" t="inlineStr">
        <is>
          <t>No</t>
        </is>
      </c>
      <c r="I268" s="38" t="inlineStr"/>
      <c r="J268" s="38" t="inlineStr"/>
    </row>
    <row r="269">
      <c r="A269" s="33" t="inlineStr">
        <is>
          <t>LOG-266</t>
        </is>
      </c>
      <c r="B269" s="33" t="inlineStr"/>
      <c r="C269" s="34" t="inlineStr"/>
      <c r="D269" s="34">
        <f>IFERROR(VLOOKUP(C269, '⚙️ Lookup Tables'!$A$4:$B$15, 2, FALSE), "")</f>
        <v/>
      </c>
      <c r="E269" s="34" t="inlineStr"/>
      <c r="F269" s="35" t="inlineStr"/>
      <c r="G269" s="33" t="inlineStr">
        <is>
          <t>No</t>
        </is>
      </c>
      <c r="H269" s="33" t="inlineStr">
        <is>
          <t>No</t>
        </is>
      </c>
      <c r="I269" s="34" t="inlineStr"/>
      <c r="J269" s="34" t="inlineStr"/>
    </row>
    <row r="270">
      <c r="A270" s="22" t="inlineStr">
        <is>
          <t>LOG-267</t>
        </is>
      </c>
      <c r="B270" s="22" t="inlineStr"/>
      <c r="C270" s="38" t="inlineStr"/>
      <c r="D270" s="38">
        <f>IFERROR(VLOOKUP(C270, '⚙️ Lookup Tables'!$A$4:$B$15, 2, FALSE), "")</f>
        <v/>
      </c>
      <c r="E270" s="38" t="inlineStr"/>
      <c r="F270" s="24" t="inlineStr"/>
      <c r="G270" s="22" t="inlineStr">
        <is>
          <t>No</t>
        </is>
      </c>
      <c r="H270" s="22" t="inlineStr">
        <is>
          <t>No</t>
        </is>
      </c>
      <c r="I270" s="38" t="inlineStr"/>
      <c r="J270" s="38" t="inlineStr"/>
    </row>
    <row r="271">
      <c r="A271" s="33" t="inlineStr">
        <is>
          <t>LOG-268</t>
        </is>
      </c>
      <c r="B271" s="33" t="inlineStr"/>
      <c r="C271" s="34" t="inlineStr"/>
      <c r="D271" s="34">
        <f>IFERROR(VLOOKUP(C271, '⚙️ Lookup Tables'!$A$4:$B$15, 2, FALSE), "")</f>
        <v/>
      </c>
      <c r="E271" s="34" t="inlineStr"/>
      <c r="F271" s="35" t="inlineStr"/>
      <c r="G271" s="33" t="inlineStr">
        <is>
          <t>No</t>
        </is>
      </c>
      <c r="H271" s="33" t="inlineStr">
        <is>
          <t>No</t>
        </is>
      </c>
      <c r="I271" s="34" t="inlineStr"/>
      <c r="J271" s="34" t="inlineStr"/>
    </row>
    <row r="272">
      <c r="A272" s="22" t="inlineStr">
        <is>
          <t>LOG-269</t>
        </is>
      </c>
      <c r="B272" s="22" t="inlineStr"/>
      <c r="C272" s="38" t="inlineStr"/>
      <c r="D272" s="38">
        <f>IFERROR(VLOOKUP(C272, '⚙️ Lookup Tables'!$A$4:$B$15, 2, FALSE), "")</f>
        <v/>
      </c>
      <c r="E272" s="38" t="inlineStr"/>
      <c r="F272" s="24" t="inlineStr"/>
      <c r="G272" s="22" t="inlineStr">
        <is>
          <t>No</t>
        </is>
      </c>
      <c r="H272" s="22" t="inlineStr">
        <is>
          <t>No</t>
        </is>
      </c>
      <c r="I272" s="38" t="inlineStr"/>
      <c r="J272" s="38" t="inlineStr"/>
    </row>
    <row r="273">
      <c r="A273" s="33" t="inlineStr">
        <is>
          <t>LOG-270</t>
        </is>
      </c>
      <c r="B273" s="33" t="inlineStr"/>
      <c r="C273" s="34" t="inlineStr"/>
      <c r="D273" s="34">
        <f>IFERROR(VLOOKUP(C273, '⚙️ Lookup Tables'!$A$4:$B$15, 2, FALSE), "")</f>
        <v/>
      </c>
      <c r="E273" s="34" t="inlineStr"/>
      <c r="F273" s="35" t="inlineStr"/>
      <c r="G273" s="33" t="inlineStr">
        <is>
          <t>No</t>
        </is>
      </c>
      <c r="H273" s="33" t="inlineStr">
        <is>
          <t>No</t>
        </is>
      </c>
      <c r="I273" s="34" t="inlineStr"/>
      <c r="J273" s="34" t="inlineStr"/>
    </row>
    <row r="274">
      <c r="A274" s="22" t="inlineStr">
        <is>
          <t>LOG-271</t>
        </is>
      </c>
      <c r="B274" s="22" t="inlineStr"/>
      <c r="C274" s="38" t="inlineStr"/>
      <c r="D274" s="38">
        <f>IFERROR(VLOOKUP(C274, '⚙️ Lookup Tables'!$A$4:$B$15, 2, FALSE), "")</f>
        <v/>
      </c>
      <c r="E274" s="38" t="inlineStr"/>
      <c r="F274" s="24" t="inlineStr"/>
      <c r="G274" s="22" t="inlineStr">
        <is>
          <t>No</t>
        </is>
      </c>
      <c r="H274" s="22" t="inlineStr">
        <is>
          <t>No</t>
        </is>
      </c>
      <c r="I274" s="38" t="inlineStr"/>
      <c r="J274" s="38" t="inlineStr"/>
    </row>
    <row r="275">
      <c r="A275" s="33" t="inlineStr">
        <is>
          <t>LOG-272</t>
        </is>
      </c>
      <c r="B275" s="33" t="inlineStr"/>
      <c r="C275" s="34" t="inlineStr"/>
      <c r="D275" s="34">
        <f>IFERROR(VLOOKUP(C275, '⚙️ Lookup Tables'!$A$4:$B$15, 2, FALSE), "")</f>
        <v/>
      </c>
      <c r="E275" s="34" t="inlineStr"/>
      <c r="F275" s="35" t="inlineStr"/>
      <c r="G275" s="33" t="inlineStr">
        <is>
          <t>No</t>
        </is>
      </c>
      <c r="H275" s="33" t="inlineStr">
        <is>
          <t>No</t>
        </is>
      </c>
      <c r="I275" s="34" t="inlineStr"/>
      <c r="J275" s="34" t="inlineStr"/>
    </row>
    <row r="276">
      <c r="A276" s="22" t="inlineStr">
        <is>
          <t>LOG-273</t>
        </is>
      </c>
      <c r="B276" s="22" t="inlineStr"/>
      <c r="C276" s="38" t="inlineStr"/>
      <c r="D276" s="38">
        <f>IFERROR(VLOOKUP(C276, '⚙️ Lookup Tables'!$A$4:$B$15, 2, FALSE), "")</f>
        <v/>
      </c>
      <c r="E276" s="38" t="inlineStr"/>
      <c r="F276" s="24" t="inlineStr"/>
      <c r="G276" s="22" t="inlineStr">
        <is>
          <t>No</t>
        </is>
      </c>
      <c r="H276" s="22" t="inlineStr">
        <is>
          <t>No</t>
        </is>
      </c>
      <c r="I276" s="38" t="inlineStr"/>
      <c r="J276" s="38" t="inlineStr"/>
    </row>
    <row r="277">
      <c r="A277" s="33" t="inlineStr">
        <is>
          <t>LOG-274</t>
        </is>
      </c>
      <c r="B277" s="33" t="inlineStr"/>
      <c r="C277" s="34" t="inlineStr"/>
      <c r="D277" s="34">
        <f>IFERROR(VLOOKUP(C277, '⚙️ Lookup Tables'!$A$4:$B$15, 2, FALSE), "")</f>
        <v/>
      </c>
      <c r="E277" s="34" t="inlineStr"/>
      <c r="F277" s="35" t="inlineStr"/>
      <c r="G277" s="33" t="inlineStr">
        <is>
          <t>No</t>
        </is>
      </c>
      <c r="H277" s="33" t="inlineStr">
        <is>
          <t>No</t>
        </is>
      </c>
      <c r="I277" s="34" t="inlineStr"/>
      <c r="J277" s="34" t="inlineStr"/>
    </row>
    <row r="278">
      <c r="A278" s="22" t="inlineStr">
        <is>
          <t>LOG-275</t>
        </is>
      </c>
      <c r="B278" s="22" t="inlineStr"/>
      <c r="C278" s="38" t="inlineStr"/>
      <c r="D278" s="38">
        <f>IFERROR(VLOOKUP(C278, '⚙️ Lookup Tables'!$A$4:$B$15, 2, FALSE), "")</f>
        <v/>
      </c>
      <c r="E278" s="38" t="inlineStr"/>
      <c r="F278" s="24" t="inlineStr"/>
      <c r="G278" s="22" t="inlineStr">
        <is>
          <t>No</t>
        </is>
      </c>
      <c r="H278" s="22" t="inlineStr">
        <is>
          <t>No</t>
        </is>
      </c>
      <c r="I278" s="38" t="inlineStr"/>
      <c r="J278" s="38" t="inlineStr"/>
    </row>
    <row r="279">
      <c r="A279" s="33" t="inlineStr">
        <is>
          <t>LOG-276</t>
        </is>
      </c>
      <c r="B279" s="33" t="inlineStr"/>
      <c r="C279" s="34" t="inlineStr"/>
      <c r="D279" s="34">
        <f>IFERROR(VLOOKUP(C279, '⚙️ Lookup Tables'!$A$4:$B$15, 2, FALSE), "")</f>
        <v/>
      </c>
      <c r="E279" s="34" t="inlineStr"/>
      <c r="F279" s="35" t="inlineStr"/>
      <c r="G279" s="33" t="inlineStr">
        <is>
          <t>No</t>
        </is>
      </c>
      <c r="H279" s="33" t="inlineStr">
        <is>
          <t>No</t>
        </is>
      </c>
      <c r="I279" s="34" t="inlineStr"/>
      <c r="J279" s="34" t="inlineStr"/>
    </row>
    <row r="280">
      <c r="A280" s="22" t="inlineStr">
        <is>
          <t>LOG-277</t>
        </is>
      </c>
      <c r="B280" s="22" t="inlineStr"/>
      <c r="C280" s="38" t="inlineStr"/>
      <c r="D280" s="38">
        <f>IFERROR(VLOOKUP(C280, '⚙️ Lookup Tables'!$A$4:$B$15, 2, FALSE), "")</f>
        <v/>
      </c>
      <c r="E280" s="38" t="inlineStr"/>
      <c r="F280" s="24" t="inlineStr"/>
      <c r="G280" s="22" t="inlineStr">
        <is>
          <t>No</t>
        </is>
      </c>
      <c r="H280" s="22" t="inlineStr">
        <is>
          <t>No</t>
        </is>
      </c>
      <c r="I280" s="38" t="inlineStr"/>
      <c r="J280" s="38" t="inlineStr"/>
    </row>
    <row r="281">
      <c r="A281" s="33" t="inlineStr">
        <is>
          <t>LOG-278</t>
        </is>
      </c>
      <c r="B281" s="33" t="inlineStr"/>
      <c r="C281" s="34" t="inlineStr"/>
      <c r="D281" s="34">
        <f>IFERROR(VLOOKUP(C281, '⚙️ Lookup Tables'!$A$4:$B$15, 2, FALSE), "")</f>
        <v/>
      </c>
      <c r="E281" s="34" t="inlineStr"/>
      <c r="F281" s="35" t="inlineStr"/>
      <c r="G281" s="33" t="inlineStr">
        <is>
          <t>No</t>
        </is>
      </c>
      <c r="H281" s="33" t="inlineStr">
        <is>
          <t>No</t>
        </is>
      </c>
      <c r="I281" s="34" t="inlineStr"/>
      <c r="J281" s="34" t="inlineStr"/>
    </row>
    <row r="282">
      <c r="A282" s="22" t="inlineStr">
        <is>
          <t>LOG-279</t>
        </is>
      </c>
      <c r="B282" s="22" t="inlineStr"/>
      <c r="C282" s="38" t="inlineStr"/>
      <c r="D282" s="38">
        <f>IFERROR(VLOOKUP(C282, '⚙️ Lookup Tables'!$A$4:$B$15, 2, FALSE), "")</f>
        <v/>
      </c>
      <c r="E282" s="38" t="inlineStr"/>
      <c r="F282" s="24" t="inlineStr"/>
      <c r="G282" s="22" t="inlineStr">
        <is>
          <t>No</t>
        </is>
      </c>
      <c r="H282" s="22" t="inlineStr">
        <is>
          <t>No</t>
        </is>
      </c>
      <c r="I282" s="38" t="inlineStr"/>
      <c r="J282" s="38" t="inlineStr"/>
    </row>
    <row r="283">
      <c r="A283" s="33" t="inlineStr">
        <is>
          <t>LOG-280</t>
        </is>
      </c>
      <c r="B283" s="33" t="inlineStr"/>
      <c r="C283" s="34" t="inlineStr"/>
      <c r="D283" s="34">
        <f>IFERROR(VLOOKUP(C283, '⚙️ Lookup Tables'!$A$4:$B$15, 2, FALSE), "")</f>
        <v/>
      </c>
      <c r="E283" s="34" t="inlineStr"/>
      <c r="F283" s="35" t="inlineStr"/>
      <c r="G283" s="33" t="inlineStr">
        <is>
          <t>No</t>
        </is>
      </c>
      <c r="H283" s="33" t="inlineStr">
        <is>
          <t>No</t>
        </is>
      </c>
      <c r="I283" s="34" t="inlineStr"/>
      <c r="J283" s="34" t="inlineStr"/>
    </row>
    <row r="284">
      <c r="A284" s="22" t="inlineStr">
        <is>
          <t>LOG-281</t>
        </is>
      </c>
      <c r="B284" s="22" t="inlineStr"/>
      <c r="C284" s="38" t="inlineStr"/>
      <c r="D284" s="38">
        <f>IFERROR(VLOOKUP(C284, '⚙️ Lookup Tables'!$A$4:$B$15, 2, FALSE), "")</f>
        <v/>
      </c>
      <c r="E284" s="38" t="inlineStr"/>
      <c r="F284" s="24" t="inlineStr"/>
      <c r="G284" s="22" t="inlineStr">
        <is>
          <t>No</t>
        </is>
      </c>
      <c r="H284" s="22" t="inlineStr">
        <is>
          <t>No</t>
        </is>
      </c>
      <c r="I284" s="38" t="inlineStr"/>
      <c r="J284" s="38" t="inlineStr"/>
    </row>
    <row r="285">
      <c r="A285" s="33" t="inlineStr">
        <is>
          <t>LOG-282</t>
        </is>
      </c>
      <c r="B285" s="33" t="inlineStr"/>
      <c r="C285" s="34" t="inlineStr"/>
      <c r="D285" s="34">
        <f>IFERROR(VLOOKUP(C285, '⚙️ Lookup Tables'!$A$4:$B$15, 2, FALSE), "")</f>
        <v/>
      </c>
      <c r="E285" s="34" t="inlineStr"/>
      <c r="F285" s="35" t="inlineStr"/>
      <c r="G285" s="33" t="inlineStr">
        <is>
          <t>No</t>
        </is>
      </c>
      <c r="H285" s="33" t="inlineStr">
        <is>
          <t>No</t>
        </is>
      </c>
      <c r="I285" s="34" t="inlineStr"/>
      <c r="J285" s="34" t="inlineStr"/>
    </row>
    <row r="286">
      <c r="A286" s="22" t="inlineStr">
        <is>
          <t>LOG-283</t>
        </is>
      </c>
      <c r="B286" s="22" t="inlineStr"/>
      <c r="C286" s="38" t="inlineStr"/>
      <c r="D286" s="38">
        <f>IFERROR(VLOOKUP(C286, '⚙️ Lookup Tables'!$A$4:$B$15, 2, FALSE), "")</f>
        <v/>
      </c>
      <c r="E286" s="38" t="inlineStr"/>
      <c r="F286" s="24" t="inlineStr"/>
      <c r="G286" s="22" t="inlineStr">
        <is>
          <t>No</t>
        </is>
      </c>
      <c r="H286" s="22" t="inlineStr">
        <is>
          <t>No</t>
        </is>
      </c>
      <c r="I286" s="38" t="inlineStr"/>
      <c r="J286" s="38" t="inlineStr"/>
    </row>
    <row r="287">
      <c r="A287" s="33" t="inlineStr">
        <is>
          <t>LOG-284</t>
        </is>
      </c>
      <c r="B287" s="33" t="inlineStr"/>
      <c r="C287" s="34" t="inlineStr"/>
      <c r="D287" s="34">
        <f>IFERROR(VLOOKUP(C287, '⚙️ Lookup Tables'!$A$4:$B$15, 2, FALSE), "")</f>
        <v/>
      </c>
      <c r="E287" s="34" t="inlineStr"/>
      <c r="F287" s="35" t="inlineStr"/>
      <c r="G287" s="33" t="inlineStr">
        <is>
          <t>No</t>
        </is>
      </c>
      <c r="H287" s="33" t="inlineStr">
        <is>
          <t>No</t>
        </is>
      </c>
      <c r="I287" s="34" t="inlineStr"/>
      <c r="J287" s="34" t="inlineStr"/>
    </row>
    <row r="288">
      <c r="A288" s="22" t="inlineStr">
        <is>
          <t>LOG-285</t>
        </is>
      </c>
      <c r="B288" s="22" t="inlineStr"/>
      <c r="C288" s="38" t="inlineStr"/>
      <c r="D288" s="38">
        <f>IFERROR(VLOOKUP(C288, '⚙️ Lookup Tables'!$A$4:$B$15, 2, FALSE), "")</f>
        <v/>
      </c>
      <c r="E288" s="38" t="inlineStr"/>
      <c r="F288" s="24" t="inlineStr"/>
      <c r="G288" s="22" t="inlineStr">
        <is>
          <t>No</t>
        </is>
      </c>
      <c r="H288" s="22" t="inlineStr">
        <is>
          <t>No</t>
        </is>
      </c>
      <c r="I288" s="38" t="inlineStr"/>
      <c r="J288" s="38" t="inlineStr"/>
    </row>
    <row r="289">
      <c r="A289" s="33" t="inlineStr">
        <is>
          <t>LOG-286</t>
        </is>
      </c>
      <c r="B289" s="33" t="inlineStr"/>
      <c r="C289" s="34" t="inlineStr"/>
      <c r="D289" s="34">
        <f>IFERROR(VLOOKUP(C289, '⚙️ Lookup Tables'!$A$4:$B$15, 2, FALSE), "")</f>
        <v/>
      </c>
      <c r="E289" s="34" t="inlineStr"/>
      <c r="F289" s="35" t="inlineStr"/>
      <c r="G289" s="33" t="inlineStr">
        <is>
          <t>No</t>
        </is>
      </c>
      <c r="H289" s="33" t="inlineStr">
        <is>
          <t>No</t>
        </is>
      </c>
      <c r="I289" s="34" t="inlineStr"/>
      <c r="J289" s="34" t="inlineStr"/>
    </row>
    <row r="290">
      <c r="A290" s="22" t="inlineStr">
        <is>
          <t>LOG-287</t>
        </is>
      </c>
      <c r="B290" s="22" t="inlineStr"/>
      <c r="C290" s="38" t="inlineStr"/>
      <c r="D290" s="38">
        <f>IFERROR(VLOOKUP(C290, '⚙️ Lookup Tables'!$A$4:$B$15, 2, FALSE), "")</f>
        <v/>
      </c>
      <c r="E290" s="38" t="inlineStr"/>
      <c r="F290" s="24" t="inlineStr"/>
      <c r="G290" s="22" t="inlineStr">
        <is>
          <t>No</t>
        </is>
      </c>
      <c r="H290" s="22" t="inlineStr">
        <is>
          <t>No</t>
        </is>
      </c>
      <c r="I290" s="38" t="inlineStr"/>
      <c r="J290" s="38" t="inlineStr"/>
    </row>
    <row r="291">
      <c r="A291" s="33" t="inlineStr">
        <is>
          <t>LOG-288</t>
        </is>
      </c>
      <c r="B291" s="33" t="inlineStr"/>
      <c r="C291" s="34" t="inlineStr"/>
      <c r="D291" s="34">
        <f>IFERROR(VLOOKUP(C291, '⚙️ Lookup Tables'!$A$4:$B$15, 2, FALSE), "")</f>
        <v/>
      </c>
      <c r="E291" s="34" t="inlineStr"/>
      <c r="F291" s="35" t="inlineStr"/>
      <c r="G291" s="33" t="inlineStr">
        <is>
          <t>No</t>
        </is>
      </c>
      <c r="H291" s="33" t="inlineStr">
        <is>
          <t>No</t>
        </is>
      </c>
      <c r="I291" s="34" t="inlineStr"/>
      <c r="J291" s="34" t="inlineStr"/>
    </row>
    <row r="292">
      <c r="A292" s="22" t="inlineStr">
        <is>
          <t>LOG-289</t>
        </is>
      </c>
      <c r="B292" s="22" t="inlineStr"/>
      <c r="C292" s="38" t="inlineStr"/>
      <c r="D292" s="38">
        <f>IFERROR(VLOOKUP(C292, '⚙️ Lookup Tables'!$A$4:$B$15, 2, FALSE), "")</f>
        <v/>
      </c>
      <c r="E292" s="38" t="inlineStr"/>
      <c r="F292" s="24" t="inlineStr"/>
      <c r="G292" s="22" t="inlineStr">
        <is>
          <t>No</t>
        </is>
      </c>
      <c r="H292" s="22" t="inlineStr">
        <is>
          <t>No</t>
        </is>
      </c>
      <c r="I292" s="38" t="inlineStr"/>
      <c r="J292" s="38" t="inlineStr"/>
    </row>
    <row r="293">
      <c r="A293" s="33" t="inlineStr">
        <is>
          <t>LOG-290</t>
        </is>
      </c>
      <c r="B293" s="33" t="inlineStr"/>
      <c r="C293" s="34" t="inlineStr"/>
      <c r="D293" s="34">
        <f>IFERROR(VLOOKUP(C293, '⚙️ Lookup Tables'!$A$4:$B$15, 2, FALSE), "")</f>
        <v/>
      </c>
      <c r="E293" s="34" t="inlineStr"/>
      <c r="F293" s="35" t="inlineStr"/>
      <c r="G293" s="33" t="inlineStr">
        <is>
          <t>No</t>
        </is>
      </c>
      <c r="H293" s="33" t="inlineStr">
        <is>
          <t>No</t>
        </is>
      </c>
      <c r="I293" s="34" t="inlineStr"/>
      <c r="J293" s="34" t="inlineStr"/>
    </row>
    <row r="294">
      <c r="A294" s="22" t="inlineStr">
        <is>
          <t>LOG-291</t>
        </is>
      </c>
      <c r="B294" s="22" t="inlineStr"/>
      <c r="C294" s="38" t="inlineStr"/>
      <c r="D294" s="38">
        <f>IFERROR(VLOOKUP(C294, '⚙️ Lookup Tables'!$A$4:$B$15, 2, FALSE), "")</f>
        <v/>
      </c>
      <c r="E294" s="38" t="inlineStr"/>
      <c r="F294" s="24" t="inlineStr"/>
      <c r="G294" s="22" t="inlineStr">
        <is>
          <t>No</t>
        </is>
      </c>
      <c r="H294" s="22" t="inlineStr">
        <is>
          <t>No</t>
        </is>
      </c>
      <c r="I294" s="38" t="inlineStr"/>
      <c r="J294" s="38" t="inlineStr"/>
    </row>
    <row r="295">
      <c r="A295" s="33" t="inlineStr">
        <is>
          <t>LOG-292</t>
        </is>
      </c>
      <c r="B295" s="33" t="inlineStr"/>
      <c r="C295" s="34" t="inlineStr"/>
      <c r="D295" s="34">
        <f>IFERROR(VLOOKUP(C295, '⚙️ Lookup Tables'!$A$4:$B$15, 2, FALSE), "")</f>
        <v/>
      </c>
      <c r="E295" s="34" t="inlineStr"/>
      <c r="F295" s="35" t="inlineStr"/>
      <c r="G295" s="33" t="inlineStr">
        <is>
          <t>No</t>
        </is>
      </c>
      <c r="H295" s="33" t="inlineStr">
        <is>
          <t>No</t>
        </is>
      </c>
      <c r="I295" s="34" t="inlineStr"/>
      <c r="J295" s="34" t="inlineStr"/>
    </row>
    <row r="296">
      <c r="A296" s="22" t="inlineStr">
        <is>
          <t>LOG-293</t>
        </is>
      </c>
      <c r="B296" s="22" t="inlineStr"/>
      <c r="C296" s="38" t="inlineStr"/>
      <c r="D296" s="38">
        <f>IFERROR(VLOOKUP(C296, '⚙️ Lookup Tables'!$A$4:$B$15, 2, FALSE), "")</f>
        <v/>
      </c>
      <c r="E296" s="38" t="inlineStr"/>
      <c r="F296" s="24" t="inlineStr"/>
      <c r="G296" s="22" t="inlineStr">
        <is>
          <t>No</t>
        </is>
      </c>
      <c r="H296" s="22" t="inlineStr">
        <is>
          <t>No</t>
        </is>
      </c>
      <c r="I296" s="38" t="inlineStr"/>
      <c r="J296" s="38" t="inlineStr"/>
    </row>
    <row r="297">
      <c r="A297" s="33" t="inlineStr">
        <is>
          <t>LOG-294</t>
        </is>
      </c>
      <c r="B297" s="33" t="inlineStr"/>
      <c r="C297" s="34" t="inlineStr"/>
      <c r="D297" s="34">
        <f>IFERROR(VLOOKUP(C297, '⚙️ Lookup Tables'!$A$4:$B$15, 2, FALSE), "")</f>
        <v/>
      </c>
      <c r="E297" s="34" t="inlineStr"/>
      <c r="F297" s="35" t="inlineStr"/>
      <c r="G297" s="33" t="inlineStr">
        <is>
          <t>No</t>
        </is>
      </c>
      <c r="H297" s="33" t="inlineStr">
        <is>
          <t>No</t>
        </is>
      </c>
      <c r="I297" s="34" t="inlineStr"/>
      <c r="J297" s="34" t="inlineStr"/>
    </row>
    <row r="298">
      <c r="A298" s="22" t="inlineStr">
        <is>
          <t>LOG-295</t>
        </is>
      </c>
      <c r="B298" s="22" t="inlineStr"/>
      <c r="C298" s="38" t="inlineStr"/>
      <c r="D298" s="38">
        <f>IFERROR(VLOOKUP(C298, '⚙️ Lookup Tables'!$A$4:$B$15, 2, FALSE), "")</f>
        <v/>
      </c>
      <c r="E298" s="38" t="inlineStr"/>
      <c r="F298" s="24" t="inlineStr"/>
      <c r="G298" s="22" t="inlineStr">
        <is>
          <t>No</t>
        </is>
      </c>
      <c r="H298" s="22" t="inlineStr">
        <is>
          <t>No</t>
        </is>
      </c>
      <c r="I298" s="38" t="inlineStr"/>
      <c r="J298" s="38" t="inlineStr"/>
    </row>
    <row r="299">
      <c r="A299" s="33" t="inlineStr">
        <is>
          <t>LOG-296</t>
        </is>
      </c>
      <c r="B299" s="33" t="inlineStr"/>
      <c r="C299" s="34" t="inlineStr"/>
      <c r="D299" s="34">
        <f>IFERROR(VLOOKUP(C299, '⚙️ Lookup Tables'!$A$4:$B$15, 2, FALSE), "")</f>
        <v/>
      </c>
      <c r="E299" s="34" t="inlineStr"/>
      <c r="F299" s="35" t="inlineStr"/>
      <c r="G299" s="33" t="inlineStr">
        <is>
          <t>No</t>
        </is>
      </c>
      <c r="H299" s="33" t="inlineStr">
        <is>
          <t>No</t>
        </is>
      </c>
      <c r="I299" s="34" t="inlineStr"/>
      <c r="J299" s="34" t="inlineStr"/>
    </row>
    <row r="300">
      <c r="A300" s="22" t="inlineStr">
        <is>
          <t>LOG-297</t>
        </is>
      </c>
      <c r="B300" s="22" t="inlineStr"/>
      <c r="C300" s="38" t="inlineStr"/>
      <c r="D300" s="38">
        <f>IFERROR(VLOOKUP(C300, '⚙️ Lookup Tables'!$A$4:$B$15, 2, FALSE), "")</f>
        <v/>
      </c>
      <c r="E300" s="38" t="inlineStr"/>
      <c r="F300" s="24" t="inlineStr"/>
      <c r="G300" s="22" t="inlineStr">
        <is>
          <t>No</t>
        </is>
      </c>
      <c r="H300" s="22" t="inlineStr">
        <is>
          <t>No</t>
        </is>
      </c>
      <c r="I300" s="38" t="inlineStr"/>
      <c r="J300" s="38" t="inlineStr"/>
    </row>
  </sheetData>
  <dataValidations count="3">
    <dataValidation sqref="C4:C300" showDropDown="0" showInputMessage="0" showErrorMessage="0" allowBlank="1" type="list">
      <formula1>'⚙️ Lookup Tables'!$A$4:$A$15</formula1>
    </dataValidation>
    <dataValidation sqref="G4:G300 H4:H300" showDropDown="0" showInputMessage="0" showErrorMessage="0" allowBlank="1" type="list">
      <formula1>'⚙️ Lookup Tables'!$F$4:$F$5</formula1>
    </dataValidation>
    <dataValidation sqref="I4:I300" showDropDown="0" showInputMessage="0" showErrorMessage="0" allowBlank="1" type="list">
      <formula1>'⚙️ Lookup Tables'!$H$4:$H$11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8:AJ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3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5" customWidth="1" min="35" max="35"/>
    <col width="12" customWidth="1" min="36" max="36"/>
  </cols>
  <sheetData>
    <row r="8">
      <c r="B8" s="13" t="inlineStr">
        <is>
          <t>MONTHLY TEAM DAILY HOURS MATRIX</t>
        </is>
      </c>
    </row>
    <row r="9">
      <c r="B9" s="32" t="inlineStr">
        <is>
          <t>Enter daily hours per member directly or reference live tasks | Columns 1 to 31</t>
        </is>
      </c>
    </row>
    <row r="11">
      <c r="B11" s="5" t="inlineStr">
        <is>
          <t>Member Name</t>
        </is>
      </c>
      <c r="C11" s="5" t="inlineStr">
        <is>
          <t>Role</t>
        </is>
      </c>
      <c r="D11" s="5" t="inlineStr">
        <is>
          <t>D1</t>
        </is>
      </c>
      <c r="E11" s="5" t="inlineStr">
        <is>
          <t>D2</t>
        </is>
      </c>
      <c r="F11" s="5" t="inlineStr">
        <is>
          <t>D3</t>
        </is>
      </c>
      <c r="G11" s="5" t="inlineStr">
        <is>
          <t>D4</t>
        </is>
      </c>
      <c r="H11" s="5" t="inlineStr">
        <is>
          <t>D5</t>
        </is>
      </c>
      <c r="I11" s="5" t="inlineStr">
        <is>
          <t>D6</t>
        </is>
      </c>
      <c r="J11" s="5" t="inlineStr">
        <is>
          <t>D7</t>
        </is>
      </c>
      <c r="K11" s="5" t="inlineStr">
        <is>
          <t>D8</t>
        </is>
      </c>
      <c r="L11" s="5" t="inlineStr">
        <is>
          <t>D9</t>
        </is>
      </c>
      <c r="M11" s="5" t="inlineStr">
        <is>
          <t>D10</t>
        </is>
      </c>
      <c r="N11" s="5" t="inlineStr">
        <is>
          <t>D11</t>
        </is>
      </c>
      <c r="O11" s="5" t="inlineStr">
        <is>
          <t>D12</t>
        </is>
      </c>
      <c r="P11" s="5" t="inlineStr">
        <is>
          <t>D13</t>
        </is>
      </c>
      <c r="Q11" s="5" t="inlineStr">
        <is>
          <t>D14</t>
        </is>
      </c>
      <c r="R11" s="5" t="inlineStr">
        <is>
          <t>D15</t>
        </is>
      </c>
      <c r="S11" s="5" t="inlineStr">
        <is>
          <t>D16</t>
        </is>
      </c>
      <c r="T11" s="5" t="inlineStr">
        <is>
          <t>D17</t>
        </is>
      </c>
      <c r="U11" s="5" t="inlineStr">
        <is>
          <t>D18</t>
        </is>
      </c>
      <c r="V11" s="5" t="inlineStr">
        <is>
          <t>D19</t>
        </is>
      </c>
      <c r="W11" s="5" t="inlineStr">
        <is>
          <t>D20</t>
        </is>
      </c>
      <c r="X11" s="5" t="inlineStr">
        <is>
          <t>D21</t>
        </is>
      </c>
      <c r="Y11" s="5" t="inlineStr">
        <is>
          <t>D22</t>
        </is>
      </c>
      <c r="Z11" s="5" t="inlineStr">
        <is>
          <t>D23</t>
        </is>
      </c>
      <c r="AA11" s="5" t="inlineStr">
        <is>
          <t>D24</t>
        </is>
      </c>
      <c r="AB11" s="5" t="inlineStr">
        <is>
          <t>D25</t>
        </is>
      </c>
      <c r="AC11" s="5" t="inlineStr">
        <is>
          <t>D26</t>
        </is>
      </c>
      <c r="AD11" s="5" t="inlineStr">
        <is>
          <t>D27</t>
        </is>
      </c>
      <c r="AE11" s="5" t="inlineStr">
        <is>
          <t>D28</t>
        </is>
      </c>
      <c r="AF11" s="5" t="inlineStr">
        <is>
          <t>D29</t>
        </is>
      </c>
      <c r="AG11" s="5" t="inlineStr">
        <is>
          <t>D30</t>
        </is>
      </c>
      <c r="AH11" s="5" t="inlineStr">
        <is>
          <t>D31</t>
        </is>
      </c>
      <c r="AI11" s="5" t="inlineStr">
        <is>
          <t>Month Total</t>
        </is>
      </c>
      <c r="AJ11" s="5" t="inlineStr">
        <is>
          <t>Avg/Day</t>
        </is>
      </c>
    </row>
    <row r="12">
      <c r="B12" s="20" t="inlineStr">
        <is>
          <t>Musthaque Ali</t>
        </is>
      </c>
      <c r="C12" s="21" t="inlineStr">
        <is>
          <t>Reliability Data Analyst</t>
        </is>
      </c>
      <c r="D12" s="39" t="inlineStr"/>
      <c r="E12" s="39" t="inlineStr"/>
      <c r="F12" s="39" t="inlineStr"/>
      <c r="G12" s="39" t="inlineStr"/>
      <c r="H12" s="39" t="inlineStr"/>
      <c r="I12" s="39" t="inlineStr"/>
      <c r="J12" s="39" t="inlineStr"/>
      <c r="K12" s="39" t="n">
        <v>4.5</v>
      </c>
      <c r="L12" s="39" t="inlineStr"/>
      <c r="M12" s="39" t="inlineStr"/>
      <c r="N12" s="39" t="inlineStr"/>
      <c r="O12" s="39" t="inlineStr"/>
      <c r="P12" s="39" t="inlineStr"/>
      <c r="Q12" s="39" t="inlineStr"/>
      <c r="R12" s="39" t="inlineStr"/>
      <c r="S12" s="39" t="inlineStr"/>
      <c r="T12" s="39" t="inlineStr"/>
      <c r="U12" s="39" t="inlineStr"/>
      <c r="V12" s="39" t="inlineStr"/>
      <c r="W12" s="39" t="inlineStr"/>
      <c r="X12" s="39" t="inlineStr"/>
      <c r="Y12" s="39" t="inlineStr"/>
      <c r="Z12" s="39" t="inlineStr"/>
      <c r="AA12" s="39" t="inlineStr"/>
      <c r="AB12" s="39" t="inlineStr"/>
      <c r="AC12" s="39" t="inlineStr"/>
      <c r="AD12" s="39" t="inlineStr"/>
      <c r="AE12" s="39" t="inlineStr"/>
      <c r="AF12" s="39" t="inlineStr"/>
      <c r="AG12" s="39" t="inlineStr"/>
      <c r="AH12" s="39" t="inlineStr"/>
      <c r="AI12" s="23">
        <f>SUM(D12:AH12)</f>
        <v/>
      </c>
      <c r="AJ12" s="24">
        <f>IF(AI12&gt;0, AI12/COUNTIF(D12:AH12, "&gt;0"), 0)</f>
        <v/>
      </c>
    </row>
    <row r="13">
      <c r="B13" s="14" t="inlineStr">
        <is>
          <t>Anjani Dara</t>
        </is>
      </c>
      <c r="C13" s="15" t="inlineStr">
        <is>
          <t>Reliability Data Analyst</t>
        </is>
      </c>
      <c r="D13" s="40" t="inlineStr"/>
      <c r="E13" s="40" t="inlineStr"/>
      <c r="F13" s="40" t="inlineStr"/>
      <c r="G13" s="40" t="inlineStr"/>
      <c r="H13" s="40" t="inlineStr"/>
      <c r="I13" s="40" t="inlineStr"/>
      <c r="J13" s="40" t="inlineStr"/>
      <c r="K13" s="40" t="n">
        <v>5</v>
      </c>
      <c r="L13" s="40" t="inlineStr"/>
      <c r="M13" s="40" t="inlineStr"/>
      <c r="N13" s="40" t="inlineStr"/>
      <c r="O13" s="40" t="inlineStr"/>
      <c r="P13" s="40" t="inlineStr"/>
      <c r="Q13" s="40" t="inlineStr"/>
      <c r="R13" s="40" t="inlineStr"/>
      <c r="S13" s="40" t="inlineStr"/>
      <c r="T13" s="40" t="inlineStr"/>
      <c r="U13" s="40" t="inlineStr"/>
      <c r="V13" s="40" t="inlineStr"/>
      <c r="W13" s="40" t="inlineStr"/>
      <c r="X13" s="40" t="inlineStr"/>
      <c r="Y13" s="40" t="inlineStr"/>
      <c r="Z13" s="40" t="inlineStr"/>
      <c r="AA13" s="40" t="inlineStr"/>
      <c r="AB13" s="40" t="inlineStr"/>
      <c r="AC13" s="40" t="inlineStr"/>
      <c r="AD13" s="40" t="inlineStr"/>
      <c r="AE13" s="40" t="inlineStr"/>
      <c r="AF13" s="40" t="inlineStr"/>
      <c r="AG13" s="40" t="inlineStr"/>
      <c r="AH13" s="40" t="inlineStr"/>
      <c r="AI13" s="17">
        <f>SUM(D13:AH13)</f>
        <v/>
      </c>
      <c r="AJ13" s="18">
        <f>IF(AI13&gt;0, AI13/COUNTIF(D13:AH13, "&gt;0"), 0)</f>
        <v/>
      </c>
    </row>
    <row r="14">
      <c r="B14" s="20" t="inlineStr">
        <is>
          <t>Hana Sayed</t>
        </is>
      </c>
      <c r="C14" s="21" t="inlineStr">
        <is>
          <t>Reliability Data Analyst - India</t>
        </is>
      </c>
      <c r="D14" s="39" t="inlineStr"/>
      <c r="E14" s="39" t="inlineStr"/>
      <c r="F14" s="39" t="inlineStr"/>
      <c r="G14" s="39" t="inlineStr"/>
      <c r="H14" s="39" t="inlineStr"/>
      <c r="I14" s="39" t="inlineStr"/>
      <c r="J14" s="39" t="inlineStr"/>
      <c r="K14" s="39" t="n">
        <v>4</v>
      </c>
      <c r="L14" s="39" t="inlineStr"/>
      <c r="M14" s="39" t="inlineStr"/>
      <c r="N14" s="39" t="inlineStr"/>
      <c r="O14" s="39" t="inlineStr"/>
      <c r="P14" s="39" t="inlineStr"/>
      <c r="Q14" s="39" t="inlineStr"/>
      <c r="R14" s="39" t="inlineStr"/>
      <c r="S14" s="39" t="inlineStr"/>
      <c r="T14" s="39" t="inlineStr"/>
      <c r="U14" s="39" t="inlineStr"/>
      <c r="V14" s="39" t="inlineStr"/>
      <c r="W14" s="39" t="inlineStr"/>
      <c r="X14" s="39" t="inlineStr"/>
      <c r="Y14" s="39" t="inlineStr"/>
      <c r="Z14" s="39" t="inlineStr"/>
      <c r="AA14" s="39" t="inlineStr"/>
      <c r="AB14" s="39" t="inlineStr"/>
      <c r="AC14" s="39" t="inlineStr"/>
      <c r="AD14" s="39" t="inlineStr"/>
      <c r="AE14" s="39" t="inlineStr"/>
      <c r="AF14" s="39" t="inlineStr"/>
      <c r="AG14" s="39" t="inlineStr"/>
      <c r="AH14" s="39" t="inlineStr"/>
      <c r="AI14" s="23">
        <f>SUM(D14:AH14)</f>
        <v/>
      </c>
      <c r="AJ14" s="24">
        <f>IF(AI14&gt;0, AI14/COUNTIF(D14:AH14, "&gt;0"), 0)</f>
        <v/>
      </c>
    </row>
    <row r="15">
      <c r="B15" s="14" t="inlineStr">
        <is>
          <t>Mounika Pasunuti</t>
        </is>
      </c>
      <c r="C15" s="15" t="inlineStr">
        <is>
          <t>Reliability Data Analyst</t>
        </is>
      </c>
      <c r="D15" s="40" t="inlineStr"/>
      <c r="E15" s="40" t="inlineStr"/>
      <c r="F15" s="40" t="inlineStr"/>
      <c r="G15" s="40" t="inlineStr"/>
      <c r="H15" s="40" t="inlineStr"/>
      <c r="I15" s="40" t="n">
        <v>2</v>
      </c>
      <c r="J15" s="40" t="inlineStr"/>
      <c r="K15" s="40" t="inlineStr"/>
      <c r="L15" s="40" t="inlineStr"/>
      <c r="M15" s="40" t="inlineStr"/>
      <c r="N15" s="40" t="inlineStr"/>
      <c r="O15" s="40" t="inlineStr"/>
      <c r="P15" s="40" t="inlineStr"/>
      <c r="Q15" s="40" t="inlineStr"/>
      <c r="R15" s="40" t="inlineStr"/>
      <c r="S15" s="40" t="inlineStr"/>
      <c r="T15" s="40" t="inlineStr"/>
      <c r="U15" s="40" t="inlineStr"/>
      <c r="V15" s="40" t="inlineStr"/>
      <c r="W15" s="40" t="inlineStr"/>
      <c r="X15" s="40" t="inlineStr"/>
      <c r="Y15" s="40" t="inlineStr"/>
      <c r="Z15" s="40" t="inlineStr"/>
      <c r="AA15" s="40" t="inlineStr"/>
      <c r="AB15" s="40" t="inlineStr"/>
      <c r="AC15" s="40" t="inlineStr"/>
      <c r="AD15" s="40" t="inlineStr"/>
      <c r="AE15" s="40" t="inlineStr"/>
      <c r="AF15" s="40" t="inlineStr"/>
      <c r="AG15" s="40" t="inlineStr"/>
      <c r="AH15" s="40" t="inlineStr"/>
      <c r="AI15" s="17">
        <f>SUM(D15:AH15)</f>
        <v/>
      </c>
      <c r="AJ15" s="18">
        <f>IF(AI15&gt;0, AI15/COUNTIF(D15:AH15, "&gt;0"), 0)</f>
        <v/>
      </c>
    </row>
    <row r="16">
      <c r="B16" s="20" t="inlineStr">
        <is>
          <t>Piyush Gupta</t>
        </is>
      </c>
      <c r="C16" s="21" t="inlineStr">
        <is>
          <t>Reliability Data Analyst - India</t>
        </is>
      </c>
      <c r="D16" s="39" t="inlineStr"/>
      <c r="E16" s="39" t="inlineStr"/>
      <c r="F16" s="39" t="inlineStr"/>
      <c r="G16" s="39" t="inlineStr"/>
      <c r="H16" s="39" t="inlineStr"/>
      <c r="I16" s="39" t="inlineStr"/>
      <c r="J16" s="39" t="inlineStr"/>
      <c r="K16" s="39" t="n">
        <v>3.5</v>
      </c>
      <c r="L16" s="39" t="inlineStr"/>
      <c r="M16" s="39" t="inlineStr"/>
      <c r="N16" s="39" t="inlineStr"/>
      <c r="O16" s="39" t="inlineStr"/>
      <c r="P16" s="39" t="inlineStr"/>
      <c r="Q16" s="39" t="inlineStr"/>
      <c r="R16" s="39" t="inlineStr"/>
      <c r="S16" s="39" t="inlineStr"/>
      <c r="T16" s="39" t="inlineStr"/>
      <c r="U16" s="39" t="inlineStr"/>
      <c r="V16" s="39" t="inlineStr"/>
      <c r="W16" s="39" t="inlineStr"/>
      <c r="X16" s="39" t="inlineStr"/>
      <c r="Y16" s="39" t="inlineStr"/>
      <c r="Z16" s="39" t="inlineStr"/>
      <c r="AA16" s="39" t="inlineStr"/>
      <c r="AB16" s="39" t="inlineStr"/>
      <c r="AC16" s="39" t="inlineStr"/>
      <c r="AD16" s="39" t="inlineStr"/>
      <c r="AE16" s="39" t="inlineStr"/>
      <c r="AF16" s="39" t="inlineStr"/>
      <c r="AG16" s="39" t="inlineStr"/>
      <c r="AH16" s="39" t="inlineStr"/>
      <c r="AI16" s="23">
        <f>SUM(D16:AH16)</f>
        <v/>
      </c>
      <c r="AJ16" s="24">
        <f>IF(AI16&gt;0, AI16/COUNTIF(D16:AH16, "&gt;0"), 0)</f>
        <v/>
      </c>
    </row>
    <row r="17">
      <c r="B17" s="14" t="inlineStr">
        <is>
          <t>Priti Barman</t>
        </is>
      </c>
      <c r="C17" s="15" t="inlineStr">
        <is>
          <t>Reliability Data Analyst - India</t>
        </is>
      </c>
      <c r="D17" s="40" t="inlineStr"/>
      <c r="E17" s="40" t="inlineStr"/>
      <c r="F17" s="40" t="inlineStr"/>
      <c r="G17" s="40" t="inlineStr"/>
      <c r="H17" s="40" t="inlineStr"/>
      <c r="I17" s="40" t="inlineStr"/>
      <c r="J17" s="40" t="inlineStr"/>
      <c r="K17" s="40" t="inlineStr"/>
      <c r="L17" s="40" t="inlineStr"/>
      <c r="M17" s="40" t="inlineStr"/>
      <c r="N17" s="40" t="inlineStr"/>
      <c r="O17" s="40" t="inlineStr"/>
      <c r="P17" s="40" t="inlineStr"/>
      <c r="Q17" s="40" t="inlineStr"/>
      <c r="R17" s="40" t="inlineStr"/>
      <c r="S17" s="40" t="inlineStr"/>
      <c r="T17" s="40" t="inlineStr"/>
      <c r="U17" s="40" t="inlineStr"/>
      <c r="V17" s="40" t="inlineStr"/>
      <c r="W17" s="40" t="inlineStr"/>
      <c r="X17" s="40" t="inlineStr"/>
      <c r="Y17" s="40" t="inlineStr"/>
      <c r="Z17" s="40" t="inlineStr"/>
      <c r="AA17" s="40" t="inlineStr"/>
      <c r="AB17" s="40" t="inlineStr"/>
      <c r="AC17" s="40" t="inlineStr"/>
      <c r="AD17" s="40" t="inlineStr"/>
      <c r="AE17" s="40" t="inlineStr"/>
      <c r="AF17" s="40" t="inlineStr"/>
      <c r="AG17" s="40" t="inlineStr"/>
      <c r="AH17" s="40" t="inlineStr"/>
      <c r="AI17" s="17">
        <f>SUM(D17:AH17)</f>
        <v/>
      </c>
      <c r="AJ17" s="18">
        <f>IF(AI17&gt;0, AI17/COUNTIF(D17:AH17, "&gt;0"), 0)</f>
        <v/>
      </c>
    </row>
    <row r="18">
      <c r="B18" s="20" t="inlineStr">
        <is>
          <t>Sandip Dey</t>
        </is>
      </c>
      <c r="C18" s="21" t="inlineStr">
        <is>
          <t>Reliability Data Analyst - India</t>
        </is>
      </c>
      <c r="D18" s="39" t="inlineStr"/>
      <c r="E18" s="39" t="inlineStr"/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39" t="inlineStr"/>
      <c r="N18" s="39" t="inlineStr"/>
      <c r="O18" s="39" t="inlineStr"/>
      <c r="P18" s="39" t="inlineStr"/>
      <c r="Q18" s="39" t="inlineStr"/>
      <c r="R18" s="39" t="inlineStr"/>
      <c r="S18" s="39" t="inlineStr"/>
      <c r="T18" s="39" t="inlineStr"/>
      <c r="U18" s="39" t="inlineStr"/>
      <c r="V18" s="39" t="inlineStr"/>
      <c r="W18" s="39" t="inlineStr"/>
      <c r="X18" s="39" t="inlineStr"/>
      <c r="Y18" s="39" t="inlineStr"/>
      <c r="Z18" s="39" t="inlineStr"/>
      <c r="AA18" s="39" t="inlineStr"/>
      <c r="AB18" s="39" t="inlineStr"/>
      <c r="AC18" s="39" t="inlineStr"/>
      <c r="AD18" s="39" t="inlineStr"/>
      <c r="AE18" s="39" t="inlineStr"/>
      <c r="AF18" s="39" t="inlineStr"/>
      <c r="AG18" s="39" t="inlineStr"/>
      <c r="AH18" s="39" t="inlineStr"/>
      <c r="AI18" s="23">
        <f>SUM(D18:AH18)</f>
        <v/>
      </c>
      <c r="AJ18" s="24">
        <f>IF(AI18&gt;0, AI18/COUNTIF(D18:AH18, "&gt;0"), 0)</f>
        <v/>
      </c>
    </row>
    <row r="19">
      <c r="B19" s="14" t="inlineStr">
        <is>
          <t>Sayan Adhikary</t>
        </is>
      </c>
      <c r="C19" s="15" t="inlineStr">
        <is>
          <t>Reliability Data Analyst - India</t>
        </is>
      </c>
      <c r="D19" s="40" t="inlineStr"/>
      <c r="E19" s="40" t="inlineStr"/>
      <c r="F19" s="40" t="inlineStr"/>
      <c r="G19" s="40" t="inlineStr"/>
      <c r="H19" s="40" t="inlineStr"/>
      <c r="I19" s="40" t="inlineStr"/>
      <c r="J19" s="40" t="inlineStr"/>
      <c r="K19" s="40" t="inlineStr"/>
      <c r="L19" s="40" t="inlineStr"/>
      <c r="M19" s="40" t="inlineStr"/>
      <c r="N19" s="40" t="inlineStr"/>
      <c r="O19" s="40" t="inlineStr"/>
      <c r="P19" s="40" t="inlineStr"/>
      <c r="Q19" s="40" t="inlineStr"/>
      <c r="R19" s="40" t="inlineStr"/>
      <c r="S19" s="40" t="inlineStr"/>
      <c r="T19" s="40" t="inlineStr"/>
      <c r="U19" s="40" t="inlineStr"/>
      <c r="V19" s="40" t="inlineStr"/>
      <c r="W19" s="40" t="inlineStr"/>
      <c r="X19" s="40" t="inlineStr"/>
      <c r="Y19" s="40" t="inlineStr"/>
      <c r="Z19" s="40" t="inlineStr"/>
      <c r="AA19" s="40" t="inlineStr"/>
      <c r="AB19" s="40" t="inlineStr"/>
      <c r="AC19" s="40" t="inlineStr"/>
      <c r="AD19" s="40" t="inlineStr"/>
      <c r="AE19" s="40" t="inlineStr"/>
      <c r="AF19" s="40" t="inlineStr"/>
      <c r="AG19" s="40" t="inlineStr"/>
      <c r="AH19" s="40" t="inlineStr"/>
      <c r="AI19" s="17">
        <f>SUM(D19:AH19)</f>
        <v/>
      </c>
      <c r="AJ19" s="18">
        <f>IF(AI19&gt;0, AI19/COUNTIF(D19:AH19, "&gt;0"), 0)</f>
        <v/>
      </c>
    </row>
    <row r="20">
      <c r="B20" s="20" t="inlineStr">
        <is>
          <t>Shivakumar Sunkari</t>
        </is>
      </c>
      <c r="C20" s="21" t="inlineStr">
        <is>
          <t>Reliability Data Analyst</t>
        </is>
      </c>
      <c r="D20" s="39" t="inlineStr"/>
      <c r="E20" s="39" t="inlineStr"/>
      <c r="F20" s="39" t="inlineStr"/>
      <c r="G20" s="39" t="inlineStr"/>
      <c r="H20" s="39" t="inlineStr"/>
      <c r="I20" s="39" t="inlineStr"/>
      <c r="J20" s="39" t="inlineStr"/>
      <c r="K20" s="39" t="inlineStr"/>
      <c r="L20" s="39" t="inlineStr"/>
      <c r="M20" s="39" t="inlineStr"/>
      <c r="N20" s="39" t="inlineStr"/>
      <c r="O20" s="39" t="inlineStr"/>
      <c r="P20" s="39" t="inlineStr"/>
      <c r="Q20" s="39" t="inlineStr"/>
      <c r="R20" s="39" t="inlineStr"/>
      <c r="S20" s="39" t="inlineStr"/>
      <c r="T20" s="39" t="inlineStr"/>
      <c r="U20" s="39" t="inlineStr"/>
      <c r="V20" s="39" t="inlineStr"/>
      <c r="W20" s="39" t="inlineStr"/>
      <c r="X20" s="39" t="inlineStr"/>
      <c r="Y20" s="39" t="inlineStr"/>
      <c r="Z20" s="39" t="inlineStr"/>
      <c r="AA20" s="39" t="inlineStr"/>
      <c r="AB20" s="39" t="inlineStr"/>
      <c r="AC20" s="39" t="inlineStr"/>
      <c r="AD20" s="39" t="inlineStr"/>
      <c r="AE20" s="39" t="inlineStr"/>
      <c r="AF20" s="39" t="inlineStr"/>
      <c r="AG20" s="39" t="inlineStr"/>
      <c r="AH20" s="39" t="inlineStr"/>
      <c r="AI20" s="23">
        <f>SUM(D20:AH20)</f>
        <v/>
      </c>
      <c r="AJ20" s="24">
        <f>IF(AI20&gt;0, AI20/COUNTIF(D20:AH20, "&gt;0"), 0)</f>
        <v/>
      </c>
    </row>
    <row r="21">
      <c r="B21" s="14" t="inlineStr">
        <is>
          <t>Soumen Jit</t>
        </is>
      </c>
      <c r="C21" s="15" t="inlineStr">
        <is>
          <t>Reliability Data Analyst - India</t>
        </is>
      </c>
      <c r="D21" s="40" t="inlineStr"/>
      <c r="E21" s="40" t="inlineStr"/>
      <c r="F21" s="40" t="inlineStr"/>
      <c r="G21" s="40" t="inlineStr"/>
      <c r="H21" s="40" t="inlineStr"/>
      <c r="I21" s="40" t="inlineStr"/>
      <c r="J21" s="40" t="inlineStr"/>
      <c r="K21" s="40" t="inlineStr"/>
      <c r="L21" s="40" t="inlineStr"/>
      <c r="M21" s="40" t="inlineStr"/>
      <c r="N21" s="40" t="inlineStr"/>
      <c r="O21" s="40" t="inlineStr"/>
      <c r="P21" s="40" t="inlineStr"/>
      <c r="Q21" s="40" t="inlineStr"/>
      <c r="R21" s="40" t="inlineStr"/>
      <c r="S21" s="40" t="inlineStr"/>
      <c r="T21" s="40" t="inlineStr"/>
      <c r="U21" s="40" t="inlineStr"/>
      <c r="V21" s="40" t="inlineStr"/>
      <c r="W21" s="40" t="inlineStr"/>
      <c r="X21" s="40" t="inlineStr"/>
      <c r="Y21" s="40" t="inlineStr"/>
      <c r="Z21" s="40" t="inlineStr"/>
      <c r="AA21" s="40" t="inlineStr"/>
      <c r="AB21" s="40" t="inlineStr"/>
      <c r="AC21" s="40" t="inlineStr"/>
      <c r="AD21" s="40" t="inlineStr"/>
      <c r="AE21" s="40" t="inlineStr"/>
      <c r="AF21" s="40" t="inlineStr"/>
      <c r="AG21" s="40" t="inlineStr"/>
      <c r="AH21" s="40" t="inlineStr"/>
      <c r="AI21" s="17">
        <f>SUM(D21:AH21)</f>
        <v/>
      </c>
      <c r="AJ21" s="18">
        <f>IF(AI21&gt;0, AI21/COUNTIF(D21:AH21, "&gt;0"), 0)</f>
        <v/>
      </c>
    </row>
    <row r="22">
      <c r="B22" s="20" t="inlineStr">
        <is>
          <t>Srivalli Sunkari</t>
        </is>
      </c>
      <c r="C22" s="21" t="inlineStr">
        <is>
          <t>Reliability Data Analyst</t>
        </is>
      </c>
      <c r="D22" s="39" t="inlineStr"/>
      <c r="E22" s="39" t="inlineStr"/>
      <c r="F22" s="39" t="inlineStr"/>
      <c r="G22" s="39" t="inlineStr"/>
      <c r="H22" s="39" t="inlineStr"/>
      <c r="I22" s="39" t="inlineStr"/>
      <c r="J22" s="39" t="inlineStr"/>
      <c r="K22" s="39" t="inlineStr"/>
      <c r="L22" s="39" t="inlineStr"/>
      <c r="M22" s="39" t="inlineStr"/>
      <c r="N22" s="39" t="inlineStr"/>
      <c r="O22" s="39" t="inlineStr"/>
      <c r="P22" s="39" t="inlineStr"/>
      <c r="Q22" s="39" t="inlineStr"/>
      <c r="R22" s="39" t="inlineStr"/>
      <c r="S22" s="39" t="inlineStr"/>
      <c r="T22" s="39" t="inlineStr"/>
      <c r="U22" s="39" t="inlineStr"/>
      <c r="V22" s="39" t="inlineStr"/>
      <c r="W22" s="39" t="inlineStr"/>
      <c r="X22" s="39" t="inlineStr"/>
      <c r="Y22" s="39" t="inlineStr"/>
      <c r="Z22" s="39" t="inlineStr"/>
      <c r="AA22" s="39" t="inlineStr"/>
      <c r="AB22" s="39" t="inlineStr"/>
      <c r="AC22" s="39" t="inlineStr"/>
      <c r="AD22" s="39" t="inlineStr"/>
      <c r="AE22" s="39" t="inlineStr"/>
      <c r="AF22" s="39" t="inlineStr"/>
      <c r="AG22" s="39" t="inlineStr"/>
      <c r="AH22" s="39" t="inlineStr"/>
      <c r="AI22" s="23">
        <f>SUM(D22:AH22)</f>
        <v/>
      </c>
      <c r="AJ22" s="24">
        <f>IF(AI22&gt;0, AI22/COUNTIF(D22:AH22, "&gt;0"), 0)</f>
        <v/>
      </c>
    </row>
    <row r="23">
      <c r="B23" s="14" t="inlineStr">
        <is>
          <t>Swapna Santhapuram</t>
        </is>
      </c>
      <c r="C23" s="15" t="inlineStr">
        <is>
          <t>Lead (Services) - India</t>
        </is>
      </c>
      <c r="D23" s="40" t="inlineStr"/>
      <c r="E23" s="40" t="inlineStr"/>
      <c r="F23" s="40" t="inlineStr"/>
      <c r="G23" s="40" t="inlineStr"/>
      <c r="H23" s="40" t="inlineStr"/>
      <c r="I23" s="40" t="inlineStr"/>
      <c r="J23" s="40" t="inlineStr"/>
      <c r="K23" s="40" t="n">
        <v>2.5</v>
      </c>
      <c r="L23" s="40" t="inlineStr"/>
      <c r="M23" s="40" t="inlineStr"/>
      <c r="N23" s="40" t="inlineStr"/>
      <c r="O23" s="40" t="inlineStr"/>
      <c r="P23" s="40" t="inlineStr"/>
      <c r="Q23" s="40" t="inlineStr"/>
      <c r="R23" s="40" t="inlineStr"/>
      <c r="S23" s="40" t="inlineStr"/>
      <c r="T23" s="40" t="inlineStr"/>
      <c r="U23" s="40" t="inlineStr"/>
      <c r="V23" s="40" t="inlineStr"/>
      <c r="W23" s="40" t="inlineStr"/>
      <c r="X23" s="40" t="inlineStr"/>
      <c r="Y23" s="40" t="inlineStr"/>
      <c r="Z23" s="40" t="inlineStr"/>
      <c r="AA23" s="40" t="inlineStr"/>
      <c r="AB23" s="40" t="inlineStr"/>
      <c r="AC23" s="40" t="inlineStr"/>
      <c r="AD23" s="40" t="inlineStr"/>
      <c r="AE23" s="40" t="inlineStr"/>
      <c r="AF23" s="40" t="inlineStr"/>
      <c r="AG23" s="40" t="inlineStr"/>
      <c r="AH23" s="40" t="inlineStr"/>
      <c r="AI23" s="17">
        <f>SUM(D23:AH23)</f>
        <v/>
      </c>
      <c r="AJ23" s="18">
        <f>IF(AI23&gt;0, AI23/COUNTIF(D23:AH23, "&gt;0"), 0)</f>
        <v/>
      </c>
    </row>
    <row r="24">
      <c r="B24" s="41" t="inlineStr">
        <is>
          <t>DAILY TOTAL HOURS</t>
        </is>
      </c>
      <c r="C24" s="27" t="inlineStr"/>
      <c r="D24" s="42">
        <f>SUM(D12:D23)</f>
        <v/>
      </c>
      <c r="E24" s="42">
        <f>SUM(E12:E23)</f>
        <v/>
      </c>
      <c r="F24" s="42">
        <f>SUM(F12:F23)</f>
        <v/>
      </c>
      <c r="G24" s="42">
        <f>SUM(G12:G23)</f>
        <v/>
      </c>
      <c r="H24" s="42">
        <f>SUM(H12:H23)</f>
        <v/>
      </c>
      <c r="I24" s="42">
        <f>SUM(I12:I23)</f>
        <v/>
      </c>
      <c r="J24" s="42">
        <f>SUM(J12:J23)</f>
        <v/>
      </c>
      <c r="K24" s="42">
        <f>SUM(K12:K23)</f>
        <v/>
      </c>
      <c r="L24" s="42">
        <f>SUM(L12:L23)</f>
        <v/>
      </c>
      <c r="M24" s="42">
        <f>SUM(M12:M23)</f>
        <v/>
      </c>
      <c r="N24" s="42">
        <f>SUM(N12:N23)</f>
        <v/>
      </c>
      <c r="O24" s="42">
        <f>SUM(O12:O23)</f>
        <v/>
      </c>
      <c r="P24" s="42">
        <f>SUM(P12:P23)</f>
        <v/>
      </c>
      <c r="Q24" s="42">
        <f>SUM(Q12:Q23)</f>
        <v/>
      </c>
      <c r="R24" s="42">
        <f>SUM(R12:R23)</f>
        <v/>
      </c>
      <c r="S24" s="42">
        <f>SUM(S12:S23)</f>
        <v/>
      </c>
      <c r="T24" s="42">
        <f>SUM(T12:T23)</f>
        <v/>
      </c>
      <c r="U24" s="42">
        <f>SUM(U12:U23)</f>
        <v/>
      </c>
      <c r="V24" s="42">
        <f>SUM(V12:V23)</f>
        <v/>
      </c>
      <c r="W24" s="42">
        <f>SUM(W12:W23)</f>
        <v/>
      </c>
      <c r="X24" s="42">
        <f>SUM(X12:X23)</f>
        <v/>
      </c>
      <c r="Y24" s="42">
        <f>SUM(Y12:Y23)</f>
        <v/>
      </c>
      <c r="Z24" s="42">
        <f>SUM(Z12:Z23)</f>
        <v/>
      </c>
      <c r="AA24" s="42">
        <f>SUM(AA12:AA23)</f>
        <v/>
      </c>
      <c r="AB24" s="42">
        <f>SUM(AB12:AB23)</f>
        <v/>
      </c>
      <c r="AC24" s="42">
        <f>SUM(AC12:AC23)</f>
        <v/>
      </c>
      <c r="AD24" s="42">
        <f>SUM(AD12:AD23)</f>
        <v/>
      </c>
      <c r="AE24" s="42">
        <f>SUM(AE12:AE23)</f>
        <v/>
      </c>
      <c r="AF24" s="42">
        <f>SUM(AF12:AF23)</f>
        <v/>
      </c>
      <c r="AG24" s="42">
        <f>SUM(AG12:AG23)</f>
        <v/>
      </c>
      <c r="AH24" s="42">
        <f>SUM(AH12:AH23)</f>
        <v/>
      </c>
      <c r="AI24" s="43">
        <f>SUM(AI12:AI23)</f>
        <v/>
      </c>
      <c r="AJ24" s="2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8:H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2" customWidth="1" min="3" max="3"/>
    <col width="36" customWidth="1" min="4" max="4"/>
    <col width="12" customWidth="1" min="5" max="5"/>
    <col width="22" customWidth="1" min="6" max="6"/>
    <col width="22" customWidth="1" min="7" max="7"/>
    <col width="17" customWidth="1" min="8" max="8"/>
  </cols>
  <sheetData>
    <row r="8">
      <c r="B8" s="13" t="inlineStr">
        <is>
          <t>CHEVRON PROJECT TEAM DIRECTORY &amp; ENGAGEMENT</t>
        </is>
      </c>
    </row>
    <row r="10">
      <c r="B10" s="5" t="inlineStr">
        <is>
          <t>Member ID</t>
        </is>
      </c>
      <c r="C10" s="5" t="inlineStr">
        <is>
          <t>Full Name</t>
        </is>
      </c>
      <c r="D10" s="5" t="inlineStr">
        <is>
          <t>Role / Designation</t>
        </is>
      </c>
      <c r="E10" s="5" t="inlineStr">
        <is>
          <t>Location</t>
        </is>
      </c>
      <c r="F10" s="5" t="inlineStr">
        <is>
          <t>Total Hours Logged</t>
        </is>
      </c>
      <c r="G10" s="5" t="inlineStr">
        <is>
          <t>Total Tasks Logged</t>
        </is>
      </c>
      <c r="H10" s="5" t="inlineStr">
        <is>
          <t>Active Status</t>
        </is>
      </c>
    </row>
    <row r="11">
      <c r="B11" s="44" t="inlineStr">
        <is>
          <t>musthaque_ali</t>
        </is>
      </c>
      <c r="C11" s="45" t="inlineStr">
        <is>
          <t>Musthaque Ali</t>
        </is>
      </c>
      <c r="D11" s="44" t="inlineStr">
        <is>
          <t>Reliability Data Analyst</t>
        </is>
      </c>
      <c r="E11" s="46" t="inlineStr">
        <is>
          <t>Global</t>
        </is>
      </c>
      <c r="F11" s="17">
        <f>SUMIF('📝 Daily Master Log'!$C$4:$C$500, C11, '📝 Daily Master Log'!$F$4:$F$500)</f>
        <v/>
      </c>
      <c r="G11" s="16">
        <f>COUNTIF('📝 Daily Master Log'!$C$4:$C$500, C11)</f>
        <v/>
      </c>
      <c r="H11" s="47" t="inlineStr">
        <is>
          <t>Active</t>
        </is>
      </c>
    </row>
    <row r="12">
      <c r="B12" s="48" t="inlineStr">
        <is>
          <t>anjani_dara</t>
        </is>
      </c>
      <c r="C12" s="49" t="inlineStr">
        <is>
          <t>Anjani Dara</t>
        </is>
      </c>
      <c r="D12" s="48" t="inlineStr">
        <is>
          <t>Reliability Data Analyst</t>
        </is>
      </c>
      <c r="E12" s="50" t="inlineStr">
        <is>
          <t>Global</t>
        </is>
      </c>
      <c r="F12" s="23">
        <f>SUMIF('📝 Daily Master Log'!$C$4:$C$500, C12, '📝 Daily Master Log'!$F$4:$F$500)</f>
        <v/>
      </c>
      <c r="G12" s="22">
        <f>COUNTIF('📝 Daily Master Log'!$C$4:$C$500, C12)</f>
        <v/>
      </c>
      <c r="H12" s="47" t="inlineStr">
        <is>
          <t>Active</t>
        </is>
      </c>
    </row>
    <row r="13">
      <c r="B13" s="44" t="inlineStr">
        <is>
          <t>hana_sayed</t>
        </is>
      </c>
      <c r="C13" s="45" t="inlineStr">
        <is>
          <t>Hana Sayed</t>
        </is>
      </c>
      <c r="D13" s="44" t="inlineStr">
        <is>
          <t>Reliability Data Analyst - India</t>
        </is>
      </c>
      <c r="E13" s="46" t="inlineStr">
        <is>
          <t>India</t>
        </is>
      </c>
      <c r="F13" s="17">
        <f>SUMIF('📝 Daily Master Log'!$C$4:$C$500, C13, '📝 Daily Master Log'!$F$4:$F$500)</f>
        <v/>
      </c>
      <c r="G13" s="16">
        <f>COUNTIF('📝 Daily Master Log'!$C$4:$C$500, C13)</f>
        <v/>
      </c>
      <c r="H13" s="47" t="inlineStr">
        <is>
          <t>Active</t>
        </is>
      </c>
    </row>
    <row r="14">
      <c r="B14" s="48" t="inlineStr">
        <is>
          <t>mounika_pasunuti</t>
        </is>
      </c>
      <c r="C14" s="49" t="inlineStr">
        <is>
          <t>Mounika Pasunuti</t>
        </is>
      </c>
      <c r="D14" s="48" t="inlineStr">
        <is>
          <t>Reliability Data Analyst</t>
        </is>
      </c>
      <c r="E14" s="50" t="inlineStr">
        <is>
          <t>Global</t>
        </is>
      </c>
      <c r="F14" s="23">
        <f>SUMIF('📝 Daily Master Log'!$C$4:$C$500, C14, '📝 Daily Master Log'!$F$4:$F$500)</f>
        <v/>
      </c>
      <c r="G14" s="22">
        <f>COUNTIF('📝 Daily Master Log'!$C$4:$C$500, C14)</f>
        <v/>
      </c>
      <c r="H14" s="47" t="inlineStr">
        <is>
          <t>Active</t>
        </is>
      </c>
    </row>
    <row r="15">
      <c r="B15" s="44" t="inlineStr">
        <is>
          <t>piyush_gupta</t>
        </is>
      </c>
      <c r="C15" s="45" t="inlineStr">
        <is>
          <t>Piyush Gupta</t>
        </is>
      </c>
      <c r="D15" s="44" t="inlineStr">
        <is>
          <t>Reliability Data Analyst - India</t>
        </is>
      </c>
      <c r="E15" s="46" t="inlineStr">
        <is>
          <t>India</t>
        </is>
      </c>
      <c r="F15" s="17">
        <f>SUMIF('📝 Daily Master Log'!$C$4:$C$500, C15, '📝 Daily Master Log'!$F$4:$F$500)</f>
        <v/>
      </c>
      <c r="G15" s="16">
        <f>COUNTIF('📝 Daily Master Log'!$C$4:$C$500, C15)</f>
        <v/>
      </c>
      <c r="H15" s="47" t="inlineStr">
        <is>
          <t>Active</t>
        </is>
      </c>
    </row>
    <row r="16">
      <c r="B16" s="48" t="inlineStr">
        <is>
          <t>priti_barman</t>
        </is>
      </c>
      <c r="C16" s="49" t="inlineStr">
        <is>
          <t>Priti Barman</t>
        </is>
      </c>
      <c r="D16" s="48" t="inlineStr">
        <is>
          <t>Reliability Data Analyst - India</t>
        </is>
      </c>
      <c r="E16" s="50" t="inlineStr">
        <is>
          <t>India</t>
        </is>
      </c>
      <c r="F16" s="23">
        <f>SUMIF('📝 Daily Master Log'!$C$4:$C$500, C16, '📝 Daily Master Log'!$F$4:$F$500)</f>
        <v/>
      </c>
      <c r="G16" s="22">
        <f>COUNTIF('📝 Daily Master Log'!$C$4:$C$500, C16)</f>
        <v/>
      </c>
      <c r="H16" s="47" t="inlineStr">
        <is>
          <t>Active</t>
        </is>
      </c>
    </row>
    <row r="17">
      <c r="B17" s="44" t="inlineStr">
        <is>
          <t>sandip_dey</t>
        </is>
      </c>
      <c r="C17" s="45" t="inlineStr">
        <is>
          <t>Sandip Dey</t>
        </is>
      </c>
      <c r="D17" s="44" t="inlineStr">
        <is>
          <t>Reliability Data Analyst - India</t>
        </is>
      </c>
      <c r="E17" s="46" t="inlineStr">
        <is>
          <t>India</t>
        </is>
      </c>
      <c r="F17" s="17">
        <f>SUMIF('📝 Daily Master Log'!$C$4:$C$500, C17, '📝 Daily Master Log'!$F$4:$F$500)</f>
        <v/>
      </c>
      <c r="G17" s="16">
        <f>COUNTIF('📝 Daily Master Log'!$C$4:$C$500, C17)</f>
        <v/>
      </c>
      <c r="H17" s="47" t="inlineStr">
        <is>
          <t>Active</t>
        </is>
      </c>
    </row>
    <row r="18">
      <c r="B18" s="48" t="inlineStr">
        <is>
          <t>sayan_adhikary</t>
        </is>
      </c>
      <c r="C18" s="49" t="inlineStr">
        <is>
          <t>Sayan Adhikary</t>
        </is>
      </c>
      <c r="D18" s="48" t="inlineStr">
        <is>
          <t>Reliability Data Analyst - India</t>
        </is>
      </c>
      <c r="E18" s="50" t="inlineStr">
        <is>
          <t>India</t>
        </is>
      </c>
      <c r="F18" s="23">
        <f>SUMIF('📝 Daily Master Log'!$C$4:$C$500, C18, '📝 Daily Master Log'!$F$4:$F$500)</f>
        <v/>
      </c>
      <c r="G18" s="22">
        <f>COUNTIF('📝 Daily Master Log'!$C$4:$C$500, C18)</f>
        <v/>
      </c>
      <c r="H18" s="47" t="inlineStr">
        <is>
          <t>Active</t>
        </is>
      </c>
    </row>
    <row r="19">
      <c r="B19" s="44" t="inlineStr">
        <is>
          <t>shivakumar_sunkari</t>
        </is>
      </c>
      <c r="C19" s="45" t="inlineStr">
        <is>
          <t>Shivakumar Sunkari</t>
        </is>
      </c>
      <c r="D19" s="44" t="inlineStr">
        <is>
          <t>Reliability Data Analyst</t>
        </is>
      </c>
      <c r="E19" s="46" t="inlineStr">
        <is>
          <t>Global</t>
        </is>
      </c>
      <c r="F19" s="17">
        <f>SUMIF('📝 Daily Master Log'!$C$4:$C$500, C19, '📝 Daily Master Log'!$F$4:$F$500)</f>
        <v/>
      </c>
      <c r="G19" s="16">
        <f>COUNTIF('📝 Daily Master Log'!$C$4:$C$500, C19)</f>
        <v/>
      </c>
      <c r="H19" s="47" t="inlineStr">
        <is>
          <t>Active</t>
        </is>
      </c>
    </row>
    <row r="20">
      <c r="B20" s="48" t="inlineStr">
        <is>
          <t>soumen_jit</t>
        </is>
      </c>
      <c r="C20" s="49" t="inlineStr">
        <is>
          <t>Soumen Jit</t>
        </is>
      </c>
      <c r="D20" s="48" t="inlineStr">
        <is>
          <t>Reliability Data Analyst - India</t>
        </is>
      </c>
      <c r="E20" s="50" t="inlineStr">
        <is>
          <t>India</t>
        </is>
      </c>
      <c r="F20" s="23">
        <f>SUMIF('📝 Daily Master Log'!$C$4:$C$500, C20, '📝 Daily Master Log'!$F$4:$F$500)</f>
        <v/>
      </c>
      <c r="G20" s="22">
        <f>COUNTIF('📝 Daily Master Log'!$C$4:$C$500, C20)</f>
        <v/>
      </c>
      <c r="H20" s="47" t="inlineStr">
        <is>
          <t>Active</t>
        </is>
      </c>
    </row>
    <row r="21">
      <c r="B21" s="44" t="inlineStr">
        <is>
          <t>srivalli_sunkari</t>
        </is>
      </c>
      <c r="C21" s="45" t="inlineStr">
        <is>
          <t>Srivalli Sunkari</t>
        </is>
      </c>
      <c r="D21" s="44" t="inlineStr">
        <is>
          <t>Reliability Data Analyst</t>
        </is>
      </c>
      <c r="E21" s="46" t="inlineStr">
        <is>
          <t>Global</t>
        </is>
      </c>
      <c r="F21" s="17">
        <f>SUMIF('📝 Daily Master Log'!$C$4:$C$500, C21, '📝 Daily Master Log'!$F$4:$F$500)</f>
        <v/>
      </c>
      <c r="G21" s="16">
        <f>COUNTIF('📝 Daily Master Log'!$C$4:$C$500, C21)</f>
        <v/>
      </c>
      <c r="H21" s="47" t="inlineStr">
        <is>
          <t>Active</t>
        </is>
      </c>
    </row>
    <row r="22">
      <c r="B22" s="48" t="inlineStr">
        <is>
          <t>swapna_santhapuram</t>
        </is>
      </c>
      <c r="C22" s="49" t="inlineStr">
        <is>
          <t>Swapna Santhapuram</t>
        </is>
      </c>
      <c r="D22" s="48" t="inlineStr">
        <is>
          <t>Lead (Services) - India</t>
        </is>
      </c>
      <c r="E22" s="50" t="inlineStr">
        <is>
          <t>India</t>
        </is>
      </c>
      <c r="F22" s="23">
        <f>SUMIF('📝 Daily Master Log'!$C$4:$C$500, C22, '📝 Daily Master Log'!$F$4:$F$500)</f>
        <v/>
      </c>
      <c r="G22" s="22">
        <f>COUNTIF('📝 Daily Master Log'!$C$4:$C$500, C22)</f>
        <v/>
      </c>
      <c r="H22" s="47" t="inlineStr">
        <is>
          <t>Active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8:M2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8" customWidth="1" min="11" max="11"/>
    <col width="18" customWidth="1" min="12" max="12"/>
    <col width="18" customWidth="1" min="13" max="13"/>
  </cols>
  <sheetData>
    <row r="8">
      <c r="B8" s="13" t="inlineStr">
        <is>
          <t>WEEKLY TIMESHEET &amp; CLIENT BILLING ROLLUP</t>
        </is>
      </c>
    </row>
    <row r="10">
      <c r="B10" s="51" t="inlineStr">
        <is>
          <t>Week Period:</t>
        </is>
      </c>
      <c r="C10" s="52" t="inlineStr">
        <is>
          <t>Week of Aug 4, 2026 - Aug 10, 2026</t>
        </is>
      </c>
      <c r="F10" s="51" t="inlineStr">
        <is>
          <t>Project / Account:</t>
        </is>
      </c>
      <c r="G10" s="52" t="inlineStr">
        <is>
          <t>Chevron Maintenance &amp; Reliability Engineering</t>
        </is>
      </c>
    </row>
    <row r="12">
      <c r="B12" s="5" t="inlineStr">
        <is>
          <t>Team Member Name</t>
        </is>
      </c>
      <c r="C12" s="5" t="inlineStr">
        <is>
          <t>Role</t>
        </is>
      </c>
      <c r="D12" s="5" t="inlineStr">
        <is>
          <t>Mon</t>
        </is>
      </c>
      <c r="E12" s="5" t="inlineStr">
        <is>
          <t>Tue</t>
        </is>
      </c>
      <c r="F12" s="5" t="inlineStr">
        <is>
          <t>Wed</t>
        </is>
      </c>
      <c r="G12" s="5" t="inlineStr">
        <is>
          <t>Thu</t>
        </is>
      </c>
      <c r="H12" s="5" t="inlineStr">
        <is>
          <t>Fri</t>
        </is>
      </c>
      <c r="I12" s="5" t="inlineStr">
        <is>
          <t>Sat</t>
        </is>
      </c>
      <c r="J12" s="5" t="inlineStr">
        <is>
          <t>Sun</t>
        </is>
      </c>
      <c r="K12" s="5" t="inlineStr">
        <is>
          <t>Total Regular Hrs</t>
        </is>
      </c>
      <c r="L12" s="5" t="inlineStr">
        <is>
          <t>Total Labor Hrs</t>
        </is>
      </c>
      <c r="M12" s="5" t="inlineStr">
        <is>
          <t>Total Weekly Hours</t>
        </is>
      </c>
    </row>
    <row r="13">
      <c r="B13" s="14" t="inlineStr">
        <is>
          <t>Musthaque Ali</t>
        </is>
      </c>
      <c r="C13" s="15" t="inlineStr">
        <is>
          <t>Reliability Data Analyst</t>
        </is>
      </c>
      <c r="D13" s="40" t="inlineStr"/>
      <c r="E13" s="40" t="inlineStr"/>
      <c r="F13" s="40" t="inlineStr"/>
      <c r="G13" s="40" t="inlineStr"/>
      <c r="H13" s="40" t="inlineStr"/>
      <c r="I13" s="40" t="n">
        <v>4.5</v>
      </c>
      <c r="J13" s="40" t="inlineStr"/>
      <c r="K13" s="18">
        <f>SUM(D13:J13)-L13</f>
        <v/>
      </c>
      <c r="L13" s="18">
        <f>SUMIFS('📝 Daily Master Log'!$F$4:$F$500, '📝 Daily Master Log'!$C$4:$C$500, B13, '📝 Daily Master Log'!$H$4:$H$500, "Yes")</f>
        <v/>
      </c>
      <c r="M13" s="17">
        <f>SUM(D13:J13)</f>
        <v/>
      </c>
    </row>
    <row r="14">
      <c r="B14" s="20" t="inlineStr">
        <is>
          <t>Anjani Dara</t>
        </is>
      </c>
      <c r="C14" s="21" t="inlineStr">
        <is>
          <t>Reliability Data Analyst</t>
        </is>
      </c>
      <c r="D14" s="39" t="inlineStr"/>
      <c r="E14" s="39" t="inlineStr"/>
      <c r="F14" s="39" t="inlineStr"/>
      <c r="G14" s="39" t="inlineStr"/>
      <c r="H14" s="39" t="inlineStr"/>
      <c r="I14" s="39" t="n">
        <v>5</v>
      </c>
      <c r="J14" s="39" t="inlineStr"/>
      <c r="K14" s="24">
        <f>SUM(D14:J14)-L14</f>
        <v/>
      </c>
      <c r="L14" s="24">
        <f>SUMIFS('📝 Daily Master Log'!$F$4:$F$500, '📝 Daily Master Log'!$C$4:$C$500, B14, '📝 Daily Master Log'!$H$4:$H$500, "Yes")</f>
        <v/>
      </c>
      <c r="M14" s="23">
        <f>SUM(D14:J14)</f>
        <v/>
      </c>
    </row>
    <row r="15">
      <c r="B15" s="14" t="inlineStr">
        <is>
          <t>Hana Sayed</t>
        </is>
      </c>
      <c r="C15" s="15" t="inlineStr">
        <is>
          <t>Reliability Data Analyst - India</t>
        </is>
      </c>
      <c r="D15" s="40" t="inlineStr"/>
      <c r="E15" s="40" t="inlineStr"/>
      <c r="F15" s="40" t="inlineStr"/>
      <c r="G15" s="40" t="inlineStr"/>
      <c r="H15" s="40" t="inlineStr"/>
      <c r="I15" s="40" t="n">
        <v>4</v>
      </c>
      <c r="J15" s="40" t="inlineStr"/>
      <c r="K15" s="18">
        <f>SUM(D15:J15)-L15</f>
        <v/>
      </c>
      <c r="L15" s="18">
        <f>SUMIFS('📝 Daily Master Log'!$F$4:$F$500, '📝 Daily Master Log'!$C$4:$C$500, B15, '📝 Daily Master Log'!$H$4:$H$500, "Yes")</f>
        <v/>
      </c>
      <c r="M15" s="17">
        <f>SUM(D15:J15)</f>
        <v/>
      </c>
    </row>
    <row r="16">
      <c r="B16" s="20" t="inlineStr">
        <is>
          <t>Mounika Pasunuti</t>
        </is>
      </c>
      <c r="C16" s="21" t="inlineStr">
        <is>
          <t>Reliability Data Analyst</t>
        </is>
      </c>
      <c r="D16" s="39" t="inlineStr"/>
      <c r="E16" s="39" t="inlineStr"/>
      <c r="F16" s="39" t="inlineStr"/>
      <c r="G16" s="39" t="n">
        <v>2</v>
      </c>
      <c r="H16" s="39" t="inlineStr"/>
      <c r="I16" s="39" t="inlineStr"/>
      <c r="J16" s="39" t="inlineStr"/>
      <c r="K16" s="24">
        <f>SUM(D16:J16)-L16</f>
        <v/>
      </c>
      <c r="L16" s="24">
        <f>SUMIFS('📝 Daily Master Log'!$F$4:$F$500, '📝 Daily Master Log'!$C$4:$C$500, B16, '📝 Daily Master Log'!$H$4:$H$500, "Yes")</f>
        <v/>
      </c>
      <c r="M16" s="23">
        <f>SUM(D16:J16)</f>
        <v/>
      </c>
    </row>
    <row r="17">
      <c r="B17" s="14" t="inlineStr">
        <is>
          <t>Piyush Gupta</t>
        </is>
      </c>
      <c r="C17" s="15" t="inlineStr">
        <is>
          <t>Reliability Data Analyst - India</t>
        </is>
      </c>
      <c r="D17" s="40" t="inlineStr"/>
      <c r="E17" s="40" t="inlineStr"/>
      <c r="F17" s="40" t="inlineStr"/>
      <c r="G17" s="40" t="inlineStr"/>
      <c r="H17" s="40" t="inlineStr"/>
      <c r="I17" s="40" t="n">
        <v>3.5</v>
      </c>
      <c r="J17" s="40" t="inlineStr"/>
      <c r="K17" s="18">
        <f>SUM(D17:J17)-L17</f>
        <v/>
      </c>
      <c r="L17" s="18">
        <f>SUMIFS('📝 Daily Master Log'!$F$4:$F$500, '📝 Daily Master Log'!$C$4:$C$500, B17, '📝 Daily Master Log'!$H$4:$H$500, "Yes")</f>
        <v/>
      </c>
      <c r="M17" s="17">
        <f>SUM(D17:J17)</f>
        <v/>
      </c>
    </row>
    <row r="18">
      <c r="B18" s="20" t="inlineStr">
        <is>
          <t>Priti Barman</t>
        </is>
      </c>
      <c r="C18" s="21" t="inlineStr">
        <is>
          <t>Reliability Data Analyst - India</t>
        </is>
      </c>
      <c r="D18" s="39" t="inlineStr"/>
      <c r="E18" s="39" t="inlineStr"/>
      <c r="F18" s="39" t="inlineStr"/>
      <c r="G18" s="39" t="inlineStr"/>
      <c r="H18" s="39" t="inlineStr"/>
      <c r="I18" s="39" t="inlineStr"/>
      <c r="J18" s="39" t="inlineStr"/>
      <c r="K18" s="24">
        <f>SUM(D18:J18)-L18</f>
        <v/>
      </c>
      <c r="L18" s="24">
        <f>SUMIFS('📝 Daily Master Log'!$F$4:$F$500, '📝 Daily Master Log'!$C$4:$C$500, B18, '📝 Daily Master Log'!$H$4:$H$500, "Yes")</f>
        <v/>
      </c>
      <c r="M18" s="23">
        <f>SUM(D18:J18)</f>
        <v/>
      </c>
    </row>
    <row r="19">
      <c r="B19" s="14" t="inlineStr">
        <is>
          <t>Sandip Dey</t>
        </is>
      </c>
      <c r="C19" s="15" t="inlineStr">
        <is>
          <t>Reliability Data Analyst - India</t>
        </is>
      </c>
      <c r="D19" s="40" t="inlineStr"/>
      <c r="E19" s="40" t="inlineStr"/>
      <c r="F19" s="40" t="inlineStr"/>
      <c r="G19" s="40" t="inlineStr"/>
      <c r="H19" s="40" t="inlineStr"/>
      <c r="I19" s="40" t="inlineStr"/>
      <c r="J19" s="40" t="inlineStr"/>
      <c r="K19" s="18">
        <f>SUM(D19:J19)-L19</f>
        <v/>
      </c>
      <c r="L19" s="18">
        <f>SUMIFS('📝 Daily Master Log'!$F$4:$F$500, '📝 Daily Master Log'!$C$4:$C$500, B19, '📝 Daily Master Log'!$H$4:$H$500, "Yes")</f>
        <v/>
      </c>
      <c r="M19" s="17">
        <f>SUM(D19:J19)</f>
        <v/>
      </c>
    </row>
    <row r="20">
      <c r="B20" s="20" t="inlineStr">
        <is>
          <t>Sayan Adhikary</t>
        </is>
      </c>
      <c r="C20" s="21" t="inlineStr">
        <is>
          <t>Reliability Data Analyst - India</t>
        </is>
      </c>
      <c r="D20" s="39" t="inlineStr"/>
      <c r="E20" s="39" t="inlineStr"/>
      <c r="F20" s="39" t="inlineStr"/>
      <c r="G20" s="39" t="inlineStr"/>
      <c r="H20" s="39" t="inlineStr"/>
      <c r="I20" s="39" t="inlineStr"/>
      <c r="J20" s="39" t="inlineStr"/>
      <c r="K20" s="24">
        <f>SUM(D20:J20)-L20</f>
        <v/>
      </c>
      <c r="L20" s="24">
        <f>SUMIFS('📝 Daily Master Log'!$F$4:$F$500, '📝 Daily Master Log'!$C$4:$C$500, B20, '📝 Daily Master Log'!$H$4:$H$500, "Yes")</f>
        <v/>
      </c>
      <c r="M20" s="23">
        <f>SUM(D20:J20)</f>
        <v/>
      </c>
    </row>
    <row r="21">
      <c r="B21" s="14" t="inlineStr">
        <is>
          <t>Shivakumar Sunkari</t>
        </is>
      </c>
      <c r="C21" s="15" t="inlineStr">
        <is>
          <t>Reliability Data Analyst</t>
        </is>
      </c>
      <c r="D21" s="40" t="inlineStr"/>
      <c r="E21" s="40" t="inlineStr"/>
      <c r="F21" s="40" t="inlineStr"/>
      <c r="G21" s="40" t="inlineStr"/>
      <c r="H21" s="40" t="inlineStr"/>
      <c r="I21" s="40" t="inlineStr"/>
      <c r="J21" s="40" t="inlineStr"/>
      <c r="K21" s="18">
        <f>SUM(D21:J21)-L21</f>
        <v/>
      </c>
      <c r="L21" s="18">
        <f>SUMIFS('📝 Daily Master Log'!$F$4:$F$500, '📝 Daily Master Log'!$C$4:$C$500, B21, '📝 Daily Master Log'!$H$4:$H$500, "Yes")</f>
        <v/>
      </c>
      <c r="M21" s="17">
        <f>SUM(D21:J21)</f>
        <v/>
      </c>
    </row>
    <row r="22">
      <c r="B22" s="20" t="inlineStr">
        <is>
          <t>Soumen Jit</t>
        </is>
      </c>
      <c r="C22" s="21" t="inlineStr">
        <is>
          <t>Reliability Data Analyst - India</t>
        </is>
      </c>
      <c r="D22" s="39" t="inlineStr"/>
      <c r="E22" s="39" t="inlineStr"/>
      <c r="F22" s="39" t="inlineStr"/>
      <c r="G22" s="39" t="inlineStr"/>
      <c r="H22" s="39" t="inlineStr"/>
      <c r="I22" s="39" t="inlineStr"/>
      <c r="J22" s="39" t="inlineStr"/>
      <c r="K22" s="24">
        <f>SUM(D22:J22)-L22</f>
        <v/>
      </c>
      <c r="L22" s="24">
        <f>SUMIFS('📝 Daily Master Log'!$F$4:$F$500, '📝 Daily Master Log'!$C$4:$C$500, B22, '📝 Daily Master Log'!$H$4:$H$500, "Yes")</f>
        <v/>
      </c>
      <c r="M22" s="23">
        <f>SUM(D22:J22)</f>
        <v/>
      </c>
    </row>
    <row r="23">
      <c r="B23" s="14" t="inlineStr">
        <is>
          <t>Srivalli Sunkari</t>
        </is>
      </c>
      <c r="C23" s="15" t="inlineStr">
        <is>
          <t>Reliability Data Analyst</t>
        </is>
      </c>
      <c r="D23" s="40" t="inlineStr"/>
      <c r="E23" s="40" t="inlineStr"/>
      <c r="F23" s="40" t="inlineStr"/>
      <c r="G23" s="40" t="inlineStr"/>
      <c r="H23" s="40" t="inlineStr"/>
      <c r="I23" s="40" t="inlineStr"/>
      <c r="J23" s="40" t="inlineStr"/>
      <c r="K23" s="18">
        <f>SUM(D23:J23)-L23</f>
        <v/>
      </c>
      <c r="L23" s="18">
        <f>SUMIFS('📝 Daily Master Log'!$F$4:$F$500, '📝 Daily Master Log'!$C$4:$C$500, B23, '📝 Daily Master Log'!$H$4:$H$500, "Yes")</f>
        <v/>
      </c>
      <c r="M23" s="17">
        <f>SUM(D23:J23)</f>
        <v/>
      </c>
    </row>
    <row r="24">
      <c r="B24" s="20" t="inlineStr">
        <is>
          <t>Swapna Santhapuram</t>
        </is>
      </c>
      <c r="C24" s="21" t="inlineStr">
        <is>
          <t>Lead (Services) - India</t>
        </is>
      </c>
      <c r="D24" s="39" t="inlineStr"/>
      <c r="E24" s="39" t="inlineStr"/>
      <c r="F24" s="39" t="inlineStr"/>
      <c r="G24" s="39" t="inlineStr"/>
      <c r="H24" s="39" t="inlineStr"/>
      <c r="I24" s="39" t="n">
        <v>2.5</v>
      </c>
      <c r="J24" s="39" t="inlineStr"/>
      <c r="K24" s="24">
        <f>SUM(D24:J24)-L24</f>
        <v/>
      </c>
      <c r="L24" s="24">
        <f>SUMIFS('📝 Daily Master Log'!$F$4:$F$500, '📝 Daily Master Log'!$C$4:$C$500, B24, '📝 Daily Master Log'!$H$4:$H$500, "Yes")</f>
        <v/>
      </c>
      <c r="M24" s="23">
        <f>SUM(D24:J24)</f>
        <v/>
      </c>
    </row>
    <row r="25">
      <c r="B25" s="41" t="inlineStr">
        <is>
          <t>TOTAL WEEKLY SUMMARY</t>
        </is>
      </c>
      <c r="C25" s="27" t="inlineStr"/>
      <c r="D25" s="28">
        <f>SUM(D13:D24)</f>
        <v/>
      </c>
      <c r="E25" s="28">
        <f>SUM(E13:E24)</f>
        <v/>
      </c>
      <c r="F25" s="28">
        <f>SUM(F13:F24)</f>
        <v/>
      </c>
      <c r="G25" s="28">
        <f>SUM(G13:G24)</f>
        <v/>
      </c>
      <c r="H25" s="28">
        <f>SUM(H13:H24)</f>
        <v/>
      </c>
      <c r="I25" s="28">
        <f>SUM(I13:I24)</f>
        <v/>
      </c>
      <c r="J25" s="28">
        <f>SUM(J13:J24)</f>
        <v/>
      </c>
      <c r="K25" s="28">
        <f>SUM(K13:K24)</f>
        <v/>
      </c>
      <c r="L25" s="28">
        <f>SUM(L13:L24)</f>
        <v/>
      </c>
      <c r="M25" s="28">
        <f>SUM(M13:M24)</f>
        <v/>
      </c>
    </row>
    <row r="28">
      <c r="B28" s="51" t="inlineStr">
        <is>
          <t>Prepared By:</t>
        </is>
      </c>
      <c r="C28" s="52" t="inlineStr">
        <is>
          <t>Lead Services</t>
        </is>
      </c>
      <c r="F28" s="51" t="inlineStr">
        <is>
          <t>Reviewed &amp; Approved By:</t>
        </is>
      </c>
      <c r="H28" s="52" t="inlineStr">
        <is>
          <t>Chevron Account Manager</t>
        </is>
      </c>
    </row>
    <row r="29">
      <c r="B29" s="51" t="inlineStr">
        <is>
          <t>Date:</t>
        </is>
      </c>
      <c r="C29" s="52" t="inlineStr">
        <is>
          <t>2026-08-16</t>
        </is>
      </c>
      <c r="F29" s="51" t="inlineStr">
        <is>
          <t>Approval Date:</t>
        </is>
      </c>
      <c r="H29" s="52" t="inlineStr">
        <is>
          <t>2026-08-16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M6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16" customWidth="1" min="4" max="4"/>
    <col width="35" customWidth="1" min="5" max="5"/>
    <col width="25" customWidth="1" min="6" max="6"/>
    <col width="10" customWidth="1" min="7" max="7"/>
    <col width="16" customWidth="1" min="8" max="8"/>
    <col width="14" customWidth="1" min="9" max="9"/>
    <col width="16" customWidth="1" min="10" max="10"/>
    <col width="12" customWidth="1" min="11" max="11"/>
    <col width="24" customWidth="1" min="12" max="12"/>
    <col width="24" customWidth="1" min="13" max="13"/>
  </cols>
  <sheetData>
    <row r="2" ht="28" customHeight="1">
      <c r="B2" s="59" t="inlineStr">
        <is>
          <t>S.No</t>
        </is>
      </c>
      <c r="C2" s="59" t="inlineStr">
        <is>
          <t>Date</t>
        </is>
      </c>
      <c r="D2" s="59" t="inlineStr">
        <is>
          <t>Task worker</t>
        </is>
      </c>
      <c r="E2" s="59" t="inlineStr">
        <is>
          <t>Task</t>
        </is>
      </c>
      <c r="F2" s="59" t="inlineStr">
        <is>
          <t>Assets/Units/ISOs/PIDs</t>
        </is>
      </c>
      <c r="G2" s="59" t="inlineStr">
        <is>
          <t>Hrs/day</t>
        </is>
      </c>
      <c r="H2" s="59" t="inlineStr">
        <is>
          <t>metric/task in hrs</t>
        </is>
      </c>
      <c r="I2" s="59" t="inlineStr">
        <is>
          <t>count per day</t>
        </is>
      </c>
      <c r="J2" s="59" t="inlineStr">
        <is>
          <t>achieved on the day</t>
        </is>
      </c>
      <c r="K2" s="59" t="inlineStr">
        <is>
          <t>Efficiency</t>
        </is>
      </c>
      <c r="L2" s="59" t="inlineStr">
        <is>
          <t>Road blocks</t>
        </is>
      </c>
      <c r="M2" s="59" t="inlineStr">
        <is>
          <t>Notes</t>
        </is>
      </c>
    </row>
    <row r="3" ht="20" customHeight="1">
      <c r="B3" s="60" t="n"/>
      <c r="C3" s="60" t="n"/>
      <c r="D3" s="61" t="n"/>
      <c r="E3" s="61" t="n"/>
      <c r="F3" s="61" t="n"/>
      <c r="G3" s="62" t="n"/>
      <c r="H3" s="62" t="n"/>
      <c r="I3" s="60" t="n"/>
      <c r="J3" s="60" t="n"/>
      <c r="K3" s="63">
        <f>IF(I3&gt;0, J3/I3, "")</f>
        <v/>
      </c>
      <c r="L3" s="61" t="n"/>
      <c r="M3" s="61" t="n"/>
    </row>
    <row r="4" ht="20" customHeight="1">
      <c r="B4" s="60" t="n"/>
      <c r="C4" s="60" t="n"/>
      <c r="D4" s="61" t="n"/>
      <c r="E4" s="61" t="n"/>
      <c r="F4" s="61" t="n"/>
      <c r="G4" s="62" t="n"/>
      <c r="H4" s="62" t="n"/>
      <c r="I4" s="60" t="n"/>
      <c r="J4" s="60" t="n"/>
      <c r="K4" s="63">
        <f>IF(I4&gt;0, J4/I4, "")</f>
        <v/>
      </c>
      <c r="L4" s="61" t="n"/>
      <c r="M4" s="61" t="n"/>
    </row>
    <row r="5" ht="20" customHeight="1">
      <c r="B5" s="60" t="n"/>
      <c r="C5" s="60" t="n"/>
      <c r="D5" s="61" t="n"/>
      <c r="E5" s="61" t="n"/>
      <c r="F5" s="61" t="n"/>
      <c r="G5" s="62" t="n"/>
      <c r="H5" s="62" t="n"/>
      <c r="I5" s="60" t="n"/>
      <c r="J5" s="60" t="n"/>
      <c r="K5" s="63">
        <f>IF(I5&gt;0, J5/I5, "")</f>
        <v/>
      </c>
      <c r="L5" s="61" t="n"/>
      <c r="M5" s="61" t="n"/>
    </row>
    <row r="6" ht="20" customHeight="1">
      <c r="B6" s="60" t="n"/>
      <c r="C6" s="60" t="n"/>
      <c r="D6" s="61" t="n"/>
      <c r="E6" s="61" t="n"/>
      <c r="F6" s="61" t="n"/>
      <c r="G6" s="62" t="n"/>
      <c r="H6" s="62" t="n"/>
      <c r="I6" s="60" t="n"/>
      <c r="J6" s="60" t="n"/>
      <c r="K6" s="63">
        <f>IF(I6&gt;0, J6/I6, "")</f>
        <v/>
      </c>
      <c r="L6" s="61" t="n"/>
      <c r="M6" s="61" t="n"/>
    </row>
    <row r="7" ht="20" customHeight="1">
      <c r="B7" s="60" t="n"/>
      <c r="C7" s="60" t="n"/>
      <c r="D7" s="61" t="n"/>
      <c r="E7" s="61" t="n"/>
      <c r="F7" s="61" t="n"/>
      <c r="G7" s="62" t="n"/>
      <c r="H7" s="62" t="n"/>
      <c r="I7" s="60" t="n"/>
      <c r="J7" s="60" t="n"/>
      <c r="K7" s="63">
        <f>IF(I7&gt;0, J7/I7, "")</f>
        <v/>
      </c>
      <c r="L7" s="61" t="n"/>
      <c r="M7" s="61" t="n"/>
    </row>
    <row r="8" ht="20" customHeight="1">
      <c r="B8" s="60" t="n"/>
      <c r="C8" s="60" t="n"/>
      <c r="D8" s="61" t="n"/>
      <c r="E8" s="61" t="n"/>
      <c r="F8" s="61" t="n"/>
      <c r="G8" s="62" t="n"/>
      <c r="H8" s="62" t="n"/>
      <c r="I8" s="60" t="n"/>
      <c r="J8" s="60" t="n"/>
      <c r="K8" s="63">
        <f>IF(I8&gt;0, J8/I8, "")</f>
        <v/>
      </c>
      <c r="L8" s="61" t="n"/>
      <c r="M8" s="61" t="n"/>
    </row>
    <row r="9" ht="20" customHeight="1">
      <c r="B9" s="60" t="n"/>
      <c r="C9" s="60" t="n"/>
      <c r="D9" s="61" t="n"/>
      <c r="E9" s="61" t="n"/>
      <c r="F9" s="61" t="n"/>
      <c r="G9" s="62" t="n"/>
      <c r="H9" s="62" t="n"/>
      <c r="I9" s="60" t="n"/>
      <c r="J9" s="60" t="n"/>
      <c r="K9" s="63">
        <f>IF(I9&gt;0, J9/I9, "")</f>
        <v/>
      </c>
      <c r="L9" s="61" t="n"/>
      <c r="M9" s="61" t="n"/>
    </row>
    <row r="10" ht="20" customHeight="1">
      <c r="B10" s="60" t="n"/>
      <c r="C10" s="60" t="n"/>
      <c r="D10" s="61" t="n"/>
      <c r="E10" s="61" t="n"/>
      <c r="F10" s="61" t="n"/>
      <c r="G10" s="62" t="n"/>
      <c r="H10" s="62" t="n"/>
      <c r="I10" s="60" t="n"/>
      <c r="J10" s="60" t="n"/>
      <c r="K10" s="63">
        <f>IF(I10&gt;0, J10/I10, "")</f>
        <v/>
      </c>
      <c r="L10" s="61" t="n"/>
      <c r="M10" s="61" t="n"/>
    </row>
    <row r="11" ht="20" customHeight="1">
      <c r="B11" s="60" t="n"/>
      <c r="C11" s="60" t="n"/>
      <c r="D11" s="61" t="n"/>
      <c r="E11" s="61" t="n"/>
      <c r="F11" s="61" t="n"/>
      <c r="G11" s="62" t="n"/>
      <c r="H11" s="62" t="n"/>
      <c r="I11" s="60" t="n"/>
      <c r="J11" s="60" t="n"/>
      <c r="K11" s="63">
        <f>IF(I11&gt;0, J11/I11, "")</f>
        <v/>
      </c>
      <c r="L11" s="61" t="n"/>
      <c r="M11" s="61" t="n"/>
    </row>
    <row r="12" ht="20" customHeight="1">
      <c r="B12" s="60" t="n"/>
      <c r="C12" s="60" t="n"/>
      <c r="D12" s="61" t="n"/>
      <c r="E12" s="61" t="n"/>
      <c r="F12" s="61" t="n"/>
      <c r="G12" s="62" t="n"/>
      <c r="H12" s="62" t="n"/>
      <c r="I12" s="60" t="n"/>
      <c r="J12" s="60" t="n"/>
      <c r="K12" s="63">
        <f>IF(I12&gt;0, J12/I12, "")</f>
        <v/>
      </c>
      <c r="L12" s="61" t="n"/>
      <c r="M12" s="61" t="n"/>
    </row>
    <row r="13" ht="20" customHeight="1">
      <c r="B13" s="60" t="n"/>
      <c r="C13" s="60" t="n"/>
      <c r="D13" s="61" t="n"/>
      <c r="E13" s="61" t="n"/>
      <c r="F13" s="61" t="n"/>
      <c r="G13" s="62" t="n"/>
      <c r="H13" s="62" t="n"/>
      <c r="I13" s="60" t="n"/>
      <c r="J13" s="60" t="n"/>
      <c r="K13" s="63">
        <f>IF(I13&gt;0, J13/I13, "")</f>
        <v/>
      </c>
      <c r="L13" s="61" t="n"/>
      <c r="M13" s="61" t="n"/>
    </row>
    <row r="14" ht="20" customHeight="1">
      <c r="B14" s="60" t="n"/>
      <c r="C14" s="60" t="n"/>
      <c r="D14" s="61" t="n"/>
      <c r="E14" s="61" t="n"/>
      <c r="F14" s="61" t="n"/>
      <c r="G14" s="62" t="n"/>
      <c r="H14" s="62" t="n"/>
      <c r="I14" s="60" t="n"/>
      <c r="J14" s="60" t="n"/>
      <c r="K14" s="63">
        <f>IF(I14&gt;0, J14/I14, "")</f>
        <v/>
      </c>
      <c r="L14" s="61" t="n"/>
      <c r="M14" s="61" t="n"/>
    </row>
    <row r="15" ht="20" customHeight="1">
      <c r="B15" s="60" t="n"/>
      <c r="C15" s="60" t="n"/>
      <c r="D15" s="61" t="n"/>
      <c r="E15" s="61" t="n"/>
      <c r="F15" s="61" t="n"/>
      <c r="G15" s="62" t="n"/>
      <c r="H15" s="62" t="n"/>
      <c r="I15" s="60" t="n"/>
      <c r="J15" s="60" t="n"/>
      <c r="K15" s="63">
        <f>IF(I15&gt;0, J15/I15, "")</f>
        <v/>
      </c>
      <c r="L15" s="61" t="n"/>
      <c r="M15" s="61" t="n"/>
    </row>
    <row r="16" ht="20" customHeight="1">
      <c r="B16" s="60" t="n"/>
      <c r="C16" s="60" t="n"/>
      <c r="D16" s="61" t="n"/>
      <c r="E16" s="61" t="n"/>
      <c r="F16" s="61" t="n"/>
      <c r="G16" s="62" t="n"/>
      <c r="H16" s="62" t="n"/>
      <c r="I16" s="60" t="n"/>
      <c r="J16" s="60" t="n"/>
      <c r="K16" s="63">
        <f>IF(I16&gt;0, J16/I16, "")</f>
        <v/>
      </c>
      <c r="L16" s="61" t="n"/>
      <c r="M16" s="61" t="n"/>
    </row>
    <row r="17" ht="20" customHeight="1">
      <c r="B17" s="60" t="n"/>
      <c r="C17" s="60" t="n"/>
      <c r="D17" s="61" t="n"/>
      <c r="E17" s="61" t="n"/>
      <c r="F17" s="61" t="n"/>
      <c r="G17" s="62" t="n"/>
      <c r="H17" s="62" t="n"/>
      <c r="I17" s="60" t="n"/>
      <c r="J17" s="60" t="n"/>
      <c r="K17" s="63">
        <f>IF(I17&gt;0, J17/I17, "")</f>
        <v/>
      </c>
      <c r="L17" s="61" t="n"/>
      <c r="M17" s="61" t="n"/>
    </row>
    <row r="18" ht="20" customHeight="1">
      <c r="B18" s="60" t="n"/>
      <c r="C18" s="60" t="n"/>
      <c r="D18" s="61" t="n"/>
      <c r="E18" s="61" t="n"/>
      <c r="F18" s="61" t="n"/>
      <c r="G18" s="62" t="n"/>
      <c r="H18" s="62" t="n"/>
      <c r="I18" s="60" t="n"/>
      <c r="J18" s="60" t="n"/>
      <c r="K18" s="63">
        <f>IF(I18&gt;0, J18/I18, "")</f>
        <v/>
      </c>
      <c r="L18" s="61" t="n"/>
      <c r="M18" s="61" t="n"/>
    </row>
    <row r="19" ht="20" customHeight="1">
      <c r="B19" s="60" t="n"/>
      <c r="C19" s="60" t="n"/>
      <c r="D19" s="61" t="n"/>
      <c r="E19" s="61" t="n"/>
      <c r="F19" s="61" t="n"/>
      <c r="G19" s="62" t="n"/>
      <c r="H19" s="62" t="n"/>
      <c r="I19" s="60" t="n"/>
      <c r="J19" s="60" t="n"/>
      <c r="K19" s="63">
        <f>IF(I19&gt;0, J19/I19, "")</f>
        <v/>
      </c>
      <c r="L19" s="61" t="n"/>
      <c r="M19" s="61" t="n"/>
    </row>
    <row r="20" ht="20" customHeight="1">
      <c r="B20" s="60" t="n"/>
      <c r="C20" s="60" t="n"/>
      <c r="D20" s="61" t="n"/>
      <c r="E20" s="61" t="n"/>
      <c r="F20" s="61" t="n"/>
      <c r="G20" s="62" t="n"/>
      <c r="H20" s="62" t="n"/>
      <c r="I20" s="60" t="n"/>
      <c r="J20" s="60" t="n"/>
      <c r="K20" s="63">
        <f>IF(I20&gt;0, J20/I20, "")</f>
        <v/>
      </c>
      <c r="L20" s="61" t="n"/>
      <c r="M20" s="61" t="n"/>
    </row>
    <row r="21" ht="20" customHeight="1">
      <c r="B21" s="60" t="n"/>
      <c r="C21" s="60" t="n"/>
      <c r="D21" s="61" t="n"/>
      <c r="E21" s="61" t="n"/>
      <c r="F21" s="61" t="n"/>
      <c r="G21" s="62" t="n"/>
      <c r="H21" s="62" t="n"/>
      <c r="I21" s="60" t="n"/>
      <c r="J21" s="60" t="n"/>
      <c r="K21" s="63">
        <f>IF(I21&gt;0, J21/I21, "")</f>
        <v/>
      </c>
      <c r="L21" s="61" t="n"/>
      <c r="M21" s="61" t="n"/>
    </row>
    <row r="22" ht="20" customHeight="1">
      <c r="B22" s="60" t="n"/>
      <c r="C22" s="60" t="n"/>
      <c r="D22" s="61" t="n"/>
      <c r="E22" s="61" t="n"/>
      <c r="F22" s="61" t="n"/>
      <c r="G22" s="62" t="n"/>
      <c r="H22" s="62" t="n"/>
      <c r="I22" s="60" t="n"/>
      <c r="J22" s="60" t="n"/>
      <c r="K22" s="63">
        <f>IF(I22&gt;0, J22/I22, "")</f>
        <v/>
      </c>
      <c r="L22" s="61" t="n"/>
      <c r="M22" s="61" t="n"/>
    </row>
    <row r="23" ht="20" customHeight="1">
      <c r="B23" s="60" t="n"/>
      <c r="C23" s="60" t="n"/>
      <c r="D23" s="61" t="n"/>
      <c r="E23" s="61" t="n"/>
      <c r="F23" s="61" t="n"/>
      <c r="G23" s="62" t="n"/>
      <c r="H23" s="62" t="n"/>
      <c r="I23" s="60" t="n"/>
      <c r="J23" s="60" t="n"/>
      <c r="K23" s="63">
        <f>IF(I23&gt;0, J23/I23, "")</f>
        <v/>
      </c>
      <c r="L23" s="61" t="n"/>
      <c r="M23" s="61" t="n"/>
    </row>
    <row r="24" ht="20" customHeight="1">
      <c r="B24" s="60" t="n"/>
      <c r="C24" s="60" t="n"/>
      <c r="D24" s="61" t="n"/>
      <c r="E24" s="61" t="n"/>
      <c r="F24" s="61" t="n"/>
      <c r="G24" s="62" t="n"/>
      <c r="H24" s="62" t="n"/>
      <c r="I24" s="60" t="n"/>
      <c r="J24" s="60" t="n"/>
      <c r="K24" s="63">
        <f>IF(I24&gt;0, J24/I24, "")</f>
        <v/>
      </c>
      <c r="L24" s="61" t="n"/>
      <c r="M24" s="61" t="n"/>
    </row>
    <row r="25" ht="20" customHeight="1">
      <c r="B25" s="60" t="n"/>
      <c r="C25" s="60" t="n"/>
      <c r="D25" s="61" t="n"/>
      <c r="E25" s="61" t="n"/>
      <c r="F25" s="61" t="n"/>
      <c r="G25" s="62" t="n"/>
      <c r="H25" s="62" t="n"/>
      <c r="I25" s="60" t="n"/>
      <c r="J25" s="60" t="n"/>
      <c r="K25" s="63">
        <f>IF(I25&gt;0, J25/I25, "")</f>
        <v/>
      </c>
      <c r="L25" s="61" t="n"/>
      <c r="M25" s="61" t="n"/>
    </row>
    <row r="26" ht="20" customHeight="1">
      <c r="B26" s="60" t="n"/>
      <c r="C26" s="60" t="n"/>
      <c r="D26" s="61" t="n"/>
      <c r="E26" s="61" t="n"/>
      <c r="F26" s="61" t="n"/>
      <c r="G26" s="62" t="n"/>
      <c r="H26" s="62" t="n"/>
      <c r="I26" s="60" t="n"/>
      <c r="J26" s="60" t="n"/>
      <c r="K26" s="63">
        <f>IF(I26&gt;0, J26/I26, "")</f>
        <v/>
      </c>
      <c r="L26" s="61" t="n"/>
      <c r="M26" s="61" t="n"/>
    </row>
    <row r="27" ht="20" customHeight="1">
      <c r="B27" s="60" t="n"/>
      <c r="C27" s="60" t="n"/>
      <c r="D27" s="61" t="n"/>
      <c r="E27" s="61" t="n"/>
      <c r="F27" s="61" t="n"/>
      <c r="G27" s="62" t="n"/>
      <c r="H27" s="62" t="n"/>
      <c r="I27" s="60" t="n"/>
      <c r="J27" s="60" t="n"/>
      <c r="K27" s="63">
        <f>IF(I27&gt;0, J27/I27, "")</f>
        <v/>
      </c>
      <c r="L27" s="61" t="n"/>
      <c r="M27" s="61" t="n"/>
    </row>
    <row r="28" ht="20" customHeight="1">
      <c r="B28" s="60" t="n"/>
      <c r="C28" s="60" t="n"/>
      <c r="D28" s="61" t="n"/>
      <c r="E28" s="61" t="n"/>
      <c r="F28" s="61" t="n"/>
      <c r="G28" s="62" t="n"/>
      <c r="H28" s="62" t="n"/>
      <c r="I28" s="60" t="n"/>
      <c r="J28" s="60" t="n"/>
      <c r="K28" s="63">
        <f>IF(I28&gt;0, J28/I28, "")</f>
        <v/>
      </c>
      <c r="L28" s="61" t="n"/>
      <c r="M28" s="61" t="n"/>
    </row>
    <row r="29" ht="20" customHeight="1">
      <c r="B29" s="60" t="n"/>
      <c r="C29" s="60" t="n"/>
      <c r="D29" s="61" t="n"/>
      <c r="E29" s="61" t="n"/>
      <c r="F29" s="61" t="n"/>
      <c r="G29" s="62" t="n"/>
      <c r="H29" s="62" t="n"/>
      <c r="I29" s="60" t="n"/>
      <c r="J29" s="60" t="n"/>
      <c r="K29" s="63">
        <f>IF(I29&gt;0, J29/I29, "")</f>
        <v/>
      </c>
      <c r="L29" s="61" t="n"/>
      <c r="M29" s="61" t="n"/>
    </row>
    <row r="30" ht="20" customHeight="1">
      <c r="B30" s="60" t="n"/>
      <c r="C30" s="60" t="n"/>
      <c r="D30" s="61" t="n"/>
      <c r="E30" s="61" t="n"/>
      <c r="F30" s="61" t="n"/>
      <c r="G30" s="62" t="n"/>
      <c r="H30" s="62" t="n"/>
      <c r="I30" s="60" t="n"/>
      <c r="J30" s="60" t="n"/>
      <c r="K30" s="63">
        <f>IF(I30&gt;0, J30/I30, "")</f>
        <v/>
      </c>
      <c r="L30" s="61" t="n"/>
      <c r="M30" s="61" t="n"/>
    </row>
    <row r="31" ht="20" customHeight="1">
      <c r="B31" s="60" t="n"/>
      <c r="C31" s="60" t="n"/>
      <c r="D31" s="61" t="n"/>
      <c r="E31" s="61" t="n"/>
      <c r="F31" s="61" t="n"/>
      <c r="G31" s="62" t="n"/>
      <c r="H31" s="62" t="n"/>
      <c r="I31" s="60" t="n"/>
      <c r="J31" s="60" t="n"/>
      <c r="K31" s="63">
        <f>IF(I31&gt;0, J31/I31, "")</f>
        <v/>
      </c>
      <c r="L31" s="61" t="n"/>
      <c r="M31" s="61" t="n"/>
    </row>
    <row r="32" ht="20" customHeight="1">
      <c r="B32" s="60" t="n"/>
      <c r="C32" s="60" t="n"/>
      <c r="D32" s="61" t="n"/>
      <c r="E32" s="61" t="n"/>
      <c r="F32" s="61" t="n"/>
      <c r="G32" s="62" t="n"/>
      <c r="H32" s="62" t="n"/>
      <c r="I32" s="60" t="n"/>
      <c r="J32" s="60" t="n"/>
      <c r="K32" s="63">
        <f>IF(I32&gt;0, J32/I32, "")</f>
        <v/>
      </c>
      <c r="L32" s="61" t="n"/>
      <c r="M32" s="61" t="n"/>
    </row>
    <row r="33" ht="20" customHeight="1">
      <c r="B33" s="60" t="n"/>
      <c r="C33" s="60" t="n"/>
      <c r="D33" s="61" t="n"/>
      <c r="E33" s="61" t="n"/>
      <c r="F33" s="61" t="n"/>
      <c r="G33" s="62" t="n"/>
      <c r="H33" s="62" t="n"/>
      <c r="I33" s="60" t="n"/>
      <c r="J33" s="60" t="n"/>
      <c r="K33" s="63">
        <f>IF(I33&gt;0, J33/I33, "")</f>
        <v/>
      </c>
      <c r="L33" s="61" t="n"/>
      <c r="M33" s="61" t="n"/>
    </row>
    <row r="34" ht="20" customHeight="1">
      <c r="B34" s="60" t="n"/>
      <c r="C34" s="60" t="n"/>
      <c r="D34" s="61" t="n"/>
      <c r="E34" s="61" t="n"/>
      <c r="F34" s="61" t="n"/>
      <c r="G34" s="62" t="n"/>
      <c r="H34" s="62" t="n"/>
      <c r="I34" s="60" t="n"/>
      <c r="J34" s="60" t="n"/>
      <c r="K34" s="63">
        <f>IF(I34&gt;0, J34/I34, "")</f>
        <v/>
      </c>
      <c r="L34" s="61" t="n"/>
      <c r="M34" s="61" t="n"/>
    </row>
    <row r="35" ht="20" customHeight="1">
      <c r="B35" s="60" t="n"/>
      <c r="C35" s="60" t="n"/>
      <c r="D35" s="61" t="n"/>
      <c r="E35" s="61" t="n"/>
      <c r="F35" s="61" t="n"/>
      <c r="G35" s="62" t="n"/>
      <c r="H35" s="62" t="n"/>
      <c r="I35" s="60" t="n"/>
      <c r="J35" s="60" t="n"/>
      <c r="K35" s="63">
        <f>IF(I35&gt;0, J35/I35, "")</f>
        <v/>
      </c>
      <c r="L35" s="61" t="n"/>
      <c r="M35" s="61" t="n"/>
    </row>
    <row r="36" ht="20" customHeight="1">
      <c r="B36" s="60" t="n"/>
      <c r="C36" s="60" t="n"/>
      <c r="D36" s="61" t="n"/>
      <c r="E36" s="61" t="n"/>
      <c r="F36" s="61" t="n"/>
      <c r="G36" s="62" t="n"/>
      <c r="H36" s="62" t="n"/>
      <c r="I36" s="60" t="n"/>
      <c r="J36" s="60" t="n"/>
      <c r="K36" s="63">
        <f>IF(I36&gt;0, J36/I36, "")</f>
        <v/>
      </c>
      <c r="L36" s="61" t="n"/>
      <c r="M36" s="61" t="n"/>
    </row>
    <row r="37" ht="20" customHeight="1">
      <c r="B37" s="60" t="n"/>
      <c r="C37" s="60" t="n"/>
      <c r="D37" s="61" t="n"/>
      <c r="E37" s="61" t="n"/>
      <c r="F37" s="61" t="n"/>
      <c r="G37" s="62" t="n"/>
      <c r="H37" s="62" t="n"/>
      <c r="I37" s="60" t="n"/>
      <c r="J37" s="60" t="n"/>
      <c r="K37" s="63">
        <f>IF(I37&gt;0, J37/I37, "")</f>
        <v/>
      </c>
      <c r="L37" s="61" t="n"/>
      <c r="M37" s="61" t="n"/>
    </row>
    <row r="38" ht="20" customHeight="1">
      <c r="B38" s="60" t="n"/>
      <c r="C38" s="60" t="n"/>
      <c r="D38" s="61" t="n"/>
      <c r="E38" s="61" t="n"/>
      <c r="F38" s="61" t="n"/>
      <c r="G38" s="62" t="n"/>
      <c r="H38" s="62" t="n"/>
      <c r="I38" s="60" t="n"/>
      <c r="J38" s="60" t="n"/>
      <c r="K38" s="63">
        <f>IF(I38&gt;0, J38/I38, "")</f>
        <v/>
      </c>
      <c r="L38" s="61" t="n"/>
      <c r="M38" s="61" t="n"/>
    </row>
    <row r="39" ht="20" customHeight="1">
      <c r="B39" s="60" t="n"/>
      <c r="C39" s="60" t="n"/>
      <c r="D39" s="61" t="n"/>
      <c r="E39" s="61" t="n"/>
      <c r="F39" s="61" t="n"/>
      <c r="G39" s="62" t="n"/>
      <c r="H39" s="62" t="n"/>
      <c r="I39" s="60" t="n"/>
      <c r="J39" s="60" t="n"/>
      <c r="K39" s="63">
        <f>IF(I39&gt;0, J39/I39, "")</f>
        <v/>
      </c>
      <c r="L39" s="61" t="n"/>
      <c r="M39" s="61" t="n"/>
    </row>
    <row r="40" ht="20" customHeight="1">
      <c r="B40" s="60" t="n"/>
      <c r="C40" s="60" t="n"/>
      <c r="D40" s="61" t="n"/>
      <c r="E40" s="61" t="n"/>
      <c r="F40" s="61" t="n"/>
      <c r="G40" s="62" t="n"/>
      <c r="H40" s="62" t="n"/>
      <c r="I40" s="60" t="n"/>
      <c r="J40" s="60" t="n"/>
      <c r="K40" s="63">
        <f>IF(I40&gt;0, J40/I40, "")</f>
        <v/>
      </c>
      <c r="L40" s="61" t="n"/>
      <c r="M40" s="61" t="n"/>
    </row>
    <row r="41" ht="20" customHeight="1">
      <c r="B41" s="60" t="n"/>
      <c r="C41" s="60" t="n"/>
      <c r="D41" s="61" t="n"/>
      <c r="E41" s="61" t="n"/>
      <c r="F41" s="61" t="n"/>
      <c r="G41" s="62" t="n"/>
      <c r="H41" s="62" t="n"/>
      <c r="I41" s="60" t="n"/>
      <c r="J41" s="60" t="n"/>
      <c r="K41" s="63">
        <f>IF(I41&gt;0, J41/I41, "")</f>
        <v/>
      </c>
      <c r="L41" s="61" t="n"/>
      <c r="M41" s="61" t="n"/>
    </row>
    <row r="42" ht="20" customHeight="1">
      <c r="B42" s="60" t="n"/>
      <c r="C42" s="60" t="n"/>
      <c r="D42" s="61" t="n"/>
      <c r="E42" s="61" t="n"/>
      <c r="F42" s="61" t="n"/>
      <c r="G42" s="62" t="n"/>
      <c r="H42" s="62" t="n"/>
      <c r="I42" s="60" t="n"/>
      <c r="J42" s="60" t="n"/>
      <c r="K42" s="63">
        <f>IF(I42&gt;0, J42/I42, "")</f>
        <v/>
      </c>
      <c r="L42" s="61" t="n"/>
      <c r="M42" s="61" t="n"/>
    </row>
    <row r="43" ht="20" customHeight="1">
      <c r="B43" s="60" t="n"/>
      <c r="C43" s="60" t="n"/>
      <c r="D43" s="61" t="n"/>
      <c r="E43" s="61" t="n"/>
      <c r="F43" s="61" t="n"/>
      <c r="G43" s="62" t="n"/>
      <c r="H43" s="62" t="n"/>
      <c r="I43" s="60" t="n"/>
      <c r="J43" s="60" t="n"/>
      <c r="K43" s="63">
        <f>IF(I43&gt;0, J43/I43, "")</f>
        <v/>
      </c>
      <c r="L43" s="61" t="n"/>
      <c r="M43" s="61" t="n"/>
    </row>
    <row r="44" ht="20" customHeight="1">
      <c r="B44" s="60" t="n"/>
      <c r="C44" s="60" t="n"/>
      <c r="D44" s="61" t="n"/>
      <c r="E44" s="61" t="n"/>
      <c r="F44" s="61" t="n"/>
      <c r="G44" s="62" t="n"/>
      <c r="H44" s="62" t="n"/>
      <c r="I44" s="60" t="n"/>
      <c r="J44" s="60" t="n"/>
      <c r="K44" s="63">
        <f>IF(I44&gt;0, J44/I44, "")</f>
        <v/>
      </c>
      <c r="L44" s="61" t="n"/>
      <c r="M44" s="61" t="n"/>
    </row>
    <row r="45" ht="20" customHeight="1">
      <c r="B45" s="60" t="n"/>
      <c r="C45" s="60" t="n"/>
      <c r="D45" s="61" t="n"/>
      <c r="E45" s="61" t="n"/>
      <c r="F45" s="61" t="n"/>
      <c r="G45" s="62" t="n"/>
      <c r="H45" s="62" t="n"/>
      <c r="I45" s="60" t="n"/>
      <c r="J45" s="60" t="n"/>
      <c r="K45" s="63">
        <f>IF(I45&gt;0, J45/I45, "")</f>
        <v/>
      </c>
      <c r="L45" s="61" t="n"/>
      <c r="M45" s="61" t="n"/>
    </row>
    <row r="46" ht="20" customHeight="1">
      <c r="B46" s="60" t="n"/>
      <c r="C46" s="60" t="n"/>
      <c r="D46" s="61" t="n"/>
      <c r="E46" s="61" t="n"/>
      <c r="F46" s="61" t="n"/>
      <c r="G46" s="62" t="n"/>
      <c r="H46" s="62" t="n"/>
      <c r="I46" s="60" t="n"/>
      <c r="J46" s="60" t="n"/>
      <c r="K46" s="63">
        <f>IF(I46&gt;0, J46/I46, "")</f>
        <v/>
      </c>
      <c r="L46" s="61" t="n"/>
      <c r="M46" s="61" t="n"/>
    </row>
    <row r="47" ht="20" customHeight="1">
      <c r="B47" s="60" t="n"/>
      <c r="C47" s="60" t="n"/>
      <c r="D47" s="61" t="n"/>
      <c r="E47" s="61" t="n"/>
      <c r="F47" s="61" t="n"/>
      <c r="G47" s="62" t="n"/>
      <c r="H47" s="62" t="n"/>
      <c r="I47" s="60" t="n"/>
      <c r="J47" s="60" t="n"/>
      <c r="K47" s="63">
        <f>IF(I47&gt;0, J47/I47, "")</f>
        <v/>
      </c>
      <c r="L47" s="61" t="n"/>
      <c r="M47" s="61" t="n"/>
    </row>
    <row r="48" ht="20" customHeight="1">
      <c r="B48" s="60" t="n"/>
      <c r="C48" s="60" t="n"/>
      <c r="D48" s="61" t="n"/>
      <c r="E48" s="61" t="n"/>
      <c r="F48" s="61" t="n"/>
      <c r="G48" s="62" t="n"/>
      <c r="H48" s="62" t="n"/>
      <c r="I48" s="60" t="n"/>
      <c r="J48" s="60" t="n"/>
      <c r="K48" s="63">
        <f>IF(I48&gt;0, J48/I48, "")</f>
        <v/>
      </c>
      <c r="L48" s="61" t="n"/>
      <c r="M48" s="61" t="n"/>
    </row>
    <row r="49" ht="20" customHeight="1">
      <c r="B49" s="60" t="n"/>
      <c r="C49" s="60" t="n"/>
      <c r="D49" s="61" t="n"/>
      <c r="E49" s="61" t="n"/>
      <c r="F49" s="61" t="n"/>
      <c r="G49" s="62" t="n"/>
      <c r="H49" s="62" t="n"/>
      <c r="I49" s="60" t="n"/>
      <c r="J49" s="60" t="n"/>
      <c r="K49" s="63">
        <f>IF(I49&gt;0, J49/I49, "")</f>
        <v/>
      </c>
      <c r="L49" s="61" t="n"/>
      <c r="M49" s="61" t="n"/>
    </row>
    <row r="50" ht="20" customHeight="1">
      <c r="B50" s="60" t="n"/>
      <c r="C50" s="60" t="n"/>
      <c r="D50" s="61" t="n"/>
      <c r="E50" s="61" t="n"/>
      <c r="F50" s="61" t="n"/>
      <c r="G50" s="62" t="n"/>
      <c r="H50" s="62" t="n"/>
      <c r="I50" s="60" t="n"/>
      <c r="J50" s="60" t="n"/>
      <c r="K50" s="63">
        <f>IF(I50&gt;0, J50/I50, "")</f>
        <v/>
      </c>
      <c r="L50" s="61" t="n"/>
      <c r="M50" s="61" t="n"/>
    </row>
    <row r="51" ht="20" customHeight="1">
      <c r="B51" s="60" t="n"/>
      <c r="C51" s="60" t="n"/>
      <c r="D51" s="61" t="n"/>
      <c r="E51" s="61" t="n"/>
      <c r="F51" s="61" t="n"/>
      <c r="G51" s="62" t="n"/>
      <c r="H51" s="62" t="n"/>
      <c r="I51" s="60" t="n"/>
      <c r="J51" s="60" t="n"/>
      <c r="K51" s="63">
        <f>IF(I51&gt;0, J51/I51, "")</f>
        <v/>
      </c>
      <c r="L51" s="61" t="n"/>
      <c r="M51" s="61" t="n"/>
    </row>
    <row r="52" ht="20" customHeight="1">
      <c r="B52" s="60" t="n"/>
      <c r="C52" s="60" t="n"/>
      <c r="D52" s="61" t="n"/>
      <c r="E52" s="61" t="n"/>
      <c r="F52" s="61" t="n"/>
      <c r="G52" s="62" t="n"/>
      <c r="H52" s="62" t="n"/>
      <c r="I52" s="60" t="n"/>
      <c r="J52" s="60" t="n"/>
      <c r="K52" s="63">
        <f>IF(I52&gt;0, J52/I52, "")</f>
        <v/>
      </c>
      <c r="L52" s="61" t="n"/>
      <c r="M52" s="61" t="n"/>
    </row>
    <row r="53" ht="20" customHeight="1">
      <c r="B53" s="60" t="n"/>
      <c r="C53" s="60" t="n"/>
      <c r="D53" s="61" t="n"/>
      <c r="E53" s="61" t="n"/>
      <c r="F53" s="61" t="n"/>
      <c r="G53" s="62" t="n"/>
      <c r="H53" s="62" t="n"/>
      <c r="I53" s="60" t="n"/>
      <c r="J53" s="60" t="n"/>
      <c r="K53" s="63">
        <f>IF(I53&gt;0, J53/I53, "")</f>
        <v/>
      </c>
      <c r="L53" s="61" t="n"/>
      <c r="M53" s="61" t="n"/>
    </row>
    <row r="54" ht="20" customHeight="1">
      <c r="B54" s="60" t="n"/>
      <c r="C54" s="60" t="n"/>
      <c r="D54" s="61" t="n"/>
      <c r="E54" s="61" t="n"/>
      <c r="F54" s="61" t="n"/>
      <c r="G54" s="62" t="n"/>
      <c r="H54" s="62" t="n"/>
      <c r="I54" s="60" t="n"/>
      <c r="J54" s="60" t="n"/>
      <c r="K54" s="63">
        <f>IF(I54&gt;0, J54/I54, "")</f>
        <v/>
      </c>
      <c r="L54" s="61" t="n"/>
      <c r="M54" s="61" t="n"/>
    </row>
    <row r="55" ht="20" customHeight="1">
      <c r="B55" s="60" t="n"/>
      <c r="C55" s="60" t="n"/>
      <c r="D55" s="61" t="n"/>
      <c r="E55" s="61" t="n"/>
      <c r="F55" s="61" t="n"/>
      <c r="G55" s="62" t="n"/>
      <c r="H55" s="62" t="n"/>
      <c r="I55" s="60" t="n"/>
      <c r="J55" s="60" t="n"/>
      <c r="K55" s="63">
        <f>IF(I55&gt;0, J55/I55, "")</f>
        <v/>
      </c>
      <c r="L55" s="61" t="n"/>
      <c r="M55" s="61" t="n"/>
    </row>
    <row r="56" ht="20" customHeight="1">
      <c r="B56" s="60" t="n"/>
      <c r="C56" s="60" t="n"/>
      <c r="D56" s="61" t="n"/>
      <c r="E56" s="61" t="n"/>
      <c r="F56" s="61" t="n"/>
      <c r="G56" s="62" t="n"/>
      <c r="H56" s="62" t="n"/>
      <c r="I56" s="60" t="n"/>
      <c r="J56" s="60" t="n"/>
      <c r="K56" s="63">
        <f>IF(I56&gt;0, J56/I56, "")</f>
        <v/>
      </c>
      <c r="L56" s="61" t="n"/>
      <c r="M56" s="61" t="n"/>
    </row>
    <row r="57" ht="20" customHeight="1">
      <c r="B57" s="60" t="n"/>
      <c r="C57" s="60" t="n"/>
      <c r="D57" s="61" t="n"/>
      <c r="E57" s="61" t="n"/>
      <c r="F57" s="61" t="n"/>
      <c r="G57" s="62" t="n"/>
      <c r="H57" s="62" t="n"/>
      <c r="I57" s="60" t="n"/>
      <c r="J57" s="60" t="n"/>
      <c r="K57" s="63">
        <f>IF(I57&gt;0, J57/I57, "")</f>
        <v/>
      </c>
      <c r="L57" s="61" t="n"/>
      <c r="M57" s="61" t="n"/>
    </row>
    <row r="58" ht="20" customHeight="1">
      <c r="B58" s="60" t="n"/>
      <c r="C58" s="60" t="n"/>
      <c r="D58" s="61" t="n"/>
      <c r="E58" s="61" t="n"/>
      <c r="F58" s="61" t="n"/>
      <c r="G58" s="62" t="n"/>
      <c r="H58" s="62" t="n"/>
      <c r="I58" s="60" t="n"/>
      <c r="J58" s="60" t="n"/>
      <c r="K58" s="63">
        <f>IF(I58&gt;0, J58/I58, "")</f>
        <v/>
      </c>
      <c r="L58" s="61" t="n"/>
      <c r="M58" s="61" t="n"/>
    </row>
    <row r="59" ht="20" customHeight="1">
      <c r="B59" s="60" t="n"/>
      <c r="C59" s="60" t="n"/>
      <c r="D59" s="61" t="n"/>
      <c r="E59" s="61" t="n"/>
      <c r="F59" s="61" t="n"/>
      <c r="G59" s="62" t="n"/>
      <c r="H59" s="62" t="n"/>
      <c r="I59" s="60" t="n"/>
      <c r="J59" s="60" t="n"/>
      <c r="K59" s="63">
        <f>IF(I59&gt;0, J59/I59, "")</f>
        <v/>
      </c>
      <c r="L59" s="61" t="n"/>
      <c r="M59" s="61" t="n"/>
    </row>
    <row r="60" ht="20" customHeight="1">
      <c r="B60" s="60" t="n"/>
      <c r="C60" s="60" t="n"/>
      <c r="D60" s="61" t="n"/>
      <c r="E60" s="61" t="n"/>
      <c r="F60" s="61" t="n"/>
      <c r="G60" s="62" t="n"/>
      <c r="H60" s="62" t="n"/>
      <c r="I60" s="60" t="n"/>
      <c r="J60" s="60" t="n"/>
      <c r="K60" s="63">
        <f>IF(I60&gt;0, J60/I60, "")</f>
        <v/>
      </c>
      <c r="L60" s="61" t="n"/>
      <c r="M60" s="6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M6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16" customWidth="1" min="4" max="4"/>
    <col width="35" customWidth="1" min="5" max="5"/>
    <col width="25" customWidth="1" min="6" max="6"/>
    <col width="10" customWidth="1" min="7" max="7"/>
    <col width="16" customWidth="1" min="8" max="8"/>
    <col width="14" customWidth="1" min="9" max="9"/>
    <col width="16" customWidth="1" min="10" max="10"/>
    <col width="12" customWidth="1" min="11" max="11"/>
    <col width="24" customWidth="1" min="12" max="12"/>
    <col width="24" customWidth="1" min="13" max="13"/>
  </cols>
  <sheetData>
    <row r="2" ht="28" customHeight="1">
      <c r="B2" s="59" t="inlineStr">
        <is>
          <t>S.No</t>
        </is>
      </c>
      <c r="C2" s="59" t="inlineStr">
        <is>
          <t>Date</t>
        </is>
      </c>
      <c r="D2" s="59" t="inlineStr">
        <is>
          <t>Task worker</t>
        </is>
      </c>
      <c r="E2" s="59" t="inlineStr">
        <is>
          <t>Task</t>
        </is>
      </c>
      <c r="F2" s="59" t="inlineStr">
        <is>
          <t>Assets/Units/ISOs/PIDs</t>
        </is>
      </c>
      <c r="G2" s="59" t="inlineStr">
        <is>
          <t>Hrs/day</t>
        </is>
      </c>
      <c r="H2" s="59" t="inlineStr">
        <is>
          <t>metric/task in hrs</t>
        </is>
      </c>
      <c r="I2" s="59" t="inlineStr">
        <is>
          <t>count per day</t>
        </is>
      </c>
      <c r="J2" s="59" t="inlineStr">
        <is>
          <t>achieved on the day</t>
        </is>
      </c>
      <c r="K2" s="59" t="inlineStr">
        <is>
          <t>Efficiency</t>
        </is>
      </c>
      <c r="L2" s="59" t="inlineStr">
        <is>
          <t>Road blocks</t>
        </is>
      </c>
      <c r="M2" s="59" t="inlineStr">
        <is>
          <t>Notes</t>
        </is>
      </c>
    </row>
    <row r="3" ht="20" customHeight="1">
      <c r="B3" s="60" t="n"/>
      <c r="C3" s="60" t="n"/>
      <c r="D3" s="61" t="n"/>
      <c r="E3" s="61" t="n"/>
      <c r="F3" s="61" t="n"/>
      <c r="G3" s="62" t="n"/>
      <c r="H3" s="62" t="n"/>
      <c r="I3" s="60" t="n"/>
      <c r="J3" s="60" t="n"/>
      <c r="K3" s="63">
        <f>IF(I3&gt;0, J3/I3, "")</f>
        <v/>
      </c>
      <c r="L3" s="61" t="n"/>
      <c r="M3" s="61" t="n"/>
    </row>
    <row r="4" ht="20" customHeight="1">
      <c r="B4" s="60" t="n"/>
      <c r="C4" s="60" t="n"/>
      <c r="D4" s="61" t="n"/>
      <c r="E4" s="61" t="n"/>
      <c r="F4" s="61" t="n"/>
      <c r="G4" s="62" t="n"/>
      <c r="H4" s="62" t="n"/>
      <c r="I4" s="60" t="n"/>
      <c r="J4" s="60" t="n"/>
      <c r="K4" s="63">
        <f>IF(I4&gt;0, J4/I4, "")</f>
        <v/>
      </c>
      <c r="L4" s="61" t="n"/>
      <c r="M4" s="61" t="n"/>
    </row>
    <row r="5" ht="20" customHeight="1">
      <c r="B5" s="60" t="n"/>
      <c r="C5" s="60" t="n"/>
      <c r="D5" s="61" t="n"/>
      <c r="E5" s="61" t="n"/>
      <c r="F5" s="61" t="n"/>
      <c r="G5" s="62" t="n"/>
      <c r="H5" s="62" t="n"/>
      <c r="I5" s="60" t="n"/>
      <c r="J5" s="60" t="n"/>
      <c r="K5" s="63">
        <f>IF(I5&gt;0, J5/I5, "")</f>
        <v/>
      </c>
      <c r="L5" s="61" t="n"/>
      <c r="M5" s="61" t="n"/>
    </row>
    <row r="6" ht="20" customHeight="1">
      <c r="B6" s="60" t="n"/>
      <c r="C6" s="60" t="n"/>
      <c r="D6" s="61" t="n"/>
      <c r="E6" s="61" t="n"/>
      <c r="F6" s="61" t="n"/>
      <c r="G6" s="62" t="n"/>
      <c r="H6" s="62" t="n"/>
      <c r="I6" s="60" t="n"/>
      <c r="J6" s="60" t="n"/>
      <c r="K6" s="63">
        <f>IF(I6&gt;0, J6/I6, "")</f>
        <v/>
      </c>
      <c r="L6" s="61" t="n"/>
      <c r="M6" s="61" t="n"/>
    </row>
    <row r="7" ht="20" customHeight="1">
      <c r="B7" s="60" t="n"/>
      <c r="C7" s="60" t="n"/>
      <c r="D7" s="61" t="n"/>
      <c r="E7" s="61" t="n"/>
      <c r="F7" s="61" t="n"/>
      <c r="G7" s="62" t="n"/>
      <c r="H7" s="62" t="n"/>
      <c r="I7" s="60" t="n"/>
      <c r="J7" s="60" t="n"/>
      <c r="K7" s="63">
        <f>IF(I7&gt;0, J7/I7, "")</f>
        <v/>
      </c>
      <c r="L7" s="61" t="n"/>
      <c r="M7" s="61" t="n"/>
    </row>
    <row r="8" ht="20" customHeight="1">
      <c r="B8" s="60" t="n"/>
      <c r="C8" s="60" t="n"/>
      <c r="D8" s="61" t="n"/>
      <c r="E8" s="61" t="n"/>
      <c r="F8" s="61" t="n"/>
      <c r="G8" s="62" t="n"/>
      <c r="H8" s="62" t="n"/>
      <c r="I8" s="60" t="n"/>
      <c r="J8" s="60" t="n"/>
      <c r="K8" s="63">
        <f>IF(I8&gt;0, J8/I8, "")</f>
        <v/>
      </c>
      <c r="L8" s="61" t="n"/>
      <c r="M8" s="61" t="n"/>
    </row>
    <row r="9" ht="20" customHeight="1">
      <c r="B9" s="60" t="n"/>
      <c r="C9" s="60" t="n"/>
      <c r="D9" s="61" t="n"/>
      <c r="E9" s="61" t="n"/>
      <c r="F9" s="61" t="n"/>
      <c r="G9" s="62" t="n"/>
      <c r="H9" s="62" t="n"/>
      <c r="I9" s="60" t="n"/>
      <c r="J9" s="60" t="n"/>
      <c r="K9" s="63">
        <f>IF(I9&gt;0, J9/I9, "")</f>
        <v/>
      </c>
      <c r="L9" s="61" t="n"/>
      <c r="M9" s="61" t="n"/>
    </row>
    <row r="10" ht="20" customHeight="1">
      <c r="B10" s="60" t="n"/>
      <c r="C10" s="60" t="n"/>
      <c r="D10" s="61" t="n"/>
      <c r="E10" s="61" t="n"/>
      <c r="F10" s="61" t="n"/>
      <c r="G10" s="62" t="n"/>
      <c r="H10" s="62" t="n"/>
      <c r="I10" s="60" t="n"/>
      <c r="J10" s="60" t="n"/>
      <c r="K10" s="63">
        <f>IF(I10&gt;0, J10/I10, "")</f>
        <v/>
      </c>
      <c r="L10" s="61" t="n"/>
      <c r="M10" s="61" t="n"/>
    </row>
    <row r="11" ht="20" customHeight="1">
      <c r="B11" s="60" t="n"/>
      <c r="C11" s="60" t="n"/>
      <c r="D11" s="61" t="n"/>
      <c r="E11" s="61" t="n"/>
      <c r="F11" s="61" t="n"/>
      <c r="G11" s="62" t="n"/>
      <c r="H11" s="62" t="n"/>
      <c r="I11" s="60" t="n"/>
      <c r="J11" s="60" t="n"/>
      <c r="K11" s="63">
        <f>IF(I11&gt;0, J11/I11, "")</f>
        <v/>
      </c>
      <c r="L11" s="61" t="n"/>
      <c r="M11" s="61" t="n"/>
    </row>
    <row r="12" ht="20" customHeight="1">
      <c r="B12" s="60" t="n"/>
      <c r="C12" s="60" t="n"/>
      <c r="D12" s="61" t="n"/>
      <c r="E12" s="61" t="n"/>
      <c r="F12" s="61" t="n"/>
      <c r="G12" s="62" t="n"/>
      <c r="H12" s="62" t="n"/>
      <c r="I12" s="60" t="n"/>
      <c r="J12" s="60" t="n"/>
      <c r="K12" s="63">
        <f>IF(I12&gt;0, J12/I12, "")</f>
        <v/>
      </c>
      <c r="L12" s="61" t="n"/>
      <c r="M12" s="61" t="n"/>
    </row>
    <row r="13" ht="20" customHeight="1">
      <c r="B13" s="60" t="n"/>
      <c r="C13" s="60" t="n"/>
      <c r="D13" s="61" t="n"/>
      <c r="E13" s="61" t="n"/>
      <c r="F13" s="61" t="n"/>
      <c r="G13" s="62" t="n"/>
      <c r="H13" s="62" t="n"/>
      <c r="I13" s="60" t="n"/>
      <c r="J13" s="60" t="n"/>
      <c r="K13" s="63">
        <f>IF(I13&gt;0, J13/I13, "")</f>
        <v/>
      </c>
      <c r="L13" s="61" t="n"/>
      <c r="M13" s="61" t="n"/>
    </row>
    <row r="14" ht="20" customHeight="1">
      <c r="B14" s="60" t="n"/>
      <c r="C14" s="60" t="n"/>
      <c r="D14" s="61" t="n"/>
      <c r="E14" s="61" t="n"/>
      <c r="F14" s="61" t="n"/>
      <c r="G14" s="62" t="n"/>
      <c r="H14" s="62" t="n"/>
      <c r="I14" s="60" t="n"/>
      <c r="J14" s="60" t="n"/>
      <c r="K14" s="63">
        <f>IF(I14&gt;0, J14/I14, "")</f>
        <v/>
      </c>
      <c r="L14" s="61" t="n"/>
      <c r="M14" s="61" t="n"/>
    </row>
    <row r="15" ht="20" customHeight="1">
      <c r="B15" s="60" t="n"/>
      <c r="C15" s="60" t="n"/>
      <c r="D15" s="61" t="n"/>
      <c r="E15" s="61" t="n"/>
      <c r="F15" s="61" t="n"/>
      <c r="G15" s="62" t="n"/>
      <c r="H15" s="62" t="n"/>
      <c r="I15" s="60" t="n"/>
      <c r="J15" s="60" t="n"/>
      <c r="K15" s="63">
        <f>IF(I15&gt;0, J15/I15, "")</f>
        <v/>
      </c>
      <c r="L15" s="61" t="n"/>
      <c r="M15" s="61" t="n"/>
    </row>
    <row r="16" ht="20" customHeight="1">
      <c r="B16" s="60" t="n"/>
      <c r="C16" s="60" t="n"/>
      <c r="D16" s="61" t="n"/>
      <c r="E16" s="61" t="n"/>
      <c r="F16" s="61" t="n"/>
      <c r="G16" s="62" t="n"/>
      <c r="H16" s="62" t="n"/>
      <c r="I16" s="60" t="n"/>
      <c r="J16" s="60" t="n"/>
      <c r="K16" s="63">
        <f>IF(I16&gt;0, J16/I16, "")</f>
        <v/>
      </c>
      <c r="L16" s="61" t="n"/>
      <c r="M16" s="61" t="n"/>
    </row>
    <row r="17" ht="20" customHeight="1">
      <c r="B17" s="60" t="n"/>
      <c r="C17" s="60" t="n"/>
      <c r="D17" s="61" t="n"/>
      <c r="E17" s="61" t="n"/>
      <c r="F17" s="61" t="n"/>
      <c r="G17" s="62" t="n"/>
      <c r="H17" s="62" t="n"/>
      <c r="I17" s="60" t="n"/>
      <c r="J17" s="60" t="n"/>
      <c r="K17" s="63">
        <f>IF(I17&gt;0, J17/I17, "")</f>
        <v/>
      </c>
      <c r="L17" s="61" t="n"/>
      <c r="M17" s="61" t="n"/>
    </row>
    <row r="18" ht="20" customHeight="1">
      <c r="B18" s="60" t="n"/>
      <c r="C18" s="60" t="n"/>
      <c r="D18" s="61" t="n"/>
      <c r="E18" s="61" t="n"/>
      <c r="F18" s="61" t="n"/>
      <c r="G18" s="62" t="n"/>
      <c r="H18" s="62" t="n"/>
      <c r="I18" s="60" t="n"/>
      <c r="J18" s="60" t="n"/>
      <c r="K18" s="63">
        <f>IF(I18&gt;0, J18/I18, "")</f>
        <v/>
      </c>
      <c r="L18" s="61" t="n"/>
      <c r="M18" s="61" t="n"/>
    </row>
    <row r="19" ht="20" customHeight="1">
      <c r="B19" s="60" t="n"/>
      <c r="C19" s="60" t="n"/>
      <c r="D19" s="61" t="n"/>
      <c r="E19" s="61" t="n"/>
      <c r="F19" s="61" t="n"/>
      <c r="G19" s="62" t="n"/>
      <c r="H19" s="62" t="n"/>
      <c r="I19" s="60" t="n"/>
      <c r="J19" s="60" t="n"/>
      <c r="K19" s="63">
        <f>IF(I19&gt;0, J19/I19, "")</f>
        <v/>
      </c>
      <c r="L19" s="61" t="n"/>
      <c r="M19" s="61" t="n"/>
    </row>
    <row r="20" ht="20" customHeight="1">
      <c r="B20" s="60" t="n"/>
      <c r="C20" s="60" t="n"/>
      <c r="D20" s="61" t="n"/>
      <c r="E20" s="61" t="n"/>
      <c r="F20" s="61" t="n"/>
      <c r="G20" s="62" t="n"/>
      <c r="H20" s="62" t="n"/>
      <c r="I20" s="60" t="n"/>
      <c r="J20" s="60" t="n"/>
      <c r="K20" s="63">
        <f>IF(I20&gt;0, J20/I20, "")</f>
        <v/>
      </c>
      <c r="L20" s="61" t="n"/>
      <c r="M20" s="61" t="n"/>
    </row>
    <row r="21" ht="20" customHeight="1">
      <c r="B21" s="60" t="n"/>
      <c r="C21" s="60" t="n"/>
      <c r="D21" s="61" t="n"/>
      <c r="E21" s="61" t="n"/>
      <c r="F21" s="61" t="n"/>
      <c r="G21" s="62" t="n"/>
      <c r="H21" s="62" t="n"/>
      <c r="I21" s="60" t="n"/>
      <c r="J21" s="60" t="n"/>
      <c r="K21" s="63">
        <f>IF(I21&gt;0, J21/I21, "")</f>
        <v/>
      </c>
      <c r="L21" s="61" t="n"/>
      <c r="M21" s="61" t="n"/>
    </row>
    <row r="22" ht="20" customHeight="1">
      <c r="B22" s="60" t="n"/>
      <c r="C22" s="60" t="n"/>
      <c r="D22" s="61" t="n"/>
      <c r="E22" s="61" t="n"/>
      <c r="F22" s="61" t="n"/>
      <c r="G22" s="62" t="n"/>
      <c r="H22" s="62" t="n"/>
      <c r="I22" s="60" t="n"/>
      <c r="J22" s="60" t="n"/>
      <c r="K22" s="63">
        <f>IF(I22&gt;0, J22/I22, "")</f>
        <v/>
      </c>
      <c r="L22" s="61" t="n"/>
      <c r="M22" s="61" t="n"/>
    </row>
    <row r="23" ht="20" customHeight="1">
      <c r="B23" s="60" t="n"/>
      <c r="C23" s="60" t="n"/>
      <c r="D23" s="61" t="n"/>
      <c r="E23" s="61" t="n"/>
      <c r="F23" s="61" t="n"/>
      <c r="G23" s="62" t="n"/>
      <c r="H23" s="62" t="n"/>
      <c r="I23" s="60" t="n"/>
      <c r="J23" s="60" t="n"/>
      <c r="K23" s="63">
        <f>IF(I23&gt;0, J23/I23, "")</f>
        <v/>
      </c>
      <c r="L23" s="61" t="n"/>
      <c r="M23" s="61" t="n"/>
    </row>
    <row r="24" ht="20" customHeight="1">
      <c r="B24" s="60" t="n"/>
      <c r="C24" s="60" t="n"/>
      <c r="D24" s="61" t="n"/>
      <c r="E24" s="61" t="n"/>
      <c r="F24" s="61" t="n"/>
      <c r="G24" s="62" t="n"/>
      <c r="H24" s="62" t="n"/>
      <c r="I24" s="60" t="n"/>
      <c r="J24" s="60" t="n"/>
      <c r="K24" s="63">
        <f>IF(I24&gt;0, J24/I24, "")</f>
        <v/>
      </c>
      <c r="L24" s="61" t="n"/>
      <c r="M24" s="61" t="n"/>
    </row>
    <row r="25" ht="20" customHeight="1">
      <c r="B25" s="60" t="n"/>
      <c r="C25" s="60" t="n"/>
      <c r="D25" s="61" t="n"/>
      <c r="E25" s="61" t="n"/>
      <c r="F25" s="61" t="n"/>
      <c r="G25" s="62" t="n"/>
      <c r="H25" s="62" t="n"/>
      <c r="I25" s="60" t="n"/>
      <c r="J25" s="60" t="n"/>
      <c r="K25" s="63">
        <f>IF(I25&gt;0, J25/I25, "")</f>
        <v/>
      </c>
      <c r="L25" s="61" t="n"/>
      <c r="M25" s="61" t="n"/>
    </row>
    <row r="26" ht="20" customHeight="1">
      <c r="B26" s="60" t="n"/>
      <c r="C26" s="60" t="n"/>
      <c r="D26" s="61" t="n"/>
      <c r="E26" s="61" t="n"/>
      <c r="F26" s="61" t="n"/>
      <c r="G26" s="62" t="n"/>
      <c r="H26" s="62" t="n"/>
      <c r="I26" s="60" t="n"/>
      <c r="J26" s="60" t="n"/>
      <c r="K26" s="63">
        <f>IF(I26&gt;0, J26/I26, "")</f>
        <v/>
      </c>
      <c r="L26" s="61" t="n"/>
      <c r="M26" s="61" t="n"/>
    </row>
    <row r="27" ht="20" customHeight="1">
      <c r="B27" s="60" t="n"/>
      <c r="C27" s="60" t="n"/>
      <c r="D27" s="61" t="n"/>
      <c r="E27" s="61" t="n"/>
      <c r="F27" s="61" t="n"/>
      <c r="G27" s="62" t="n"/>
      <c r="H27" s="62" t="n"/>
      <c r="I27" s="60" t="n"/>
      <c r="J27" s="60" t="n"/>
      <c r="K27" s="63">
        <f>IF(I27&gt;0, J27/I27, "")</f>
        <v/>
      </c>
      <c r="L27" s="61" t="n"/>
      <c r="M27" s="61" t="n"/>
    </row>
    <row r="28" ht="20" customHeight="1">
      <c r="B28" s="60" t="n"/>
      <c r="C28" s="60" t="n"/>
      <c r="D28" s="61" t="n"/>
      <c r="E28" s="61" t="n"/>
      <c r="F28" s="61" t="n"/>
      <c r="G28" s="62" t="n"/>
      <c r="H28" s="62" t="n"/>
      <c r="I28" s="60" t="n"/>
      <c r="J28" s="60" t="n"/>
      <c r="K28" s="63">
        <f>IF(I28&gt;0, J28/I28, "")</f>
        <v/>
      </c>
      <c r="L28" s="61" t="n"/>
      <c r="M28" s="61" t="n"/>
    </row>
    <row r="29" ht="20" customHeight="1">
      <c r="B29" s="60" t="n"/>
      <c r="C29" s="60" t="n"/>
      <c r="D29" s="61" t="n"/>
      <c r="E29" s="61" t="n"/>
      <c r="F29" s="61" t="n"/>
      <c r="G29" s="62" t="n"/>
      <c r="H29" s="62" t="n"/>
      <c r="I29" s="60" t="n"/>
      <c r="J29" s="60" t="n"/>
      <c r="K29" s="63">
        <f>IF(I29&gt;0, J29/I29, "")</f>
        <v/>
      </c>
      <c r="L29" s="61" t="n"/>
      <c r="M29" s="61" t="n"/>
    </row>
    <row r="30" ht="20" customHeight="1">
      <c r="B30" s="60" t="n"/>
      <c r="C30" s="60" t="n"/>
      <c r="D30" s="61" t="n"/>
      <c r="E30" s="61" t="n"/>
      <c r="F30" s="61" t="n"/>
      <c r="G30" s="62" t="n"/>
      <c r="H30" s="62" t="n"/>
      <c r="I30" s="60" t="n"/>
      <c r="J30" s="60" t="n"/>
      <c r="K30" s="63">
        <f>IF(I30&gt;0, J30/I30, "")</f>
        <v/>
      </c>
      <c r="L30" s="61" t="n"/>
      <c r="M30" s="61" t="n"/>
    </row>
    <row r="31" ht="20" customHeight="1">
      <c r="B31" s="60" t="n"/>
      <c r="C31" s="60" t="n"/>
      <c r="D31" s="61" t="n"/>
      <c r="E31" s="61" t="n"/>
      <c r="F31" s="61" t="n"/>
      <c r="G31" s="62" t="n"/>
      <c r="H31" s="62" t="n"/>
      <c r="I31" s="60" t="n"/>
      <c r="J31" s="60" t="n"/>
      <c r="K31" s="63">
        <f>IF(I31&gt;0, J31/I31, "")</f>
        <v/>
      </c>
      <c r="L31" s="61" t="n"/>
      <c r="M31" s="61" t="n"/>
    </row>
    <row r="32" ht="20" customHeight="1">
      <c r="B32" s="60" t="n"/>
      <c r="C32" s="60" t="n"/>
      <c r="D32" s="61" t="n"/>
      <c r="E32" s="61" t="n"/>
      <c r="F32" s="61" t="n"/>
      <c r="G32" s="62" t="n"/>
      <c r="H32" s="62" t="n"/>
      <c r="I32" s="60" t="n"/>
      <c r="J32" s="60" t="n"/>
      <c r="K32" s="63">
        <f>IF(I32&gt;0, J32/I32, "")</f>
        <v/>
      </c>
      <c r="L32" s="61" t="n"/>
      <c r="M32" s="61" t="n"/>
    </row>
    <row r="33" ht="20" customHeight="1">
      <c r="B33" s="60" t="n"/>
      <c r="C33" s="60" t="n"/>
      <c r="D33" s="61" t="n"/>
      <c r="E33" s="61" t="n"/>
      <c r="F33" s="61" t="n"/>
      <c r="G33" s="62" t="n"/>
      <c r="H33" s="62" t="n"/>
      <c r="I33" s="60" t="n"/>
      <c r="J33" s="60" t="n"/>
      <c r="K33" s="63">
        <f>IF(I33&gt;0, J33/I33, "")</f>
        <v/>
      </c>
      <c r="L33" s="61" t="n"/>
      <c r="M33" s="61" t="n"/>
    </row>
    <row r="34" ht="20" customHeight="1">
      <c r="B34" s="60" t="n"/>
      <c r="C34" s="60" t="n"/>
      <c r="D34" s="61" t="n"/>
      <c r="E34" s="61" t="n"/>
      <c r="F34" s="61" t="n"/>
      <c r="G34" s="62" t="n"/>
      <c r="H34" s="62" t="n"/>
      <c r="I34" s="60" t="n"/>
      <c r="J34" s="60" t="n"/>
      <c r="K34" s="63">
        <f>IF(I34&gt;0, J34/I34, "")</f>
        <v/>
      </c>
      <c r="L34" s="61" t="n"/>
      <c r="M34" s="61" t="n"/>
    </row>
    <row r="35" ht="20" customHeight="1">
      <c r="B35" s="60" t="n"/>
      <c r="C35" s="60" t="n"/>
      <c r="D35" s="61" t="n"/>
      <c r="E35" s="61" t="n"/>
      <c r="F35" s="61" t="n"/>
      <c r="G35" s="62" t="n"/>
      <c r="H35" s="62" t="n"/>
      <c r="I35" s="60" t="n"/>
      <c r="J35" s="60" t="n"/>
      <c r="K35" s="63">
        <f>IF(I35&gt;0, J35/I35, "")</f>
        <v/>
      </c>
      <c r="L35" s="61" t="n"/>
      <c r="M35" s="61" t="n"/>
    </row>
    <row r="36" ht="20" customHeight="1">
      <c r="B36" s="60" t="n"/>
      <c r="C36" s="60" t="n"/>
      <c r="D36" s="61" t="n"/>
      <c r="E36" s="61" t="n"/>
      <c r="F36" s="61" t="n"/>
      <c r="G36" s="62" t="n"/>
      <c r="H36" s="62" t="n"/>
      <c r="I36" s="60" t="n"/>
      <c r="J36" s="60" t="n"/>
      <c r="K36" s="63">
        <f>IF(I36&gt;0, J36/I36, "")</f>
        <v/>
      </c>
      <c r="L36" s="61" t="n"/>
      <c r="M36" s="61" t="n"/>
    </row>
    <row r="37" ht="20" customHeight="1">
      <c r="B37" s="60" t="n"/>
      <c r="C37" s="60" t="n"/>
      <c r="D37" s="61" t="n"/>
      <c r="E37" s="61" t="n"/>
      <c r="F37" s="61" t="n"/>
      <c r="G37" s="62" t="n"/>
      <c r="H37" s="62" t="n"/>
      <c r="I37" s="60" t="n"/>
      <c r="J37" s="60" t="n"/>
      <c r="K37" s="63">
        <f>IF(I37&gt;0, J37/I37, "")</f>
        <v/>
      </c>
      <c r="L37" s="61" t="n"/>
      <c r="M37" s="61" t="n"/>
    </row>
    <row r="38" ht="20" customHeight="1">
      <c r="B38" s="60" t="n"/>
      <c r="C38" s="60" t="n"/>
      <c r="D38" s="61" t="n"/>
      <c r="E38" s="61" t="n"/>
      <c r="F38" s="61" t="n"/>
      <c r="G38" s="62" t="n"/>
      <c r="H38" s="62" t="n"/>
      <c r="I38" s="60" t="n"/>
      <c r="J38" s="60" t="n"/>
      <c r="K38" s="63">
        <f>IF(I38&gt;0, J38/I38, "")</f>
        <v/>
      </c>
      <c r="L38" s="61" t="n"/>
      <c r="M38" s="61" t="n"/>
    </row>
    <row r="39" ht="20" customHeight="1">
      <c r="B39" s="60" t="n"/>
      <c r="C39" s="60" t="n"/>
      <c r="D39" s="61" t="n"/>
      <c r="E39" s="61" t="n"/>
      <c r="F39" s="61" t="n"/>
      <c r="G39" s="62" t="n"/>
      <c r="H39" s="62" t="n"/>
      <c r="I39" s="60" t="n"/>
      <c r="J39" s="60" t="n"/>
      <c r="K39" s="63">
        <f>IF(I39&gt;0, J39/I39, "")</f>
        <v/>
      </c>
      <c r="L39" s="61" t="n"/>
      <c r="M39" s="61" t="n"/>
    </row>
    <row r="40" ht="20" customHeight="1">
      <c r="B40" s="60" t="n"/>
      <c r="C40" s="60" t="n"/>
      <c r="D40" s="61" t="n"/>
      <c r="E40" s="61" t="n"/>
      <c r="F40" s="61" t="n"/>
      <c r="G40" s="62" t="n"/>
      <c r="H40" s="62" t="n"/>
      <c r="I40" s="60" t="n"/>
      <c r="J40" s="60" t="n"/>
      <c r="K40" s="63">
        <f>IF(I40&gt;0, J40/I40, "")</f>
        <v/>
      </c>
      <c r="L40" s="61" t="n"/>
      <c r="M40" s="61" t="n"/>
    </row>
    <row r="41" ht="20" customHeight="1">
      <c r="B41" s="60" t="n"/>
      <c r="C41" s="60" t="n"/>
      <c r="D41" s="61" t="n"/>
      <c r="E41" s="61" t="n"/>
      <c r="F41" s="61" t="n"/>
      <c r="G41" s="62" t="n"/>
      <c r="H41" s="62" t="n"/>
      <c r="I41" s="60" t="n"/>
      <c r="J41" s="60" t="n"/>
      <c r="K41" s="63">
        <f>IF(I41&gt;0, J41/I41, "")</f>
        <v/>
      </c>
      <c r="L41" s="61" t="n"/>
      <c r="M41" s="61" t="n"/>
    </row>
    <row r="42" ht="20" customHeight="1">
      <c r="B42" s="60" t="n"/>
      <c r="C42" s="60" t="n"/>
      <c r="D42" s="61" t="n"/>
      <c r="E42" s="61" t="n"/>
      <c r="F42" s="61" t="n"/>
      <c r="G42" s="62" t="n"/>
      <c r="H42" s="62" t="n"/>
      <c r="I42" s="60" t="n"/>
      <c r="J42" s="60" t="n"/>
      <c r="K42" s="63">
        <f>IF(I42&gt;0, J42/I42, "")</f>
        <v/>
      </c>
      <c r="L42" s="61" t="n"/>
      <c r="M42" s="61" t="n"/>
    </row>
    <row r="43" ht="20" customHeight="1">
      <c r="B43" s="60" t="n"/>
      <c r="C43" s="60" t="n"/>
      <c r="D43" s="61" t="n"/>
      <c r="E43" s="61" t="n"/>
      <c r="F43" s="61" t="n"/>
      <c r="G43" s="62" t="n"/>
      <c r="H43" s="62" t="n"/>
      <c r="I43" s="60" t="n"/>
      <c r="J43" s="60" t="n"/>
      <c r="K43" s="63">
        <f>IF(I43&gt;0, J43/I43, "")</f>
        <v/>
      </c>
      <c r="L43" s="61" t="n"/>
      <c r="M43" s="61" t="n"/>
    </row>
    <row r="44" ht="20" customHeight="1">
      <c r="B44" s="60" t="n"/>
      <c r="C44" s="60" t="n"/>
      <c r="D44" s="61" t="n"/>
      <c r="E44" s="61" t="n"/>
      <c r="F44" s="61" t="n"/>
      <c r="G44" s="62" t="n"/>
      <c r="H44" s="62" t="n"/>
      <c r="I44" s="60" t="n"/>
      <c r="J44" s="60" t="n"/>
      <c r="K44" s="63">
        <f>IF(I44&gt;0, J44/I44, "")</f>
        <v/>
      </c>
      <c r="L44" s="61" t="n"/>
      <c r="M44" s="61" t="n"/>
    </row>
    <row r="45" ht="20" customHeight="1">
      <c r="B45" s="60" t="n"/>
      <c r="C45" s="60" t="n"/>
      <c r="D45" s="61" t="n"/>
      <c r="E45" s="61" t="n"/>
      <c r="F45" s="61" t="n"/>
      <c r="G45" s="62" t="n"/>
      <c r="H45" s="62" t="n"/>
      <c r="I45" s="60" t="n"/>
      <c r="J45" s="60" t="n"/>
      <c r="K45" s="63">
        <f>IF(I45&gt;0, J45/I45, "")</f>
        <v/>
      </c>
      <c r="L45" s="61" t="n"/>
      <c r="M45" s="61" t="n"/>
    </row>
    <row r="46" ht="20" customHeight="1">
      <c r="B46" s="60" t="n"/>
      <c r="C46" s="60" t="n"/>
      <c r="D46" s="61" t="n"/>
      <c r="E46" s="61" t="n"/>
      <c r="F46" s="61" t="n"/>
      <c r="G46" s="62" t="n"/>
      <c r="H46" s="62" t="n"/>
      <c r="I46" s="60" t="n"/>
      <c r="J46" s="60" t="n"/>
      <c r="K46" s="63">
        <f>IF(I46&gt;0, J46/I46, "")</f>
        <v/>
      </c>
      <c r="L46" s="61" t="n"/>
      <c r="M46" s="61" t="n"/>
    </row>
    <row r="47" ht="20" customHeight="1">
      <c r="B47" s="60" t="n"/>
      <c r="C47" s="60" t="n"/>
      <c r="D47" s="61" t="n"/>
      <c r="E47" s="61" t="n"/>
      <c r="F47" s="61" t="n"/>
      <c r="G47" s="62" t="n"/>
      <c r="H47" s="62" t="n"/>
      <c r="I47" s="60" t="n"/>
      <c r="J47" s="60" t="n"/>
      <c r="K47" s="63">
        <f>IF(I47&gt;0, J47/I47, "")</f>
        <v/>
      </c>
      <c r="L47" s="61" t="n"/>
      <c r="M47" s="61" t="n"/>
    </row>
    <row r="48" ht="20" customHeight="1">
      <c r="B48" s="60" t="n"/>
      <c r="C48" s="60" t="n"/>
      <c r="D48" s="61" t="n"/>
      <c r="E48" s="61" t="n"/>
      <c r="F48" s="61" t="n"/>
      <c r="G48" s="62" t="n"/>
      <c r="H48" s="62" t="n"/>
      <c r="I48" s="60" t="n"/>
      <c r="J48" s="60" t="n"/>
      <c r="K48" s="63">
        <f>IF(I48&gt;0, J48/I48, "")</f>
        <v/>
      </c>
      <c r="L48" s="61" t="n"/>
      <c r="M48" s="61" t="n"/>
    </row>
    <row r="49" ht="20" customHeight="1">
      <c r="B49" s="60" t="n"/>
      <c r="C49" s="60" t="n"/>
      <c r="D49" s="61" t="n"/>
      <c r="E49" s="61" t="n"/>
      <c r="F49" s="61" t="n"/>
      <c r="G49" s="62" t="n"/>
      <c r="H49" s="62" t="n"/>
      <c r="I49" s="60" t="n"/>
      <c r="J49" s="60" t="n"/>
      <c r="K49" s="63">
        <f>IF(I49&gt;0, J49/I49, "")</f>
        <v/>
      </c>
      <c r="L49" s="61" t="n"/>
      <c r="M49" s="61" t="n"/>
    </row>
    <row r="50" ht="20" customHeight="1">
      <c r="B50" s="60" t="n"/>
      <c r="C50" s="60" t="n"/>
      <c r="D50" s="61" t="n"/>
      <c r="E50" s="61" t="n"/>
      <c r="F50" s="61" t="n"/>
      <c r="G50" s="62" t="n"/>
      <c r="H50" s="62" t="n"/>
      <c r="I50" s="60" t="n"/>
      <c r="J50" s="60" t="n"/>
      <c r="K50" s="63">
        <f>IF(I50&gt;0, J50/I50, "")</f>
        <v/>
      </c>
      <c r="L50" s="61" t="n"/>
      <c r="M50" s="61" t="n"/>
    </row>
    <row r="51" ht="20" customHeight="1">
      <c r="B51" s="60" t="n"/>
      <c r="C51" s="60" t="n"/>
      <c r="D51" s="61" t="n"/>
      <c r="E51" s="61" t="n"/>
      <c r="F51" s="61" t="n"/>
      <c r="G51" s="62" t="n"/>
      <c r="H51" s="62" t="n"/>
      <c r="I51" s="60" t="n"/>
      <c r="J51" s="60" t="n"/>
      <c r="K51" s="63">
        <f>IF(I51&gt;0, J51/I51, "")</f>
        <v/>
      </c>
      <c r="L51" s="61" t="n"/>
      <c r="M51" s="61" t="n"/>
    </row>
    <row r="52" ht="20" customHeight="1">
      <c r="B52" s="60" t="n"/>
      <c r="C52" s="60" t="n"/>
      <c r="D52" s="61" t="n"/>
      <c r="E52" s="61" t="n"/>
      <c r="F52" s="61" t="n"/>
      <c r="G52" s="62" t="n"/>
      <c r="H52" s="62" t="n"/>
      <c r="I52" s="60" t="n"/>
      <c r="J52" s="60" t="n"/>
      <c r="K52" s="63">
        <f>IF(I52&gt;0, J52/I52, "")</f>
        <v/>
      </c>
      <c r="L52" s="61" t="n"/>
      <c r="M52" s="61" t="n"/>
    </row>
    <row r="53" ht="20" customHeight="1">
      <c r="B53" s="60" t="n"/>
      <c r="C53" s="60" t="n"/>
      <c r="D53" s="61" t="n"/>
      <c r="E53" s="61" t="n"/>
      <c r="F53" s="61" t="n"/>
      <c r="G53" s="62" t="n"/>
      <c r="H53" s="62" t="n"/>
      <c r="I53" s="60" t="n"/>
      <c r="J53" s="60" t="n"/>
      <c r="K53" s="63">
        <f>IF(I53&gt;0, J53/I53, "")</f>
        <v/>
      </c>
      <c r="L53" s="61" t="n"/>
      <c r="M53" s="61" t="n"/>
    </row>
    <row r="54" ht="20" customHeight="1">
      <c r="B54" s="60" t="n"/>
      <c r="C54" s="60" t="n"/>
      <c r="D54" s="61" t="n"/>
      <c r="E54" s="61" t="n"/>
      <c r="F54" s="61" t="n"/>
      <c r="G54" s="62" t="n"/>
      <c r="H54" s="62" t="n"/>
      <c r="I54" s="60" t="n"/>
      <c r="J54" s="60" t="n"/>
      <c r="K54" s="63">
        <f>IF(I54&gt;0, J54/I54, "")</f>
        <v/>
      </c>
      <c r="L54" s="61" t="n"/>
      <c r="M54" s="61" t="n"/>
    </row>
    <row r="55" ht="20" customHeight="1">
      <c r="B55" s="60" t="n"/>
      <c r="C55" s="60" t="n"/>
      <c r="D55" s="61" t="n"/>
      <c r="E55" s="61" t="n"/>
      <c r="F55" s="61" t="n"/>
      <c r="G55" s="62" t="n"/>
      <c r="H55" s="62" t="n"/>
      <c r="I55" s="60" t="n"/>
      <c r="J55" s="60" t="n"/>
      <c r="K55" s="63">
        <f>IF(I55&gt;0, J55/I55, "")</f>
        <v/>
      </c>
      <c r="L55" s="61" t="n"/>
      <c r="M55" s="61" t="n"/>
    </row>
    <row r="56" ht="20" customHeight="1">
      <c r="B56" s="60" t="n"/>
      <c r="C56" s="60" t="n"/>
      <c r="D56" s="61" t="n"/>
      <c r="E56" s="61" t="n"/>
      <c r="F56" s="61" t="n"/>
      <c r="G56" s="62" t="n"/>
      <c r="H56" s="62" t="n"/>
      <c r="I56" s="60" t="n"/>
      <c r="J56" s="60" t="n"/>
      <c r="K56" s="63">
        <f>IF(I56&gt;0, J56/I56, "")</f>
        <v/>
      </c>
      <c r="L56" s="61" t="n"/>
      <c r="M56" s="61" t="n"/>
    </row>
    <row r="57" ht="20" customHeight="1">
      <c r="B57" s="60" t="n"/>
      <c r="C57" s="60" t="n"/>
      <c r="D57" s="61" t="n"/>
      <c r="E57" s="61" t="n"/>
      <c r="F57" s="61" t="n"/>
      <c r="G57" s="62" t="n"/>
      <c r="H57" s="62" t="n"/>
      <c r="I57" s="60" t="n"/>
      <c r="J57" s="60" t="n"/>
      <c r="K57" s="63">
        <f>IF(I57&gt;0, J57/I57, "")</f>
        <v/>
      </c>
      <c r="L57" s="61" t="n"/>
      <c r="M57" s="61" t="n"/>
    </row>
    <row r="58" ht="20" customHeight="1">
      <c r="B58" s="60" t="n"/>
      <c r="C58" s="60" t="n"/>
      <c r="D58" s="61" t="n"/>
      <c r="E58" s="61" t="n"/>
      <c r="F58" s="61" t="n"/>
      <c r="G58" s="62" t="n"/>
      <c r="H58" s="62" t="n"/>
      <c r="I58" s="60" t="n"/>
      <c r="J58" s="60" t="n"/>
      <c r="K58" s="63">
        <f>IF(I58&gt;0, J58/I58, "")</f>
        <v/>
      </c>
      <c r="L58" s="61" t="n"/>
      <c r="M58" s="61" t="n"/>
    </row>
    <row r="59" ht="20" customHeight="1">
      <c r="B59" s="60" t="n"/>
      <c r="C59" s="60" t="n"/>
      <c r="D59" s="61" t="n"/>
      <c r="E59" s="61" t="n"/>
      <c r="F59" s="61" t="n"/>
      <c r="G59" s="62" t="n"/>
      <c r="H59" s="62" t="n"/>
      <c r="I59" s="60" t="n"/>
      <c r="J59" s="60" t="n"/>
      <c r="K59" s="63">
        <f>IF(I59&gt;0, J59/I59, "")</f>
        <v/>
      </c>
      <c r="L59" s="61" t="n"/>
      <c r="M59" s="61" t="n"/>
    </row>
    <row r="60" ht="20" customHeight="1">
      <c r="B60" s="60" t="n"/>
      <c r="C60" s="60" t="n"/>
      <c r="D60" s="61" t="n"/>
      <c r="E60" s="61" t="n"/>
      <c r="F60" s="61" t="n"/>
      <c r="G60" s="62" t="n"/>
      <c r="H60" s="62" t="n"/>
      <c r="I60" s="60" t="n"/>
      <c r="J60" s="60" t="n"/>
      <c r="K60" s="63">
        <f>IF(I60&gt;0, J60/I60, "")</f>
        <v/>
      </c>
      <c r="L60" s="61" t="n"/>
      <c r="M60" s="6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M6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16" customWidth="1" min="4" max="4"/>
    <col width="35" customWidth="1" min="5" max="5"/>
    <col width="25" customWidth="1" min="6" max="6"/>
    <col width="10" customWidth="1" min="7" max="7"/>
    <col width="16" customWidth="1" min="8" max="8"/>
    <col width="14" customWidth="1" min="9" max="9"/>
    <col width="16" customWidth="1" min="10" max="10"/>
    <col width="12" customWidth="1" min="11" max="11"/>
    <col width="24" customWidth="1" min="12" max="12"/>
    <col width="24" customWidth="1" min="13" max="13"/>
  </cols>
  <sheetData>
    <row r="2" ht="28" customHeight="1">
      <c r="B2" s="59" t="inlineStr">
        <is>
          <t>S.No</t>
        </is>
      </c>
      <c r="C2" s="59" t="inlineStr">
        <is>
          <t>Date</t>
        </is>
      </c>
      <c r="D2" s="59" t="inlineStr">
        <is>
          <t>Task worker</t>
        </is>
      </c>
      <c r="E2" s="59" t="inlineStr">
        <is>
          <t>Task</t>
        </is>
      </c>
      <c r="F2" s="59" t="inlineStr">
        <is>
          <t>Assets/Units/ISOs/PIDs</t>
        </is>
      </c>
      <c r="G2" s="59" t="inlineStr">
        <is>
          <t>Hrs/day</t>
        </is>
      </c>
      <c r="H2" s="59" t="inlineStr">
        <is>
          <t>metric/task in hrs</t>
        </is>
      </c>
      <c r="I2" s="59" t="inlineStr">
        <is>
          <t>count per day</t>
        </is>
      </c>
      <c r="J2" s="59" t="inlineStr">
        <is>
          <t>achieved on the day</t>
        </is>
      </c>
      <c r="K2" s="59" t="inlineStr">
        <is>
          <t>Efficiency</t>
        </is>
      </c>
      <c r="L2" s="59" t="inlineStr">
        <is>
          <t>Road blocks</t>
        </is>
      </c>
      <c r="M2" s="59" t="inlineStr">
        <is>
          <t>Notes</t>
        </is>
      </c>
    </row>
    <row r="3" ht="20" customHeight="1">
      <c r="B3" s="60" t="n"/>
      <c r="C3" s="60" t="n"/>
      <c r="D3" s="61" t="n"/>
      <c r="E3" s="61" t="n"/>
      <c r="F3" s="61" t="n"/>
      <c r="G3" s="62" t="n"/>
      <c r="H3" s="62" t="n"/>
      <c r="I3" s="60" t="n"/>
      <c r="J3" s="60" t="n"/>
      <c r="K3" s="63">
        <f>IF(I3&gt;0, J3/I3, "")</f>
        <v/>
      </c>
      <c r="L3" s="61" t="n"/>
      <c r="M3" s="61" t="n"/>
    </row>
    <row r="4" ht="20" customHeight="1">
      <c r="B4" s="60" t="n"/>
      <c r="C4" s="60" t="n"/>
      <c r="D4" s="61" t="n"/>
      <c r="E4" s="61" t="n"/>
      <c r="F4" s="61" t="n"/>
      <c r="G4" s="62" t="n"/>
      <c r="H4" s="62" t="n"/>
      <c r="I4" s="60" t="n"/>
      <c r="J4" s="60" t="n"/>
      <c r="K4" s="63">
        <f>IF(I4&gt;0, J4/I4, "")</f>
        <v/>
      </c>
      <c r="L4" s="61" t="n"/>
      <c r="M4" s="61" t="n"/>
    </row>
    <row r="5" ht="20" customHeight="1">
      <c r="B5" s="60" t="n"/>
      <c r="C5" s="60" t="n"/>
      <c r="D5" s="61" t="n"/>
      <c r="E5" s="61" t="n"/>
      <c r="F5" s="61" t="n"/>
      <c r="G5" s="62" t="n"/>
      <c r="H5" s="62" t="n"/>
      <c r="I5" s="60" t="n"/>
      <c r="J5" s="60" t="n"/>
      <c r="K5" s="63">
        <f>IF(I5&gt;0, J5/I5, "")</f>
        <v/>
      </c>
      <c r="L5" s="61" t="n"/>
      <c r="M5" s="61" t="n"/>
    </row>
    <row r="6" ht="20" customHeight="1">
      <c r="B6" s="60" t="n"/>
      <c r="C6" s="60" t="n"/>
      <c r="D6" s="61" t="n"/>
      <c r="E6" s="61" t="n"/>
      <c r="F6" s="61" t="n"/>
      <c r="G6" s="62" t="n"/>
      <c r="H6" s="62" t="n"/>
      <c r="I6" s="60" t="n"/>
      <c r="J6" s="60" t="n"/>
      <c r="K6" s="63">
        <f>IF(I6&gt;0, J6/I6, "")</f>
        <v/>
      </c>
      <c r="L6" s="61" t="n"/>
      <c r="M6" s="61" t="n"/>
    </row>
    <row r="7" ht="20" customHeight="1">
      <c r="B7" s="60" t="n"/>
      <c r="C7" s="60" t="n"/>
      <c r="D7" s="61" t="n"/>
      <c r="E7" s="61" t="n"/>
      <c r="F7" s="61" t="n"/>
      <c r="G7" s="62" t="n"/>
      <c r="H7" s="62" t="n"/>
      <c r="I7" s="60" t="n"/>
      <c r="J7" s="60" t="n"/>
      <c r="K7" s="63">
        <f>IF(I7&gt;0, J7/I7, "")</f>
        <v/>
      </c>
      <c r="L7" s="61" t="n"/>
      <c r="M7" s="61" t="n"/>
    </row>
    <row r="8" ht="20" customHeight="1">
      <c r="B8" s="60" t="n"/>
      <c r="C8" s="60" t="n"/>
      <c r="D8" s="61" t="n"/>
      <c r="E8" s="61" t="n"/>
      <c r="F8" s="61" t="n"/>
      <c r="G8" s="62" t="n"/>
      <c r="H8" s="62" t="n"/>
      <c r="I8" s="60" t="n"/>
      <c r="J8" s="60" t="n"/>
      <c r="K8" s="63">
        <f>IF(I8&gt;0, J8/I8, "")</f>
        <v/>
      </c>
      <c r="L8" s="61" t="n"/>
      <c r="M8" s="61" t="n"/>
    </row>
    <row r="9" ht="20" customHeight="1">
      <c r="B9" s="60" t="n"/>
      <c r="C9" s="60" t="n"/>
      <c r="D9" s="61" t="n"/>
      <c r="E9" s="61" t="n"/>
      <c r="F9" s="61" t="n"/>
      <c r="G9" s="62" t="n"/>
      <c r="H9" s="62" t="n"/>
      <c r="I9" s="60" t="n"/>
      <c r="J9" s="60" t="n"/>
      <c r="K9" s="63">
        <f>IF(I9&gt;0, J9/I9, "")</f>
        <v/>
      </c>
      <c r="L9" s="61" t="n"/>
      <c r="M9" s="61" t="n"/>
    </row>
    <row r="10" ht="20" customHeight="1">
      <c r="B10" s="60" t="n"/>
      <c r="C10" s="60" t="n"/>
      <c r="D10" s="61" t="n"/>
      <c r="E10" s="61" t="n"/>
      <c r="F10" s="61" t="n"/>
      <c r="G10" s="62" t="n"/>
      <c r="H10" s="62" t="n"/>
      <c r="I10" s="60" t="n"/>
      <c r="J10" s="60" t="n"/>
      <c r="K10" s="63">
        <f>IF(I10&gt;0, J10/I10, "")</f>
        <v/>
      </c>
      <c r="L10" s="61" t="n"/>
      <c r="M10" s="61" t="n"/>
    </row>
    <row r="11" ht="20" customHeight="1">
      <c r="B11" s="60" t="n"/>
      <c r="C11" s="60" t="n"/>
      <c r="D11" s="61" t="n"/>
      <c r="E11" s="61" t="n"/>
      <c r="F11" s="61" t="n"/>
      <c r="G11" s="62" t="n"/>
      <c r="H11" s="62" t="n"/>
      <c r="I11" s="60" t="n"/>
      <c r="J11" s="60" t="n"/>
      <c r="K11" s="63">
        <f>IF(I11&gt;0, J11/I11, "")</f>
        <v/>
      </c>
      <c r="L11" s="61" t="n"/>
      <c r="M11" s="61" t="n"/>
    </row>
    <row r="12" ht="20" customHeight="1">
      <c r="B12" s="60" t="n"/>
      <c r="C12" s="60" t="n"/>
      <c r="D12" s="61" t="n"/>
      <c r="E12" s="61" t="n"/>
      <c r="F12" s="61" t="n"/>
      <c r="G12" s="62" t="n"/>
      <c r="H12" s="62" t="n"/>
      <c r="I12" s="60" t="n"/>
      <c r="J12" s="60" t="n"/>
      <c r="K12" s="63">
        <f>IF(I12&gt;0, J12/I12, "")</f>
        <v/>
      </c>
      <c r="L12" s="61" t="n"/>
      <c r="M12" s="61" t="n"/>
    </row>
    <row r="13" ht="20" customHeight="1">
      <c r="B13" s="60" t="n"/>
      <c r="C13" s="60" t="n"/>
      <c r="D13" s="61" t="n"/>
      <c r="E13" s="61" t="n"/>
      <c r="F13" s="61" t="n"/>
      <c r="G13" s="62" t="n"/>
      <c r="H13" s="62" t="n"/>
      <c r="I13" s="60" t="n"/>
      <c r="J13" s="60" t="n"/>
      <c r="K13" s="63">
        <f>IF(I13&gt;0, J13/I13, "")</f>
        <v/>
      </c>
      <c r="L13" s="61" t="n"/>
      <c r="M13" s="61" t="n"/>
    </row>
    <row r="14" ht="20" customHeight="1">
      <c r="B14" s="60" t="n"/>
      <c r="C14" s="60" t="n"/>
      <c r="D14" s="61" t="n"/>
      <c r="E14" s="61" t="n"/>
      <c r="F14" s="61" t="n"/>
      <c r="G14" s="62" t="n"/>
      <c r="H14" s="62" t="n"/>
      <c r="I14" s="60" t="n"/>
      <c r="J14" s="60" t="n"/>
      <c r="K14" s="63">
        <f>IF(I14&gt;0, J14/I14, "")</f>
        <v/>
      </c>
      <c r="L14" s="61" t="n"/>
      <c r="M14" s="61" t="n"/>
    </row>
    <row r="15" ht="20" customHeight="1">
      <c r="B15" s="60" t="n"/>
      <c r="C15" s="60" t="n"/>
      <c r="D15" s="61" t="n"/>
      <c r="E15" s="61" t="n"/>
      <c r="F15" s="61" t="n"/>
      <c r="G15" s="62" t="n"/>
      <c r="H15" s="62" t="n"/>
      <c r="I15" s="60" t="n"/>
      <c r="J15" s="60" t="n"/>
      <c r="K15" s="63">
        <f>IF(I15&gt;0, J15/I15, "")</f>
        <v/>
      </c>
      <c r="L15" s="61" t="n"/>
      <c r="M15" s="61" t="n"/>
    </row>
    <row r="16" ht="20" customHeight="1">
      <c r="B16" s="60" t="n"/>
      <c r="C16" s="60" t="n"/>
      <c r="D16" s="61" t="n"/>
      <c r="E16" s="61" t="n"/>
      <c r="F16" s="61" t="n"/>
      <c r="G16" s="62" t="n"/>
      <c r="H16" s="62" t="n"/>
      <c r="I16" s="60" t="n"/>
      <c r="J16" s="60" t="n"/>
      <c r="K16" s="63">
        <f>IF(I16&gt;0, J16/I16, "")</f>
        <v/>
      </c>
      <c r="L16" s="61" t="n"/>
      <c r="M16" s="61" t="n"/>
    </row>
    <row r="17" ht="20" customHeight="1">
      <c r="B17" s="60" t="n"/>
      <c r="C17" s="60" t="n"/>
      <c r="D17" s="61" t="n"/>
      <c r="E17" s="61" t="n"/>
      <c r="F17" s="61" t="n"/>
      <c r="G17" s="62" t="n"/>
      <c r="H17" s="62" t="n"/>
      <c r="I17" s="60" t="n"/>
      <c r="J17" s="60" t="n"/>
      <c r="K17" s="63">
        <f>IF(I17&gt;0, J17/I17, "")</f>
        <v/>
      </c>
      <c r="L17" s="61" t="n"/>
      <c r="M17" s="61" t="n"/>
    </row>
    <row r="18" ht="20" customHeight="1">
      <c r="B18" s="60" t="n"/>
      <c r="C18" s="60" t="n"/>
      <c r="D18" s="61" t="n"/>
      <c r="E18" s="61" t="n"/>
      <c r="F18" s="61" t="n"/>
      <c r="G18" s="62" t="n"/>
      <c r="H18" s="62" t="n"/>
      <c r="I18" s="60" t="n"/>
      <c r="J18" s="60" t="n"/>
      <c r="K18" s="63">
        <f>IF(I18&gt;0, J18/I18, "")</f>
        <v/>
      </c>
      <c r="L18" s="61" t="n"/>
      <c r="M18" s="61" t="n"/>
    </row>
    <row r="19" ht="20" customHeight="1">
      <c r="B19" s="60" t="n"/>
      <c r="C19" s="60" t="n"/>
      <c r="D19" s="61" t="n"/>
      <c r="E19" s="61" t="n"/>
      <c r="F19" s="61" t="n"/>
      <c r="G19" s="62" t="n"/>
      <c r="H19" s="62" t="n"/>
      <c r="I19" s="60" t="n"/>
      <c r="J19" s="60" t="n"/>
      <c r="K19" s="63">
        <f>IF(I19&gt;0, J19/I19, "")</f>
        <v/>
      </c>
      <c r="L19" s="61" t="n"/>
      <c r="M19" s="61" t="n"/>
    </row>
    <row r="20" ht="20" customHeight="1">
      <c r="B20" s="60" t="n"/>
      <c r="C20" s="60" t="n"/>
      <c r="D20" s="61" t="n"/>
      <c r="E20" s="61" t="n"/>
      <c r="F20" s="61" t="n"/>
      <c r="G20" s="62" t="n"/>
      <c r="H20" s="62" t="n"/>
      <c r="I20" s="60" t="n"/>
      <c r="J20" s="60" t="n"/>
      <c r="K20" s="63">
        <f>IF(I20&gt;0, J20/I20, "")</f>
        <v/>
      </c>
      <c r="L20" s="61" t="n"/>
      <c r="M20" s="61" t="n"/>
    </row>
    <row r="21" ht="20" customHeight="1">
      <c r="B21" s="60" t="n"/>
      <c r="C21" s="60" t="n"/>
      <c r="D21" s="61" t="n"/>
      <c r="E21" s="61" t="n"/>
      <c r="F21" s="61" t="n"/>
      <c r="G21" s="62" t="n"/>
      <c r="H21" s="62" t="n"/>
      <c r="I21" s="60" t="n"/>
      <c r="J21" s="60" t="n"/>
      <c r="K21" s="63">
        <f>IF(I21&gt;0, J21/I21, "")</f>
        <v/>
      </c>
      <c r="L21" s="61" t="n"/>
      <c r="M21" s="61" t="n"/>
    </row>
    <row r="22" ht="20" customHeight="1">
      <c r="B22" s="60" t="n"/>
      <c r="C22" s="60" t="n"/>
      <c r="D22" s="61" t="n"/>
      <c r="E22" s="61" t="n"/>
      <c r="F22" s="61" t="n"/>
      <c r="G22" s="62" t="n"/>
      <c r="H22" s="62" t="n"/>
      <c r="I22" s="60" t="n"/>
      <c r="J22" s="60" t="n"/>
      <c r="K22" s="63">
        <f>IF(I22&gt;0, J22/I22, "")</f>
        <v/>
      </c>
      <c r="L22" s="61" t="n"/>
      <c r="M22" s="61" t="n"/>
    </row>
    <row r="23" ht="20" customHeight="1">
      <c r="B23" s="60" t="n"/>
      <c r="C23" s="60" t="n"/>
      <c r="D23" s="61" t="n"/>
      <c r="E23" s="61" t="n"/>
      <c r="F23" s="61" t="n"/>
      <c r="G23" s="62" t="n"/>
      <c r="H23" s="62" t="n"/>
      <c r="I23" s="60" t="n"/>
      <c r="J23" s="60" t="n"/>
      <c r="K23" s="63">
        <f>IF(I23&gt;0, J23/I23, "")</f>
        <v/>
      </c>
      <c r="L23" s="61" t="n"/>
      <c r="M23" s="61" t="n"/>
    </row>
    <row r="24" ht="20" customHeight="1">
      <c r="B24" s="60" t="n"/>
      <c r="C24" s="60" t="n"/>
      <c r="D24" s="61" t="n"/>
      <c r="E24" s="61" t="n"/>
      <c r="F24" s="61" t="n"/>
      <c r="G24" s="62" t="n"/>
      <c r="H24" s="62" t="n"/>
      <c r="I24" s="60" t="n"/>
      <c r="J24" s="60" t="n"/>
      <c r="K24" s="63">
        <f>IF(I24&gt;0, J24/I24, "")</f>
        <v/>
      </c>
      <c r="L24" s="61" t="n"/>
      <c r="M24" s="61" t="n"/>
    </row>
    <row r="25" ht="20" customHeight="1">
      <c r="B25" s="60" t="n"/>
      <c r="C25" s="60" t="n"/>
      <c r="D25" s="61" t="n"/>
      <c r="E25" s="61" t="n"/>
      <c r="F25" s="61" t="n"/>
      <c r="G25" s="62" t="n"/>
      <c r="H25" s="62" t="n"/>
      <c r="I25" s="60" t="n"/>
      <c r="J25" s="60" t="n"/>
      <c r="K25" s="63">
        <f>IF(I25&gt;0, J25/I25, "")</f>
        <v/>
      </c>
      <c r="L25" s="61" t="n"/>
      <c r="M25" s="61" t="n"/>
    </row>
    <row r="26" ht="20" customHeight="1">
      <c r="B26" s="60" t="n"/>
      <c r="C26" s="60" t="n"/>
      <c r="D26" s="61" t="n"/>
      <c r="E26" s="61" t="n"/>
      <c r="F26" s="61" t="n"/>
      <c r="G26" s="62" t="n"/>
      <c r="H26" s="62" t="n"/>
      <c r="I26" s="60" t="n"/>
      <c r="J26" s="60" t="n"/>
      <c r="K26" s="63">
        <f>IF(I26&gt;0, J26/I26, "")</f>
        <v/>
      </c>
      <c r="L26" s="61" t="n"/>
      <c r="M26" s="61" t="n"/>
    </row>
    <row r="27" ht="20" customHeight="1">
      <c r="B27" s="60" t="n"/>
      <c r="C27" s="60" t="n"/>
      <c r="D27" s="61" t="n"/>
      <c r="E27" s="61" t="n"/>
      <c r="F27" s="61" t="n"/>
      <c r="G27" s="62" t="n"/>
      <c r="H27" s="62" t="n"/>
      <c r="I27" s="60" t="n"/>
      <c r="J27" s="60" t="n"/>
      <c r="K27" s="63">
        <f>IF(I27&gt;0, J27/I27, "")</f>
        <v/>
      </c>
      <c r="L27" s="61" t="n"/>
      <c r="M27" s="61" t="n"/>
    </row>
    <row r="28" ht="20" customHeight="1">
      <c r="B28" s="60" t="n"/>
      <c r="C28" s="60" t="n"/>
      <c r="D28" s="61" t="n"/>
      <c r="E28" s="61" t="n"/>
      <c r="F28" s="61" t="n"/>
      <c r="G28" s="62" t="n"/>
      <c r="H28" s="62" t="n"/>
      <c r="I28" s="60" t="n"/>
      <c r="J28" s="60" t="n"/>
      <c r="K28" s="63">
        <f>IF(I28&gt;0, J28/I28, "")</f>
        <v/>
      </c>
      <c r="L28" s="61" t="n"/>
      <c r="M28" s="61" t="n"/>
    </row>
    <row r="29" ht="20" customHeight="1">
      <c r="B29" s="60" t="n"/>
      <c r="C29" s="60" t="n"/>
      <c r="D29" s="61" t="n"/>
      <c r="E29" s="61" t="n"/>
      <c r="F29" s="61" t="n"/>
      <c r="G29" s="62" t="n"/>
      <c r="H29" s="62" t="n"/>
      <c r="I29" s="60" t="n"/>
      <c r="J29" s="60" t="n"/>
      <c r="K29" s="63">
        <f>IF(I29&gt;0, J29/I29, "")</f>
        <v/>
      </c>
      <c r="L29" s="61" t="n"/>
      <c r="M29" s="61" t="n"/>
    </row>
    <row r="30" ht="20" customHeight="1">
      <c r="B30" s="60" t="n"/>
      <c r="C30" s="60" t="n"/>
      <c r="D30" s="61" t="n"/>
      <c r="E30" s="61" t="n"/>
      <c r="F30" s="61" t="n"/>
      <c r="G30" s="62" t="n"/>
      <c r="H30" s="62" t="n"/>
      <c r="I30" s="60" t="n"/>
      <c r="J30" s="60" t="n"/>
      <c r="K30" s="63">
        <f>IF(I30&gt;0, J30/I30, "")</f>
        <v/>
      </c>
      <c r="L30" s="61" t="n"/>
      <c r="M30" s="61" t="n"/>
    </row>
    <row r="31" ht="20" customHeight="1">
      <c r="B31" s="60" t="n"/>
      <c r="C31" s="60" t="n"/>
      <c r="D31" s="61" t="n"/>
      <c r="E31" s="61" t="n"/>
      <c r="F31" s="61" t="n"/>
      <c r="G31" s="62" t="n"/>
      <c r="H31" s="62" t="n"/>
      <c r="I31" s="60" t="n"/>
      <c r="J31" s="60" t="n"/>
      <c r="K31" s="63">
        <f>IF(I31&gt;0, J31/I31, "")</f>
        <v/>
      </c>
      <c r="L31" s="61" t="n"/>
      <c r="M31" s="61" t="n"/>
    </row>
    <row r="32" ht="20" customHeight="1">
      <c r="B32" s="60" t="n"/>
      <c r="C32" s="60" t="n"/>
      <c r="D32" s="61" t="n"/>
      <c r="E32" s="61" t="n"/>
      <c r="F32" s="61" t="n"/>
      <c r="G32" s="62" t="n"/>
      <c r="H32" s="62" t="n"/>
      <c r="I32" s="60" t="n"/>
      <c r="J32" s="60" t="n"/>
      <c r="K32" s="63">
        <f>IF(I32&gt;0, J32/I32, "")</f>
        <v/>
      </c>
      <c r="L32" s="61" t="n"/>
      <c r="M32" s="61" t="n"/>
    </row>
    <row r="33" ht="20" customHeight="1">
      <c r="B33" s="60" t="n"/>
      <c r="C33" s="60" t="n"/>
      <c r="D33" s="61" t="n"/>
      <c r="E33" s="61" t="n"/>
      <c r="F33" s="61" t="n"/>
      <c r="G33" s="62" t="n"/>
      <c r="H33" s="62" t="n"/>
      <c r="I33" s="60" t="n"/>
      <c r="J33" s="60" t="n"/>
      <c r="K33" s="63">
        <f>IF(I33&gt;0, J33/I33, "")</f>
        <v/>
      </c>
      <c r="L33" s="61" t="n"/>
      <c r="M33" s="61" t="n"/>
    </row>
    <row r="34" ht="20" customHeight="1">
      <c r="B34" s="60" t="n"/>
      <c r="C34" s="60" t="n"/>
      <c r="D34" s="61" t="n"/>
      <c r="E34" s="61" t="n"/>
      <c r="F34" s="61" t="n"/>
      <c r="G34" s="62" t="n"/>
      <c r="H34" s="62" t="n"/>
      <c r="I34" s="60" t="n"/>
      <c r="J34" s="60" t="n"/>
      <c r="K34" s="63">
        <f>IF(I34&gt;0, J34/I34, "")</f>
        <v/>
      </c>
      <c r="L34" s="61" t="n"/>
      <c r="M34" s="61" t="n"/>
    </row>
    <row r="35" ht="20" customHeight="1">
      <c r="B35" s="60" t="n"/>
      <c r="C35" s="60" t="n"/>
      <c r="D35" s="61" t="n"/>
      <c r="E35" s="61" t="n"/>
      <c r="F35" s="61" t="n"/>
      <c r="G35" s="62" t="n"/>
      <c r="H35" s="62" t="n"/>
      <c r="I35" s="60" t="n"/>
      <c r="J35" s="60" t="n"/>
      <c r="K35" s="63">
        <f>IF(I35&gt;0, J35/I35, "")</f>
        <v/>
      </c>
      <c r="L35" s="61" t="n"/>
      <c r="M35" s="61" t="n"/>
    </row>
    <row r="36" ht="20" customHeight="1">
      <c r="B36" s="60" t="n"/>
      <c r="C36" s="60" t="n"/>
      <c r="D36" s="61" t="n"/>
      <c r="E36" s="61" t="n"/>
      <c r="F36" s="61" t="n"/>
      <c r="G36" s="62" t="n"/>
      <c r="H36" s="62" t="n"/>
      <c r="I36" s="60" t="n"/>
      <c r="J36" s="60" t="n"/>
      <c r="K36" s="63">
        <f>IF(I36&gt;0, J36/I36, "")</f>
        <v/>
      </c>
      <c r="L36" s="61" t="n"/>
      <c r="M36" s="61" t="n"/>
    </row>
    <row r="37" ht="20" customHeight="1">
      <c r="B37" s="60" t="n"/>
      <c r="C37" s="60" t="n"/>
      <c r="D37" s="61" t="n"/>
      <c r="E37" s="61" t="n"/>
      <c r="F37" s="61" t="n"/>
      <c r="G37" s="62" t="n"/>
      <c r="H37" s="62" t="n"/>
      <c r="I37" s="60" t="n"/>
      <c r="J37" s="60" t="n"/>
      <c r="K37" s="63">
        <f>IF(I37&gt;0, J37/I37, "")</f>
        <v/>
      </c>
      <c r="L37" s="61" t="n"/>
      <c r="M37" s="61" t="n"/>
    </row>
    <row r="38" ht="20" customHeight="1">
      <c r="B38" s="60" t="n"/>
      <c r="C38" s="60" t="n"/>
      <c r="D38" s="61" t="n"/>
      <c r="E38" s="61" t="n"/>
      <c r="F38" s="61" t="n"/>
      <c r="G38" s="62" t="n"/>
      <c r="H38" s="62" t="n"/>
      <c r="I38" s="60" t="n"/>
      <c r="J38" s="60" t="n"/>
      <c r="K38" s="63">
        <f>IF(I38&gt;0, J38/I38, "")</f>
        <v/>
      </c>
      <c r="L38" s="61" t="n"/>
      <c r="M38" s="61" t="n"/>
    </row>
    <row r="39" ht="20" customHeight="1">
      <c r="B39" s="60" t="n"/>
      <c r="C39" s="60" t="n"/>
      <c r="D39" s="61" t="n"/>
      <c r="E39" s="61" t="n"/>
      <c r="F39" s="61" t="n"/>
      <c r="G39" s="62" t="n"/>
      <c r="H39" s="62" t="n"/>
      <c r="I39" s="60" t="n"/>
      <c r="J39" s="60" t="n"/>
      <c r="K39" s="63">
        <f>IF(I39&gt;0, J39/I39, "")</f>
        <v/>
      </c>
      <c r="L39" s="61" t="n"/>
      <c r="M39" s="61" t="n"/>
    </row>
    <row r="40" ht="20" customHeight="1">
      <c r="B40" s="60" t="n"/>
      <c r="C40" s="60" t="n"/>
      <c r="D40" s="61" t="n"/>
      <c r="E40" s="61" t="n"/>
      <c r="F40" s="61" t="n"/>
      <c r="G40" s="62" t="n"/>
      <c r="H40" s="62" t="n"/>
      <c r="I40" s="60" t="n"/>
      <c r="J40" s="60" t="n"/>
      <c r="K40" s="63">
        <f>IF(I40&gt;0, J40/I40, "")</f>
        <v/>
      </c>
      <c r="L40" s="61" t="n"/>
      <c r="M40" s="61" t="n"/>
    </row>
    <row r="41" ht="20" customHeight="1">
      <c r="B41" s="60" t="n"/>
      <c r="C41" s="60" t="n"/>
      <c r="D41" s="61" t="n"/>
      <c r="E41" s="61" t="n"/>
      <c r="F41" s="61" t="n"/>
      <c r="G41" s="62" t="n"/>
      <c r="H41" s="62" t="n"/>
      <c r="I41" s="60" t="n"/>
      <c r="J41" s="60" t="n"/>
      <c r="K41" s="63">
        <f>IF(I41&gt;0, J41/I41, "")</f>
        <v/>
      </c>
      <c r="L41" s="61" t="n"/>
      <c r="M41" s="61" t="n"/>
    </row>
    <row r="42" ht="20" customHeight="1">
      <c r="B42" s="60" t="n"/>
      <c r="C42" s="60" t="n"/>
      <c r="D42" s="61" t="n"/>
      <c r="E42" s="61" t="n"/>
      <c r="F42" s="61" t="n"/>
      <c r="G42" s="62" t="n"/>
      <c r="H42" s="62" t="n"/>
      <c r="I42" s="60" t="n"/>
      <c r="J42" s="60" t="n"/>
      <c r="K42" s="63">
        <f>IF(I42&gt;0, J42/I42, "")</f>
        <v/>
      </c>
      <c r="L42" s="61" t="n"/>
      <c r="M42" s="61" t="n"/>
    </row>
    <row r="43" ht="20" customHeight="1">
      <c r="B43" s="60" t="n"/>
      <c r="C43" s="60" t="n"/>
      <c r="D43" s="61" t="n"/>
      <c r="E43" s="61" t="n"/>
      <c r="F43" s="61" t="n"/>
      <c r="G43" s="62" t="n"/>
      <c r="H43" s="62" t="n"/>
      <c r="I43" s="60" t="n"/>
      <c r="J43" s="60" t="n"/>
      <c r="K43" s="63">
        <f>IF(I43&gt;0, J43/I43, "")</f>
        <v/>
      </c>
      <c r="L43" s="61" t="n"/>
      <c r="M43" s="61" t="n"/>
    </row>
    <row r="44" ht="20" customHeight="1">
      <c r="B44" s="60" t="n"/>
      <c r="C44" s="60" t="n"/>
      <c r="D44" s="61" t="n"/>
      <c r="E44" s="61" t="n"/>
      <c r="F44" s="61" t="n"/>
      <c r="G44" s="62" t="n"/>
      <c r="H44" s="62" t="n"/>
      <c r="I44" s="60" t="n"/>
      <c r="J44" s="60" t="n"/>
      <c r="K44" s="63">
        <f>IF(I44&gt;0, J44/I44, "")</f>
        <v/>
      </c>
      <c r="L44" s="61" t="n"/>
      <c r="M44" s="61" t="n"/>
    </row>
    <row r="45" ht="20" customHeight="1">
      <c r="B45" s="60" t="n"/>
      <c r="C45" s="60" t="n"/>
      <c r="D45" s="61" t="n"/>
      <c r="E45" s="61" t="n"/>
      <c r="F45" s="61" t="n"/>
      <c r="G45" s="62" t="n"/>
      <c r="H45" s="62" t="n"/>
      <c r="I45" s="60" t="n"/>
      <c r="J45" s="60" t="n"/>
      <c r="K45" s="63">
        <f>IF(I45&gt;0, J45/I45, "")</f>
        <v/>
      </c>
      <c r="L45" s="61" t="n"/>
      <c r="M45" s="61" t="n"/>
    </row>
    <row r="46" ht="20" customHeight="1">
      <c r="B46" s="60" t="n"/>
      <c r="C46" s="60" t="n"/>
      <c r="D46" s="61" t="n"/>
      <c r="E46" s="61" t="n"/>
      <c r="F46" s="61" t="n"/>
      <c r="G46" s="62" t="n"/>
      <c r="H46" s="62" t="n"/>
      <c r="I46" s="60" t="n"/>
      <c r="J46" s="60" t="n"/>
      <c r="K46" s="63">
        <f>IF(I46&gt;0, J46/I46, "")</f>
        <v/>
      </c>
      <c r="L46" s="61" t="n"/>
      <c r="M46" s="61" t="n"/>
    </row>
    <row r="47" ht="20" customHeight="1">
      <c r="B47" s="60" t="n"/>
      <c r="C47" s="60" t="n"/>
      <c r="D47" s="61" t="n"/>
      <c r="E47" s="61" t="n"/>
      <c r="F47" s="61" t="n"/>
      <c r="G47" s="62" t="n"/>
      <c r="H47" s="62" t="n"/>
      <c r="I47" s="60" t="n"/>
      <c r="J47" s="60" t="n"/>
      <c r="K47" s="63">
        <f>IF(I47&gt;0, J47/I47, "")</f>
        <v/>
      </c>
      <c r="L47" s="61" t="n"/>
      <c r="M47" s="61" t="n"/>
    </row>
    <row r="48" ht="20" customHeight="1">
      <c r="B48" s="60" t="n"/>
      <c r="C48" s="60" t="n"/>
      <c r="D48" s="61" t="n"/>
      <c r="E48" s="61" t="n"/>
      <c r="F48" s="61" t="n"/>
      <c r="G48" s="62" t="n"/>
      <c r="H48" s="62" t="n"/>
      <c r="I48" s="60" t="n"/>
      <c r="J48" s="60" t="n"/>
      <c r="K48" s="63">
        <f>IF(I48&gt;0, J48/I48, "")</f>
        <v/>
      </c>
      <c r="L48" s="61" t="n"/>
      <c r="M48" s="61" t="n"/>
    </row>
    <row r="49" ht="20" customHeight="1">
      <c r="B49" s="60" t="n"/>
      <c r="C49" s="60" t="n"/>
      <c r="D49" s="61" t="n"/>
      <c r="E49" s="61" t="n"/>
      <c r="F49" s="61" t="n"/>
      <c r="G49" s="62" t="n"/>
      <c r="H49" s="62" t="n"/>
      <c r="I49" s="60" t="n"/>
      <c r="J49" s="60" t="n"/>
      <c r="K49" s="63">
        <f>IF(I49&gt;0, J49/I49, "")</f>
        <v/>
      </c>
      <c r="L49" s="61" t="n"/>
      <c r="M49" s="61" t="n"/>
    </row>
    <row r="50" ht="20" customHeight="1">
      <c r="B50" s="60" t="n"/>
      <c r="C50" s="60" t="n"/>
      <c r="D50" s="61" t="n"/>
      <c r="E50" s="61" t="n"/>
      <c r="F50" s="61" t="n"/>
      <c r="G50" s="62" t="n"/>
      <c r="H50" s="62" t="n"/>
      <c r="I50" s="60" t="n"/>
      <c r="J50" s="60" t="n"/>
      <c r="K50" s="63">
        <f>IF(I50&gt;0, J50/I50, "")</f>
        <v/>
      </c>
      <c r="L50" s="61" t="n"/>
      <c r="M50" s="61" t="n"/>
    </row>
    <row r="51" ht="20" customHeight="1">
      <c r="B51" s="60" t="n"/>
      <c r="C51" s="60" t="n"/>
      <c r="D51" s="61" t="n"/>
      <c r="E51" s="61" t="n"/>
      <c r="F51" s="61" t="n"/>
      <c r="G51" s="62" t="n"/>
      <c r="H51" s="62" t="n"/>
      <c r="I51" s="60" t="n"/>
      <c r="J51" s="60" t="n"/>
      <c r="K51" s="63">
        <f>IF(I51&gt;0, J51/I51, "")</f>
        <v/>
      </c>
      <c r="L51" s="61" t="n"/>
      <c r="M51" s="61" t="n"/>
    </row>
    <row r="52" ht="20" customHeight="1">
      <c r="B52" s="60" t="n"/>
      <c r="C52" s="60" t="n"/>
      <c r="D52" s="61" t="n"/>
      <c r="E52" s="61" t="n"/>
      <c r="F52" s="61" t="n"/>
      <c r="G52" s="62" t="n"/>
      <c r="H52" s="62" t="n"/>
      <c r="I52" s="60" t="n"/>
      <c r="J52" s="60" t="n"/>
      <c r="K52" s="63">
        <f>IF(I52&gt;0, J52/I52, "")</f>
        <v/>
      </c>
      <c r="L52" s="61" t="n"/>
      <c r="M52" s="61" t="n"/>
    </row>
    <row r="53" ht="20" customHeight="1">
      <c r="B53" s="60" t="n"/>
      <c r="C53" s="60" t="n"/>
      <c r="D53" s="61" t="n"/>
      <c r="E53" s="61" t="n"/>
      <c r="F53" s="61" t="n"/>
      <c r="G53" s="62" t="n"/>
      <c r="H53" s="62" t="n"/>
      <c r="I53" s="60" t="n"/>
      <c r="J53" s="60" t="n"/>
      <c r="K53" s="63">
        <f>IF(I53&gt;0, J53/I53, "")</f>
        <v/>
      </c>
      <c r="L53" s="61" t="n"/>
      <c r="M53" s="61" t="n"/>
    </row>
    <row r="54" ht="20" customHeight="1">
      <c r="B54" s="60" t="n"/>
      <c r="C54" s="60" t="n"/>
      <c r="D54" s="61" t="n"/>
      <c r="E54" s="61" t="n"/>
      <c r="F54" s="61" t="n"/>
      <c r="G54" s="62" t="n"/>
      <c r="H54" s="62" t="n"/>
      <c r="I54" s="60" t="n"/>
      <c r="J54" s="60" t="n"/>
      <c r="K54" s="63">
        <f>IF(I54&gt;0, J54/I54, "")</f>
        <v/>
      </c>
      <c r="L54" s="61" t="n"/>
      <c r="M54" s="61" t="n"/>
    </row>
    <row r="55" ht="20" customHeight="1">
      <c r="B55" s="60" t="n"/>
      <c r="C55" s="60" t="n"/>
      <c r="D55" s="61" t="n"/>
      <c r="E55" s="61" t="n"/>
      <c r="F55" s="61" t="n"/>
      <c r="G55" s="62" t="n"/>
      <c r="H55" s="62" t="n"/>
      <c r="I55" s="60" t="n"/>
      <c r="J55" s="60" t="n"/>
      <c r="K55" s="63">
        <f>IF(I55&gt;0, J55/I55, "")</f>
        <v/>
      </c>
      <c r="L55" s="61" t="n"/>
      <c r="M55" s="61" t="n"/>
    </row>
    <row r="56" ht="20" customHeight="1">
      <c r="B56" s="60" t="n"/>
      <c r="C56" s="60" t="n"/>
      <c r="D56" s="61" t="n"/>
      <c r="E56" s="61" t="n"/>
      <c r="F56" s="61" t="n"/>
      <c r="G56" s="62" t="n"/>
      <c r="H56" s="62" t="n"/>
      <c r="I56" s="60" t="n"/>
      <c r="J56" s="60" t="n"/>
      <c r="K56" s="63">
        <f>IF(I56&gt;0, J56/I56, "")</f>
        <v/>
      </c>
      <c r="L56" s="61" t="n"/>
      <c r="M56" s="61" t="n"/>
    </row>
    <row r="57" ht="20" customHeight="1">
      <c r="B57" s="60" t="n"/>
      <c r="C57" s="60" t="n"/>
      <c r="D57" s="61" t="n"/>
      <c r="E57" s="61" t="n"/>
      <c r="F57" s="61" t="n"/>
      <c r="G57" s="62" t="n"/>
      <c r="H57" s="62" t="n"/>
      <c r="I57" s="60" t="n"/>
      <c r="J57" s="60" t="n"/>
      <c r="K57" s="63">
        <f>IF(I57&gt;0, J57/I57, "")</f>
        <v/>
      </c>
      <c r="L57" s="61" t="n"/>
      <c r="M57" s="61" t="n"/>
    </row>
    <row r="58" ht="20" customHeight="1">
      <c r="B58" s="60" t="n"/>
      <c r="C58" s="60" t="n"/>
      <c r="D58" s="61" t="n"/>
      <c r="E58" s="61" t="n"/>
      <c r="F58" s="61" t="n"/>
      <c r="G58" s="62" t="n"/>
      <c r="H58" s="62" t="n"/>
      <c r="I58" s="60" t="n"/>
      <c r="J58" s="60" t="n"/>
      <c r="K58" s="63">
        <f>IF(I58&gt;0, J58/I58, "")</f>
        <v/>
      </c>
      <c r="L58" s="61" t="n"/>
      <c r="M58" s="61" t="n"/>
    </row>
    <row r="59" ht="20" customHeight="1">
      <c r="B59" s="60" t="n"/>
      <c r="C59" s="60" t="n"/>
      <c r="D59" s="61" t="n"/>
      <c r="E59" s="61" t="n"/>
      <c r="F59" s="61" t="n"/>
      <c r="G59" s="62" t="n"/>
      <c r="H59" s="62" t="n"/>
      <c r="I59" s="60" t="n"/>
      <c r="J59" s="60" t="n"/>
      <c r="K59" s="63">
        <f>IF(I59&gt;0, J59/I59, "")</f>
        <v/>
      </c>
      <c r="L59" s="61" t="n"/>
      <c r="M59" s="61" t="n"/>
    </row>
    <row r="60" ht="20" customHeight="1">
      <c r="B60" s="60" t="n"/>
      <c r="C60" s="60" t="n"/>
      <c r="D60" s="61" t="n"/>
      <c r="E60" s="61" t="n"/>
      <c r="F60" s="61" t="n"/>
      <c r="G60" s="62" t="n"/>
      <c r="H60" s="62" t="n"/>
      <c r="I60" s="60" t="n"/>
      <c r="J60" s="60" t="n"/>
      <c r="K60" s="63">
        <f>IF(I60&gt;0, J60/I60, "")</f>
        <v/>
      </c>
      <c r="L60" s="61" t="n"/>
      <c r="M60" s="6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M6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16" customWidth="1" min="4" max="4"/>
    <col width="35" customWidth="1" min="5" max="5"/>
    <col width="25" customWidth="1" min="6" max="6"/>
    <col width="10" customWidth="1" min="7" max="7"/>
    <col width="16" customWidth="1" min="8" max="8"/>
    <col width="14" customWidth="1" min="9" max="9"/>
    <col width="16" customWidth="1" min="10" max="10"/>
    <col width="12" customWidth="1" min="11" max="11"/>
    <col width="24" customWidth="1" min="12" max="12"/>
    <col width="24" customWidth="1" min="13" max="13"/>
  </cols>
  <sheetData>
    <row r="2" ht="28" customHeight="1">
      <c r="B2" s="59" t="inlineStr">
        <is>
          <t>S.No</t>
        </is>
      </c>
      <c r="C2" s="59" t="inlineStr">
        <is>
          <t>Date</t>
        </is>
      </c>
      <c r="D2" s="59" t="inlineStr">
        <is>
          <t>Task worker</t>
        </is>
      </c>
      <c r="E2" s="59" t="inlineStr">
        <is>
          <t>Task</t>
        </is>
      </c>
      <c r="F2" s="59" t="inlineStr">
        <is>
          <t>Assets/Units/ISOs/PIDs</t>
        </is>
      </c>
      <c r="G2" s="59" t="inlineStr">
        <is>
          <t>Hrs/day</t>
        </is>
      </c>
      <c r="H2" s="59" t="inlineStr">
        <is>
          <t>metric/task in hrs</t>
        </is>
      </c>
      <c r="I2" s="59" t="inlineStr">
        <is>
          <t>count per day</t>
        </is>
      </c>
      <c r="J2" s="59" t="inlineStr">
        <is>
          <t>achieved on the day</t>
        </is>
      </c>
      <c r="K2" s="59" t="inlineStr">
        <is>
          <t>Efficiency</t>
        </is>
      </c>
      <c r="L2" s="59" t="inlineStr">
        <is>
          <t>Road blocks</t>
        </is>
      </c>
      <c r="M2" s="59" t="inlineStr">
        <is>
          <t>Notes</t>
        </is>
      </c>
    </row>
    <row r="3" ht="20" customHeight="1">
      <c r="B3" s="60" t="n"/>
      <c r="C3" s="60" t="n"/>
      <c r="D3" s="61" t="n"/>
      <c r="E3" s="61" t="n"/>
      <c r="F3" s="61" t="n"/>
      <c r="G3" s="62" t="n"/>
      <c r="H3" s="62" t="n"/>
      <c r="I3" s="60" t="n"/>
      <c r="J3" s="60" t="n"/>
      <c r="K3" s="63">
        <f>IF(I3&gt;0, J3/I3, "")</f>
        <v/>
      </c>
      <c r="L3" s="61" t="n"/>
      <c r="M3" s="61" t="n"/>
    </row>
    <row r="4" ht="20" customHeight="1">
      <c r="B4" s="60" t="n"/>
      <c r="C4" s="60" t="n"/>
      <c r="D4" s="61" t="n"/>
      <c r="E4" s="61" t="n"/>
      <c r="F4" s="61" t="n"/>
      <c r="G4" s="62" t="n"/>
      <c r="H4" s="62" t="n"/>
      <c r="I4" s="60" t="n"/>
      <c r="J4" s="60" t="n"/>
      <c r="K4" s="63">
        <f>IF(I4&gt;0, J4/I4, "")</f>
        <v/>
      </c>
      <c r="L4" s="61" t="n"/>
      <c r="M4" s="61" t="n"/>
    </row>
    <row r="5" ht="20" customHeight="1">
      <c r="B5" s="60" t="n"/>
      <c r="C5" s="60" t="n"/>
      <c r="D5" s="61" t="n"/>
      <c r="E5" s="61" t="n"/>
      <c r="F5" s="61" t="n"/>
      <c r="G5" s="62" t="n"/>
      <c r="H5" s="62" t="n"/>
      <c r="I5" s="60" t="n"/>
      <c r="J5" s="60" t="n"/>
      <c r="K5" s="63">
        <f>IF(I5&gt;0, J5/I5, "")</f>
        <v/>
      </c>
      <c r="L5" s="61" t="n"/>
      <c r="M5" s="61" t="n"/>
    </row>
    <row r="6" ht="20" customHeight="1">
      <c r="B6" s="60" t="n"/>
      <c r="C6" s="60" t="n"/>
      <c r="D6" s="61" t="n"/>
      <c r="E6" s="61" t="n"/>
      <c r="F6" s="61" t="n"/>
      <c r="G6" s="62" t="n"/>
      <c r="H6" s="62" t="n"/>
      <c r="I6" s="60" t="n"/>
      <c r="J6" s="60" t="n"/>
      <c r="K6" s="63">
        <f>IF(I6&gt;0, J6/I6, "")</f>
        <v/>
      </c>
      <c r="L6" s="61" t="n"/>
      <c r="M6" s="61" t="n"/>
    </row>
    <row r="7" ht="20" customHeight="1">
      <c r="B7" s="60" t="n"/>
      <c r="C7" s="60" t="n"/>
      <c r="D7" s="61" t="n"/>
      <c r="E7" s="61" t="n"/>
      <c r="F7" s="61" t="n"/>
      <c r="G7" s="62" t="n"/>
      <c r="H7" s="62" t="n"/>
      <c r="I7" s="60" t="n"/>
      <c r="J7" s="60" t="n"/>
      <c r="K7" s="63">
        <f>IF(I7&gt;0, J7/I7, "")</f>
        <v/>
      </c>
      <c r="L7" s="61" t="n"/>
      <c r="M7" s="61" t="n"/>
    </row>
    <row r="8" ht="20" customHeight="1">
      <c r="B8" s="60" t="n"/>
      <c r="C8" s="60" t="n"/>
      <c r="D8" s="61" t="n"/>
      <c r="E8" s="61" t="n"/>
      <c r="F8" s="61" t="n"/>
      <c r="G8" s="62" t="n"/>
      <c r="H8" s="62" t="n"/>
      <c r="I8" s="60" t="n"/>
      <c r="J8" s="60" t="n"/>
      <c r="K8" s="63">
        <f>IF(I8&gt;0, J8/I8, "")</f>
        <v/>
      </c>
      <c r="L8" s="61" t="n"/>
      <c r="M8" s="61" t="n"/>
    </row>
    <row r="9" ht="20" customHeight="1">
      <c r="B9" s="60" t="n"/>
      <c r="C9" s="60" t="n"/>
      <c r="D9" s="61" t="n"/>
      <c r="E9" s="61" t="n"/>
      <c r="F9" s="61" t="n"/>
      <c r="G9" s="62" t="n"/>
      <c r="H9" s="62" t="n"/>
      <c r="I9" s="60" t="n"/>
      <c r="J9" s="60" t="n"/>
      <c r="K9" s="63">
        <f>IF(I9&gt;0, J9/I9, "")</f>
        <v/>
      </c>
      <c r="L9" s="61" t="n"/>
      <c r="M9" s="61" t="n"/>
    </row>
    <row r="10" ht="20" customHeight="1">
      <c r="B10" s="60" t="n"/>
      <c r="C10" s="60" t="n"/>
      <c r="D10" s="61" t="n"/>
      <c r="E10" s="61" t="n"/>
      <c r="F10" s="61" t="n"/>
      <c r="G10" s="62" t="n"/>
      <c r="H10" s="62" t="n"/>
      <c r="I10" s="60" t="n"/>
      <c r="J10" s="60" t="n"/>
      <c r="K10" s="63">
        <f>IF(I10&gt;0, J10/I10, "")</f>
        <v/>
      </c>
      <c r="L10" s="61" t="n"/>
      <c r="M10" s="61" t="n"/>
    </row>
    <row r="11" ht="20" customHeight="1">
      <c r="B11" s="60" t="n"/>
      <c r="C11" s="60" t="n"/>
      <c r="D11" s="61" t="n"/>
      <c r="E11" s="61" t="n"/>
      <c r="F11" s="61" t="n"/>
      <c r="G11" s="62" t="n"/>
      <c r="H11" s="62" t="n"/>
      <c r="I11" s="60" t="n"/>
      <c r="J11" s="60" t="n"/>
      <c r="K11" s="63">
        <f>IF(I11&gt;0, J11/I11, "")</f>
        <v/>
      </c>
      <c r="L11" s="61" t="n"/>
      <c r="M11" s="61" t="n"/>
    </row>
    <row r="12" ht="20" customHeight="1">
      <c r="B12" s="60" t="n"/>
      <c r="C12" s="60" t="n"/>
      <c r="D12" s="61" t="n"/>
      <c r="E12" s="61" t="n"/>
      <c r="F12" s="61" t="n"/>
      <c r="G12" s="62" t="n"/>
      <c r="H12" s="62" t="n"/>
      <c r="I12" s="60" t="n"/>
      <c r="J12" s="60" t="n"/>
      <c r="K12" s="63">
        <f>IF(I12&gt;0, J12/I12, "")</f>
        <v/>
      </c>
      <c r="L12" s="61" t="n"/>
      <c r="M12" s="61" t="n"/>
    </row>
    <row r="13" ht="20" customHeight="1">
      <c r="B13" s="60" t="n"/>
      <c r="C13" s="60" t="n"/>
      <c r="D13" s="61" t="n"/>
      <c r="E13" s="61" t="n"/>
      <c r="F13" s="61" t="n"/>
      <c r="G13" s="62" t="n"/>
      <c r="H13" s="62" t="n"/>
      <c r="I13" s="60" t="n"/>
      <c r="J13" s="60" t="n"/>
      <c r="K13" s="63">
        <f>IF(I13&gt;0, J13/I13, "")</f>
        <v/>
      </c>
      <c r="L13" s="61" t="n"/>
      <c r="M13" s="61" t="n"/>
    </row>
    <row r="14" ht="20" customHeight="1">
      <c r="B14" s="60" t="n"/>
      <c r="C14" s="60" t="n"/>
      <c r="D14" s="61" t="n"/>
      <c r="E14" s="61" t="n"/>
      <c r="F14" s="61" t="n"/>
      <c r="G14" s="62" t="n"/>
      <c r="H14" s="62" t="n"/>
      <c r="I14" s="60" t="n"/>
      <c r="J14" s="60" t="n"/>
      <c r="K14" s="63">
        <f>IF(I14&gt;0, J14/I14, "")</f>
        <v/>
      </c>
      <c r="L14" s="61" t="n"/>
      <c r="M14" s="61" t="n"/>
    </row>
    <row r="15" ht="20" customHeight="1">
      <c r="B15" s="60" t="n"/>
      <c r="C15" s="60" t="n"/>
      <c r="D15" s="61" t="n"/>
      <c r="E15" s="61" t="n"/>
      <c r="F15" s="61" t="n"/>
      <c r="G15" s="62" t="n"/>
      <c r="H15" s="62" t="n"/>
      <c r="I15" s="60" t="n"/>
      <c r="J15" s="60" t="n"/>
      <c r="K15" s="63">
        <f>IF(I15&gt;0, J15/I15, "")</f>
        <v/>
      </c>
      <c r="L15" s="61" t="n"/>
      <c r="M15" s="61" t="n"/>
    </row>
    <row r="16" ht="20" customHeight="1">
      <c r="B16" s="60" t="n"/>
      <c r="C16" s="60" t="n"/>
      <c r="D16" s="61" t="n"/>
      <c r="E16" s="61" t="n"/>
      <c r="F16" s="61" t="n"/>
      <c r="G16" s="62" t="n"/>
      <c r="H16" s="62" t="n"/>
      <c r="I16" s="60" t="n"/>
      <c r="J16" s="60" t="n"/>
      <c r="K16" s="63">
        <f>IF(I16&gt;0, J16/I16, "")</f>
        <v/>
      </c>
      <c r="L16" s="61" t="n"/>
      <c r="M16" s="61" t="n"/>
    </row>
    <row r="17" ht="20" customHeight="1">
      <c r="B17" s="60" t="n"/>
      <c r="C17" s="60" t="n"/>
      <c r="D17" s="61" t="n"/>
      <c r="E17" s="61" t="n"/>
      <c r="F17" s="61" t="n"/>
      <c r="G17" s="62" t="n"/>
      <c r="H17" s="62" t="n"/>
      <c r="I17" s="60" t="n"/>
      <c r="J17" s="60" t="n"/>
      <c r="K17" s="63">
        <f>IF(I17&gt;0, J17/I17, "")</f>
        <v/>
      </c>
      <c r="L17" s="61" t="n"/>
      <c r="M17" s="61" t="n"/>
    </row>
    <row r="18" ht="20" customHeight="1">
      <c r="B18" s="60" t="n"/>
      <c r="C18" s="60" t="n"/>
      <c r="D18" s="61" t="n"/>
      <c r="E18" s="61" t="n"/>
      <c r="F18" s="61" t="n"/>
      <c r="G18" s="62" t="n"/>
      <c r="H18" s="62" t="n"/>
      <c r="I18" s="60" t="n"/>
      <c r="J18" s="60" t="n"/>
      <c r="K18" s="63">
        <f>IF(I18&gt;0, J18/I18, "")</f>
        <v/>
      </c>
      <c r="L18" s="61" t="n"/>
      <c r="M18" s="61" t="n"/>
    </row>
    <row r="19" ht="20" customHeight="1">
      <c r="B19" s="60" t="n"/>
      <c r="C19" s="60" t="n"/>
      <c r="D19" s="61" t="n"/>
      <c r="E19" s="61" t="n"/>
      <c r="F19" s="61" t="n"/>
      <c r="G19" s="62" t="n"/>
      <c r="H19" s="62" t="n"/>
      <c r="I19" s="60" t="n"/>
      <c r="J19" s="60" t="n"/>
      <c r="K19" s="63">
        <f>IF(I19&gt;0, J19/I19, "")</f>
        <v/>
      </c>
      <c r="L19" s="61" t="n"/>
      <c r="M19" s="61" t="n"/>
    </row>
    <row r="20" ht="20" customHeight="1">
      <c r="B20" s="60" t="n"/>
      <c r="C20" s="60" t="n"/>
      <c r="D20" s="61" t="n"/>
      <c r="E20" s="61" t="n"/>
      <c r="F20" s="61" t="n"/>
      <c r="G20" s="62" t="n"/>
      <c r="H20" s="62" t="n"/>
      <c r="I20" s="60" t="n"/>
      <c r="J20" s="60" t="n"/>
      <c r="K20" s="63">
        <f>IF(I20&gt;0, J20/I20, "")</f>
        <v/>
      </c>
      <c r="L20" s="61" t="n"/>
      <c r="M20" s="61" t="n"/>
    </row>
    <row r="21" ht="20" customHeight="1">
      <c r="B21" s="60" t="n"/>
      <c r="C21" s="60" t="n"/>
      <c r="D21" s="61" t="n"/>
      <c r="E21" s="61" t="n"/>
      <c r="F21" s="61" t="n"/>
      <c r="G21" s="62" t="n"/>
      <c r="H21" s="62" t="n"/>
      <c r="I21" s="60" t="n"/>
      <c r="J21" s="60" t="n"/>
      <c r="K21" s="63">
        <f>IF(I21&gt;0, J21/I21, "")</f>
        <v/>
      </c>
      <c r="L21" s="61" t="n"/>
      <c r="M21" s="61" t="n"/>
    </row>
    <row r="22" ht="20" customHeight="1">
      <c r="B22" s="60" t="n"/>
      <c r="C22" s="60" t="n"/>
      <c r="D22" s="61" t="n"/>
      <c r="E22" s="61" t="n"/>
      <c r="F22" s="61" t="n"/>
      <c r="G22" s="62" t="n"/>
      <c r="H22" s="62" t="n"/>
      <c r="I22" s="60" t="n"/>
      <c r="J22" s="60" t="n"/>
      <c r="K22" s="63">
        <f>IF(I22&gt;0, J22/I22, "")</f>
        <v/>
      </c>
      <c r="L22" s="61" t="n"/>
      <c r="M22" s="61" t="n"/>
    </row>
    <row r="23" ht="20" customHeight="1">
      <c r="B23" s="60" t="n"/>
      <c r="C23" s="60" t="n"/>
      <c r="D23" s="61" t="n"/>
      <c r="E23" s="61" t="n"/>
      <c r="F23" s="61" t="n"/>
      <c r="G23" s="62" t="n"/>
      <c r="H23" s="62" t="n"/>
      <c r="I23" s="60" t="n"/>
      <c r="J23" s="60" t="n"/>
      <c r="K23" s="63">
        <f>IF(I23&gt;0, J23/I23, "")</f>
        <v/>
      </c>
      <c r="L23" s="61" t="n"/>
      <c r="M23" s="61" t="n"/>
    </row>
    <row r="24" ht="20" customHeight="1">
      <c r="B24" s="60" t="n"/>
      <c r="C24" s="60" t="n"/>
      <c r="D24" s="61" t="n"/>
      <c r="E24" s="61" t="n"/>
      <c r="F24" s="61" t="n"/>
      <c r="G24" s="62" t="n"/>
      <c r="H24" s="62" t="n"/>
      <c r="I24" s="60" t="n"/>
      <c r="J24" s="60" t="n"/>
      <c r="K24" s="63">
        <f>IF(I24&gt;0, J24/I24, "")</f>
        <v/>
      </c>
      <c r="L24" s="61" t="n"/>
      <c r="M24" s="61" t="n"/>
    </row>
    <row r="25" ht="20" customHeight="1">
      <c r="B25" s="60" t="n"/>
      <c r="C25" s="60" t="n"/>
      <c r="D25" s="61" t="n"/>
      <c r="E25" s="61" t="n"/>
      <c r="F25" s="61" t="n"/>
      <c r="G25" s="62" t="n"/>
      <c r="H25" s="62" t="n"/>
      <c r="I25" s="60" t="n"/>
      <c r="J25" s="60" t="n"/>
      <c r="K25" s="63">
        <f>IF(I25&gt;0, J25/I25, "")</f>
        <v/>
      </c>
      <c r="L25" s="61" t="n"/>
      <c r="M25" s="61" t="n"/>
    </row>
    <row r="26" ht="20" customHeight="1">
      <c r="B26" s="60" t="n"/>
      <c r="C26" s="60" t="n"/>
      <c r="D26" s="61" t="n"/>
      <c r="E26" s="61" t="n"/>
      <c r="F26" s="61" t="n"/>
      <c r="G26" s="62" t="n"/>
      <c r="H26" s="62" t="n"/>
      <c r="I26" s="60" t="n"/>
      <c r="J26" s="60" t="n"/>
      <c r="K26" s="63">
        <f>IF(I26&gt;0, J26/I26, "")</f>
        <v/>
      </c>
      <c r="L26" s="61" t="n"/>
      <c r="M26" s="61" t="n"/>
    </row>
    <row r="27" ht="20" customHeight="1">
      <c r="B27" s="60" t="n"/>
      <c r="C27" s="60" t="n"/>
      <c r="D27" s="61" t="n"/>
      <c r="E27" s="61" t="n"/>
      <c r="F27" s="61" t="n"/>
      <c r="G27" s="62" t="n"/>
      <c r="H27" s="62" t="n"/>
      <c r="I27" s="60" t="n"/>
      <c r="J27" s="60" t="n"/>
      <c r="K27" s="63">
        <f>IF(I27&gt;0, J27/I27, "")</f>
        <v/>
      </c>
      <c r="L27" s="61" t="n"/>
      <c r="M27" s="61" t="n"/>
    </row>
    <row r="28" ht="20" customHeight="1">
      <c r="B28" s="60" t="n"/>
      <c r="C28" s="60" t="n"/>
      <c r="D28" s="61" t="n"/>
      <c r="E28" s="61" t="n"/>
      <c r="F28" s="61" t="n"/>
      <c r="G28" s="62" t="n"/>
      <c r="H28" s="62" t="n"/>
      <c r="I28" s="60" t="n"/>
      <c r="J28" s="60" t="n"/>
      <c r="K28" s="63">
        <f>IF(I28&gt;0, J28/I28, "")</f>
        <v/>
      </c>
      <c r="L28" s="61" t="n"/>
      <c r="M28" s="61" t="n"/>
    </row>
    <row r="29" ht="20" customHeight="1">
      <c r="B29" s="60" t="n"/>
      <c r="C29" s="60" t="n"/>
      <c r="D29" s="61" t="n"/>
      <c r="E29" s="61" t="n"/>
      <c r="F29" s="61" t="n"/>
      <c r="G29" s="62" t="n"/>
      <c r="H29" s="62" t="n"/>
      <c r="I29" s="60" t="n"/>
      <c r="J29" s="60" t="n"/>
      <c r="K29" s="63">
        <f>IF(I29&gt;0, J29/I29, "")</f>
        <v/>
      </c>
      <c r="L29" s="61" t="n"/>
      <c r="M29" s="61" t="n"/>
    </row>
    <row r="30" ht="20" customHeight="1">
      <c r="B30" s="60" t="n"/>
      <c r="C30" s="60" t="n"/>
      <c r="D30" s="61" t="n"/>
      <c r="E30" s="61" t="n"/>
      <c r="F30" s="61" t="n"/>
      <c r="G30" s="62" t="n"/>
      <c r="H30" s="62" t="n"/>
      <c r="I30" s="60" t="n"/>
      <c r="J30" s="60" t="n"/>
      <c r="K30" s="63">
        <f>IF(I30&gt;0, J30/I30, "")</f>
        <v/>
      </c>
      <c r="L30" s="61" t="n"/>
      <c r="M30" s="61" t="n"/>
    </row>
    <row r="31" ht="20" customHeight="1">
      <c r="B31" s="60" t="n"/>
      <c r="C31" s="60" t="n"/>
      <c r="D31" s="61" t="n"/>
      <c r="E31" s="61" t="n"/>
      <c r="F31" s="61" t="n"/>
      <c r="G31" s="62" t="n"/>
      <c r="H31" s="62" t="n"/>
      <c r="I31" s="60" t="n"/>
      <c r="J31" s="60" t="n"/>
      <c r="K31" s="63">
        <f>IF(I31&gt;0, J31/I31, "")</f>
        <v/>
      </c>
      <c r="L31" s="61" t="n"/>
      <c r="M31" s="61" t="n"/>
    </row>
    <row r="32" ht="20" customHeight="1">
      <c r="B32" s="60" t="n"/>
      <c r="C32" s="60" t="n"/>
      <c r="D32" s="61" t="n"/>
      <c r="E32" s="61" t="n"/>
      <c r="F32" s="61" t="n"/>
      <c r="G32" s="62" t="n"/>
      <c r="H32" s="62" t="n"/>
      <c r="I32" s="60" t="n"/>
      <c r="J32" s="60" t="n"/>
      <c r="K32" s="63">
        <f>IF(I32&gt;0, J32/I32, "")</f>
        <v/>
      </c>
      <c r="L32" s="61" t="n"/>
      <c r="M32" s="61" t="n"/>
    </row>
    <row r="33" ht="20" customHeight="1">
      <c r="B33" s="60" t="n"/>
      <c r="C33" s="60" t="n"/>
      <c r="D33" s="61" t="n"/>
      <c r="E33" s="61" t="n"/>
      <c r="F33" s="61" t="n"/>
      <c r="G33" s="62" t="n"/>
      <c r="H33" s="62" t="n"/>
      <c r="I33" s="60" t="n"/>
      <c r="J33" s="60" t="n"/>
      <c r="K33" s="63">
        <f>IF(I33&gt;0, J33/I33, "")</f>
        <v/>
      </c>
      <c r="L33" s="61" t="n"/>
      <c r="M33" s="61" t="n"/>
    </row>
    <row r="34" ht="20" customHeight="1">
      <c r="B34" s="60" t="n"/>
      <c r="C34" s="60" t="n"/>
      <c r="D34" s="61" t="n"/>
      <c r="E34" s="61" t="n"/>
      <c r="F34" s="61" t="n"/>
      <c r="G34" s="62" t="n"/>
      <c r="H34" s="62" t="n"/>
      <c r="I34" s="60" t="n"/>
      <c r="J34" s="60" t="n"/>
      <c r="K34" s="63">
        <f>IF(I34&gt;0, J34/I34, "")</f>
        <v/>
      </c>
      <c r="L34" s="61" t="n"/>
      <c r="M34" s="61" t="n"/>
    </row>
    <row r="35" ht="20" customHeight="1">
      <c r="B35" s="60" t="n"/>
      <c r="C35" s="60" t="n"/>
      <c r="D35" s="61" t="n"/>
      <c r="E35" s="61" t="n"/>
      <c r="F35" s="61" t="n"/>
      <c r="G35" s="62" t="n"/>
      <c r="H35" s="62" t="n"/>
      <c r="I35" s="60" t="n"/>
      <c r="J35" s="60" t="n"/>
      <c r="K35" s="63">
        <f>IF(I35&gt;0, J35/I35, "")</f>
        <v/>
      </c>
      <c r="L35" s="61" t="n"/>
      <c r="M35" s="61" t="n"/>
    </row>
    <row r="36" ht="20" customHeight="1">
      <c r="B36" s="60" t="n"/>
      <c r="C36" s="60" t="n"/>
      <c r="D36" s="61" t="n"/>
      <c r="E36" s="61" t="n"/>
      <c r="F36" s="61" t="n"/>
      <c r="G36" s="62" t="n"/>
      <c r="H36" s="62" t="n"/>
      <c r="I36" s="60" t="n"/>
      <c r="J36" s="60" t="n"/>
      <c r="K36" s="63">
        <f>IF(I36&gt;0, J36/I36, "")</f>
        <v/>
      </c>
      <c r="L36" s="61" t="n"/>
      <c r="M36" s="61" t="n"/>
    </row>
    <row r="37" ht="20" customHeight="1">
      <c r="B37" s="60" t="n"/>
      <c r="C37" s="60" t="n"/>
      <c r="D37" s="61" t="n"/>
      <c r="E37" s="61" t="n"/>
      <c r="F37" s="61" t="n"/>
      <c r="G37" s="62" t="n"/>
      <c r="H37" s="62" t="n"/>
      <c r="I37" s="60" t="n"/>
      <c r="J37" s="60" t="n"/>
      <c r="K37" s="63">
        <f>IF(I37&gt;0, J37/I37, "")</f>
        <v/>
      </c>
      <c r="L37" s="61" t="n"/>
      <c r="M37" s="61" t="n"/>
    </row>
    <row r="38" ht="20" customHeight="1">
      <c r="B38" s="60" t="n"/>
      <c r="C38" s="60" t="n"/>
      <c r="D38" s="61" t="n"/>
      <c r="E38" s="61" t="n"/>
      <c r="F38" s="61" t="n"/>
      <c r="G38" s="62" t="n"/>
      <c r="H38" s="62" t="n"/>
      <c r="I38" s="60" t="n"/>
      <c r="J38" s="60" t="n"/>
      <c r="K38" s="63">
        <f>IF(I38&gt;0, J38/I38, "")</f>
        <v/>
      </c>
      <c r="L38" s="61" t="n"/>
      <c r="M38" s="61" t="n"/>
    </row>
    <row r="39" ht="20" customHeight="1">
      <c r="B39" s="60" t="n"/>
      <c r="C39" s="60" t="n"/>
      <c r="D39" s="61" t="n"/>
      <c r="E39" s="61" t="n"/>
      <c r="F39" s="61" t="n"/>
      <c r="G39" s="62" t="n"/>
      <c r="H39" s="62" t="n"/>
      <c r="I39" s="60" t="n"/>
      <c r="J39" s="60" t="n"/>
      <c r="K39" s="63">
        <f>IF(I39&gt;0, J39/I39, "")</f>
        <v/>
      </c>
      <c r="L39" s="61" t="n"/>
      <c r="M39" s="61" t="n"/>
    </row>
    <row r="40" ht="20" customHeight="1">
      <c r="B40" s="60" t="n"/>
      <c r="C40" s="60" t="n"/>
      <c r="D40" s="61" t="n"/>
      <c r="E40" s="61" t="n"/>
      <c r="F40" s="61" t="n"/>
      <c r="G40" s="62" t="n"/>
      <c r="H40" s="62" t="n"/>
      <c r="I40" s="60" t="n"/>
      <c r="J40" s="60" t="n"/>
      <c r="K40" s="63">
        <f>IF(I40&gt;0, J40/I40, "")</f>
        <v/>
      </c>
      <c r="L40" s="61" t="n"/>
      <c r="M40" s="61" t="n"/>
    </row>
    <row r="41" ht="20" customHeight="1">
      <c r="B41" s="60" t="n"/>
      <c r="C41" s="60" t="n"/>
      <c r="D41" s="61" t="n"/>
      <c r="E41" s="61" t="n"/>
      <c r="F41" s="61" t="n"/>
      <c r="G41" s="62" t="n"/>
      <c r="H41" s="62" t="n"/>
      <c r="I41" s="60" t="n"/>
      <c r="J41" s="60" t="n"/>
      <c r="K41" s="63">
        <f>IF(I41&gt;0, J41/I41, "")</f>
        <v/>
      </c>
      <c r="L41" s="61" t="n"/>
      <c r="M41" s="61" t="n"/>
    </row>
    <row r="42" ht="20" customHeight="1">
      <c r="B42" s="60" t="n"/>
      <c r="C42" s="60" t="n"/>
      <c r="D42" s="61" t="n"/>
      <c r="E42" s="61" t="n"/>
      <c r="F42" s="61" t="n"/>
      <c r="G42" s="62" t="n"/>
      <c r="H42" s="62" t="n"/>
      <c r="I42" s="60" t="n"/>
      <c r="J42" s="60" t="n"/>
      <c r="K42" s="63">
        <f>IF(I42&gt;0, J42/I42, "")</f>
        <v/>
      </c>
      <c r="L42" s="61" t="n"/>
      <c r="M42" s="61" t="n"/>
    </row>
    <row r="43" ht="20" customHeight="1">
      <c r="B43" s="60" t="n"/>
      <c r="C43" s="60" t="n"/>
      <c r="D43" s="61" t="n"/>
      <c r="E43" s="61" t="n"/>
      <c r="F43" s="61" t="n"/>
      <c r="G43" s="62" t="n"/>
      <c r="H43" s="62" t="n"/>
      <c r="I43" s="60" t="n"/>
      <c r="J43" s="60" t="n"/>
      <c r="K43" s="63">
        <f>IF(I43&gt;0, J43/I43, "")</f>
        <v/>
      </c>
      <c r="L43" s="61" t="n"/>
      <c r="M43" s="61" t="n"/>
    </row>
    <row r="44" ht="20" customHeight="1">
      <c r="B44" s="60" t="n"/>
      <c r="C44" s="60" t="n"/>
      <c r="D44" s="61" t="n"/>
      <c r="E44" s="61" t="n"/>
      <c r="F44" s="61" t="n"/>
      <c r="G44" s="62" t="n"/>
      <c r="H44" s="62" t="n"/>
      <c r="I44" s="60" t="n"/>
      <c r="J44" s="60" t="n"/>
      <c r="K44" s="63">
        <f>IF(I44&gt;0, J44/I44, "")</f>
        <v/>
      </c>
      <c r="L44" s="61" t="n"/>
      <c r="M44" s="61" t="n"/>
    </row>
    <row r="45" ht="20" customHeight="1">
      <c r="B45" s="60" t="n"/>
      <c r="C45" s="60" t="n"/>
      <c r="D45" s="61" t="n"/>
      <c r="E45" s="61" t="n"/>
      <c r="F45" s="61" t="n"/>
      <c r="G45" s="62" t="n"/>
      <c r="H45" s="62" t="n"/>
      <c r="I45" s="60" t="n"/>
      <c r="J45" s="60" t="n"/>
      <c r="K45" s="63">
        <f>IF(I45&gt;0, J45/I45, "")</f>
        <v/>
      </c>
      <c r="L45" s="61" t="n"/>
      <c r="M45" s="61" t="n"/>
    </row>
    <row r="46" ht="20" customHeight="1">
      <c r="B46" s="60" t="n"/>
      <c r="C46" s="60" t="n"/>
      <c r="D46" s="61" t="n"/>
      <c r="E46" s="61" t="n"/>
      <c r="F46" s="61" t="n"/>
      <c r="G46" s="62" t="n"/>
      <c r="H46" s="62" t="n"/>
      <c r="I46" s="60" t="n"/>
      <c r="J46" s="60" t="n"/>
      <c r="K46" s="63">
        <f>IF(I46&gt;0, J46/I46, "")</f>
        <v/>
      </c>
      <c r="L46" s="61" t="n"/>
      <c r="M46" s="61" t="n"/>
    </row>
    <row r="47" ht="20" customHeight="1">
      <c r="B47" s="60" t="n"/>
      <c r="C47" s="60" t="n"/>
      <c r="D47" s="61" t="n"/>
      <c r="E47" s="61" t="n"/>
      <c r="F47" s="61" t="n"/>
      <c r="G47" s="62" t="n"/>
      <c r="H47" s="62" t="n"/>
      <c r="I47" s="60" t="n"/>
      <c r="J47" s="60" t="n"/>
      <c r="K47" s="63">
        <f>IF(I47&gt;0, J47/I47, "")</f>
        <v/>
      </c>
      <c r="L47" s="61" t="n"/>
      <c r="M47" s="61" t="n"/>
    </row>
    <row r="48" ht="20" customHeight="1">
      <c r="B48" s="60" t="n"/>
      <c r="C48" s="60" t="n"/>
      <c r="D48" s="61" t="n"/>
      <c r="E48" s="61" t="n"/>
      <c r="F48" s="61" t="n"/>
      <c r="G48" s="62" t="n"/>
      <c r="H48" s="62" t="n"/>
      <c r="I48" s="60" t="n"/>
      <c r="J48" s="60" t="n"/>
      <c r="K48" s="63">
        <f>IF(I48&gt;0, J48/I48, "")</f>
        <v/>
      </c>
      <c r="L48" s="61" t="n"/>
      <c r="M48" s="61" t="n"/>
    </row>
    <row r="49" ht="20" customHeight="1">
      <c r="B49" s="60" t="n"/>
      <c r="C49" s="60" t="n"/>
      <c r="D49" s="61" t="n"/>
      <c r="E49" s="61" t="n"/>
      <c r="F49" s="61" t="n"/>
      <c r="G49" s="62" t="n"/>
      <c r="H49" s="62" t="n"/>
      <c r="I49" s="60" t="n"/>
      <c r="J49" s="60" t="n"/>
      <c r="K49" s="63">
        <f>IF(I49&gt;0, J49/I49, "")</f>
        <v/>
      </c>
      <c r="L49" s="61" t="n"/>
      <c r="M49" s="61" t="n"/>
    </row>
    <row r="50" ht="20" customHeight="1">
      <c r="B50" s="60" t="n"/>
      <c r="C50" s="60" t="n"/>
      <c r="D50" s="61" t="n"/>
      <c r="E50" s="61" t="n"/>
      <c r="F50" s="61" t="n"/>
      <c r="G50" s="62" t="n"/>
      <c r="H50" s="62" t="n"/>
      <c r="I50" s="60" t="n"/>
      <c r="J50" s="60" t="n"/>
      <c r="K50" s="63">
        <f>IF(I50&gt;0, J50/I50, "")</f>
        <v/>
      </c>
      <c r="L50" s="61" t="n"/>
      <c r="M50" s="61" t="n"/>
    </row>
    <row r="51" ht="20" customHeight="1">
      <c r="B51" s="60" t="n"/>
      <c r="C51" s="60" t="n"/>
      <c r="D51" s="61" t="n"/>
      <c r="E51" s="61" t="n"/>
      <c r="F51" s="61" t="n"/>
      <c r="G51" s="62" t="n"/>
      <c r="H51" s="62" t="n"/>
      <c r="I51" s="60" t="n"/>
      <c r="J51" s="60" t="n"/>
      <c r="K51" s="63">
        <f>IF(I51&gt;0, J51/I51, "")</f>
        <v/>
      </c>
      <c r="L51" s="61" t="n"/>
      <c r="M51" s="61" t="n"/>
    </row>
    <row r="52" ht="20" customHeight="1">
      <c r="B52" s="60" t="n"/>
      <c r="C52" s="60" t="n"/>
      <c r="D52" s="61" t="n"/>
      <c r="E52" s="61" t="n"/>
      <c r="F52" s="61" t="n"/>
      <c r="G52" s="62" t="n"/>
      <c r="H52" s="62" t="n"/>
      <c r="I52" s="60" t="n"/>
      <c r="J52" s="60" t="n"/>
      <c r="K52" s="63">
        <f>IF(I52&gt;0, J52/I52, "")</f>
        <v/>
      </c>
      <c r="L52" s="61" t="n"/>
      <c r="M52" s="61" t="n"/>
    </row>
    <row r="53" ht="20" customHeight="1">
      <c r="B53" s="60" t="n"/>
      <c r="C53" s="60" t="n"/>
      <c r="D53" s="61" t="n"/>
      <c r="E53" s="61" t="n"/>
      <c r="F53" s="61" t="n"/>
      <c r="G53" s="62" t="n"/>
      <c r="H53" s="62" t="n"/>
      <c r="I53" s="60" t="n"/>
      <c r="J53" s="60" t="n"/>
      <c r="K53" s="63">
        <f>IF(I53&gt;0, J53/I53, "")</f>
        <v/>
      </c>
      <c r="L53" s="61" t="n"/>
      <c r="M53" s="61" t="n"/>
    </row>
    <row r="54" ht="20" customHeight="1">
      <c r="B54" s="60" t="n"/>
      <c r="C54" s="60" t="n"/>
      <c r="D54" s="61" t="n"/>
      <c r="E54" s="61" t="n"/>
      <c r="F54" s="61" t="n"/>
      <c r="G54" s="62" t="n"/>
      <c r="H54" s="62" t="n"/>
      <c r="I54" s="60" t="n"/>
      <c r="J54" s="60" t="n"/>
      <c r="K54" s="63">
        <f>IF(I54&gt;0, J54/I54, "")</f>
        <v/>
      </c>
      <c r="L54" s="61" t="n"/>
      <c r="M54" s="61" t="n"/>
    </row>
    <row r="55" ht="20" customHeight="1">
      <c r="B55" s="60" t="n"/>
      <c r="C55" s="60" t="n"/>
      <c r="D55" s="61" t="n"/>
      <c r="E55" s="61" t="n"/>
      <c r="F55" s="61" t="n"/>
      <c r="G55" s="62" t="n"/>
      <c r="H55" s="62" t="n"/>
      <c r="I55" s="60" t="n"/>
      <c r="J55" s="60" t="n"/>
      <c r="K55" s="63">
        <f>IF(I55&gt;0, J55/I55, "")</f>
        <v/>
      </c>
      <c r="L55" s="61" t="n"/>
      <c r="M55" s="61" t="n"/>
    </row>
    <row r="56" ht="20" customHeight="1">
      <c r="B56" s="60" t="n"/>
      <c r="C56" s="60" t="n"/>
      <c r="D56" s="61" t="n"/>
      <c r="E56" s="61" t="n"/>
      <c r="F56" s="61" t="n"/>
      <c r="G56" s="62" t="n"/>
      <c r="H56" s="62" t="n"/>
      <c r="I56" s="60" t="n"/>
      <c r="J56" s="60" t="n"/>
      <c r="K56" s="63">
        <f>IF(I56&gt;0, J56/I56, "")</f>
        <v/>
      </c>
      <c r="L56" s="61" t="n"/>
      <c r="M56" s="61" t="n"/>
    </row>
    <row r="57" ht="20" customHeight="1">
      <c r="B57" s="60" t="n"/>
      <c r="C57" s="60" t="n"/>
      <c r="D57" s="61" t="n"/>
      <c r="E57" s="61" t="n"/>
      <c r="F57" s="61" t="n"/>
      <c r="G57" s="62" t="n"/>
      <c r="H57" s="62" t="n"/>
      <c r="I57" s="60" t="n"/>
      <c r="J57" s="60" t="n"/>
      <c r="K57" s="63">
        <f>IF(I57&gt;0, J57/I57, "")</f>
        <v/>
      </c>
      <c r="L57" s="61" t="n"/>
      <c r="M57" s="61" t="n"/>
    </row>
    <row r="58" ht="20" customHeight="1">
      <c r="B58" s="60" t="n"/>
      <c r="C58" s="60" t="n"/>
      <c r="D58" s="61" t="n"/>
      <c r="E58" s="61" t="n"/>
      <c r="F58" s="61" t="n"/>
      <c r="G58" s="62" t="n"/>
      <c r="H58" s="62" t="n"/>
      <c r="I58" s="60" t="n"/>
      <c r="J58" s="60" t="n"/>
      <c r="K58" s="63">
        <f>IF(I58&gt;0, J58/I58, "")</f>
        <v/>
      </c>
      <c r="L58" s="61" t="n"/>
      <c r="M58" s="61" t="n"/>
    </row>
    <row r="59" ht="20" customHeight="1">
      <c r="B59" s="60" t="n"/>
      <c r="C59" s="60" t="n"/>
      <c r="D59" s="61" t="n"/>
      <c r="E59" s="61" t="n"/>
      <c r="F59" s="61" t="n"/>
      <c r="G59" s="62" t="n"/>
      <c r="H59" s="62" t="n"/>
      <c r="I59" s="60" t="n"/>
      <c r="J59" s="60" t="n"/>
      <c r="K59" s="63">
        <f>IF(I59&gt;0, J59/I59, "")</f>
        <v/>
      </c>
      <c r="L59" s="61" t="n"/>
      <c r="M59" s="61" t="n"/>
    </row>
    <row r="60" ht="20" customHeight="1">
      <c r="B60" s="60" t="n"/>
      <c r="C60" s="60" t="n"/>
      <c r="D60" s="61" t="n"/>
      <c r="E60" s="61" t="n"/>
      <c r="F60" s="61" t="n"/>
      <c r="G60" s="62" t="n"/>
      <c r="H60" s="62" t="n"/>
      <c r="I60" s="60" t="n"/>
      <c r="J60" s="60" t="n"/>
      <c r="K60" s="63">
        <f>IF(I60&gt;0, J60/I60, "")</f>
        <v/>
      </c>
      <c r="L60" s="61" t="n"/>
      <c r="M60" s="6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M6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16" customWidth="1" min="4" max="4"/>
    <col width="35" customWidth="1" min="5" max="5"/>
    <col width="25" customWidth="1" min="6" max="6"/>
    <col width="10" customWidth="1" min="7" max="7"/>
    <col width="16" customWidth="1" min="8" max="8"/>
    <col width="14" customWidth="1" min="9" max="9"/>
    <col width="16" customWidth="1" min="10" max="10"/>
    <col width="12" customWidth="1" min="11" max="11"/>
    <col width="24" customWidth="1" min="12" max="12"/>
    <col width="24" customWidth="1" min="13" max="13"/>
  </cols>
  <sheetData>
    <row r="2" ht="28" customHeight="1">
      <c r="B2" s="59" t="inlineStr">
        <is>
          <t>S.No</t>
        </is>
      </c>
      <c r="C2" s="59" t="inlineStr">
        <is>
          <t>Date</t>
        </is>
      </c>
      <c r="D2" s="59" t="inlineStr">
        <is>
          <t>Task worker</t>
        </is>
      </c>
      <c r="E2" s="59" t="inlineStr">
        <is>
          <t>Task</t>
        </is>
      </c>
      <c r="F2" s="59" t="inlineStr">
        <is>
          <t>Assets/Units/ISOs/PIDs</t>
        </is>
      </c>
      <c r="G2" s="59" t="inlineStr">
        <is>
          <t>Hrs/day</t>
        </is>
      </c>
      <c r="H2" s="59" t="inlineStr">
        <is>
          <t>metric/task in hrs</t>
        </is>
      </c>
      <c r="I2" s="59" t="inlineStr">
        <is>
          <t>count per day</t>
        </is>
      </c>
      <c r="J2" s="59" t="inlineStr">
        <is>
          <t>achieved on the day</t>
        </is>
      </c>
      <c r="K2" s="59" t="inlineStr">
        <is>
          <t>Efficiency</t>
        </is>
      </c>
      <c r="L2" s="59" t="inlineStr">
        <is>
          <t>Road blocks</t>
        </is>
      </c>
      <c r="M2" s="59" t="inlineStr">
        <is>
          <t>Notes</t>
        </is>
      </c>
    </row>
    <row r="3" ht="20" customHeight="1">
      <c r="B3" s="60" t="n"/>
      <c r="C3" s="60" t="n"/>
      <c r="D3" s="61" t="n"/>
      <c r="E3" s="61" t="n"/>
      <c r="F3" s="61" t="n"/>
      <c r="G3" s="62" t="n"/>
      <c r="H3" s="62" t="n"/>
      <c r="I3" s="60" t="n"/>
      <c r="J3" s="60" t="n"/>
      <c r="K3" s="63">
        <f>IF(I3&gt;0, J3/I3, "")</f>
        <v/>
      </c>
      <c r="L3" s="61" t="n"/>
      <c r="M3" s="61" t="n"/>
    </row>
    <row r="4" ht="20" customHeight="1">
      <c r="B4" s="60" t="n"/>
      <c r="C4" s="60" t="n"/>
      <c r="D4" s="61" t="n"/>
      <c r="E4" s="61" t="n"/>
      <c r="F4" s="61" t="n"/>
      <c r="G4" s="62" t="n"/>
      <c r="H4" s="62" t="n"/>
      <c r="I4" s="60" t="n"/>
      <c r="J4" s="60" t="n"/>
      <c r="K4" s="63">
        <f>IF(I4&gt;0, J4/I4, "")</f>
        <v/>
      </c>
      <c r="L4" s="61" t="n"/>
      <c r="M4" s="61" t="n"/>
    </row>
    <row r="5" ht="20" customHeight="1">
      <c r="B5" s="60" t="n"/>
      <c r="C5" s="60" t="n"/>
      <c r="D5" s="61" t="n"/>
      <c r="E5" s="61" t="n"/>
      <c r="F5" s="61" t="n"/>
      <c r="G5" s="62" t="n"/>
      <c r="H5" s="62" t="n"/>
      <c r="I5" s="60" t="n"/>
      <c r="J5" s="60" t="n"/>
      <c r="K5" s="63">
        <f>IF(I5&gt;0, J5/I5, "")</f>
        <v/>
      </c>
      <c r="L5" s="61" t="n"/>
      <c r="M5" s="61" t="n"/>
    </row>
    <row r="6" ht="20" customHeight="1">
      <c r="B6" s="60" t="n"/>
      <c r="C6" s="60" t="n"/>
      <c r="D6" s="61" t="n"/>
      <c r="E6" s="61" t="n"/>
      <c r="F6" s="61" t="n"/>
      <c r="G6" s="62" t="n"/>
      <c r="H6" s="62" t="n"/>
      <c r="I6" s="60" t="n"/>
      <c r="J6" s="60" t="n"/>
      <c r="K6" s="63">
        <f>IF(I6&gt;0, J6/I6, "")</f>
        <v/>
      </c>
      <c r="L6" s="61" t="n"/>
      <c r="M6" s="61" t="n"/>
    </row>
    <row r="7" ht="20" customHeight="1">
      <c r="B7" s="60" t="n"/>
      <c r="C7" s="60" t="n"/>
      <c r="D7" s="61" t="n"/>
      <c r="E7" s="61" t="n"/>
      <c r="F7" s="61" t="n"/>
      <c r="G7" s="62" t="n"/>
      <c r="H7" s="62" t="n"/>
      <c r="I7" s="60" t="n"/>
      <c r="J7" s="60" t="n"/>
      <c r="K7" s="63">
        <f>IF(I7&gt;0, J7/I7, "")</f>
        <v/>
      </c>
      <c r="L7" s="61" t="n"/>
      <c r="M7" s="61" t="n"/>
    </row>
    <row r="8" ht="20" customHeight="1">
      <c r="B8" s="60" t="n"/>
      <c r="C8" s="60" t="n"/>
      <c r="D8" s="61" t="n"/>
      <c r="E8" s="61" t="n"/>
      <c r="F8" s="61" t="n"/>
      <c r="G8" s="62" t="n"/>
      <c r="H8" s="62" t="n"/>
      <c r="I8" s="60" t="n"/>
      <c r="J8" s="60" t="n"/>
      <c r="K8" s="63">
        <f>IF(I8&gt;0, J8/I8, "")</f>
        <v/>
      </c>
      <c r="L8" s="61" t="n"/>
      <c r="M8" s="61" t="n"/>
    </row>
    <row r="9" ht="20" customHeight="1">
      <c r="B9" s="60" t="n"/>
      <c r="C9" s="60" t="n"/>
      <c r="D9" s="61" t="n"/>
      <c r="E9" s="61" t="n"/>
      <c r="F9" s="61" t="n"/>
      <c r="G9" s="62" t="n"/>
      <c r="H9" s="62" t="n"/>
      <c r="I9" s="60" t="n"/>
      <c r="J9" s="60" t="n"/>
      <c r="K9" s="63">
        <f>IF(I9&gt;0, J9/I9, "")</f>
        <v/>
      </c>
      <c r="L9" s="61" t="n"/>
      <c r="M9" s="61" t="n"/>
    </row>
    <row r="10" ht="20" customHeight="1">
      <c r="B10" s="60" t="n"/>
      <c r="C10" s="60" t="n"/>
      <c r="D10" s="61" t="n"/>
      <c r="E10" s="61" t="n"/>
      <c r="F10" s="61" t="n"/>
      <c r="G10" s="62" t="n"/>
      <c r="H10" s="62" t="n"/>
      <c r="I10" s="60" t="n"/>
      <c r="J10" s="60" t="n"/>
      <c r="K10" s="63">
        <f>IF(I10&gt;0, J10/I10, "")</f>
        <v/>
      </c>
      <c r="L10" s="61" t="n"/>
      <c r="M10" s="61" t="n"/>
    </row>
    <row r="11" ht="20" customHeight="1">
      <c r="B11" s="60" t="n"/>
      <c r="C11" s="60" t="n"/>
      <c r="D11" s="61" t="n"/>
      <c r="E11" s="61" t="n"/>
      <c r="F11" s="61" t="n"/>
      <c r="G11" s="62" t="n"/>
      <c r="H11" s="62" t="n"/>
      <c r="I11" s="60" t="n"/>
      <c r="J11" s="60" t="n"/>
      <c r="K11" s="63">
        <f>IF(I11&gt;0, J11/I11, "")</f>
        <v/>
      </c>
      <c r="L11" s="61" t="n"/>
      <c r="M11" s="61" t="n"/>
    </row>
    <row r="12" ht="20" customHeight="1">
      <c r="B12" s="60" t="n"/>
      <c r="C12" s="60" t="n"/>
      <c r="D12" s="61" t="n"/>
      <c r="E12" s="61" t="n"/>
      <c r="F12" s="61" t="n"/>
      <c r="G12" s="62" t="n"/>
      <c r="H12" s="62" t="n"/>
      <c r="I12" s="60" t="n"/>
      <c r="J12" s="60" t="n"/>
      <c r="K12" s="63">
        <f>IF(I12&gt;0, J12/I12, "")</f>
        <v/>
      </c>
      <c r="L12" s="61" t="n"/>
      <c r="M12" s="61" t="n"/>
    </row>
    <row r="13" ht="20" customHeight="1">
      <c r="B13" s="60" t="n"/>
      <c r="C13" s="60" t="n"/>
      <c r="D13" s="61" t="n"/>
      <c r="E13" s="61" t="n"/>
      <c r="F13" s="61" t="n"/>
      <c r="G13" s="62" t="n"/>
      <c r="H13" s="62" t="n"/>
      <c r="I13" s="60" t="n"/>
      <c r="J13" s="60" t="n"/>
      <c r="K13" s="63">
        <f>IF(I13&gt;0, J13/I13, "")</f>
        <v/>
      </c>
      <c r="L13" s="61" t="n"/>
      <c r="M13" s="61" t="n"/>
    </row>
    <row r="14" ht="20" customHeight="1">
      <c r="B14" s="60" t="n"/>
      <c r="C14" s="60" t="n"/>
      <c r="D14" s="61" t="n"/>
      <c r="E14" s="61" t="n"/>
      <c r="F14" s="61" t="n"/>
      <c r="G14" s="62" t="n"/>
      <c r="H14" s="62" t="n"/>
      <c r="I14" s="60" t="n"/>
      <c r="J14" s="60" t="n"/>
      <c r="K14" s="63">
        <f>IF(I14&gt;0, J14/I14, "")</f>
        <v/>
      </c>
      <c r="L14" s="61" t="n"/>
      <c r="M14" s="61" t="n"/>
    </row>
    <row r="15" ht="20" customHeight="1">
      <c r="B15" s="60" t="n"/>
      <c r="C15" s="60" t="n"/>
      <c r="D15" s="61" t="n"/>
      <c r="E15" s="61" t="n"/>
      <c r="F15" s="61" t="n"/>
      <c r="G15" s="62" t="n"/>
      <c r="H15" s="62" t="n"/>
      <c r="I15" s="60" t="n"/>
      <c r="J15" s="60" t="n"/>
      <c r="K15" s="63">
        <f>IF(I15&gt;0, J15/I15, "")</f>
        <v/>
      </c>
      <c r="L15" s="61" t="n"/>
      <c r="M15" s="61" t="n"/>
    </row>
    <row r="16" ht="20" customHeight="1">
      <c r="B16" s="60" t="n"/>
      <c r="C16" s="60" t="n"/>
      <c r="D16" s="61" t="n"/>
      <c r="E16" s="61" t="n"/>
      <c r="F16" s="61" t="n"/>
      <c r="G16" s="62" t="n"/>
      <c r="H16" s="62" t="n"/>
      <c r="I16" s="60" t="n"/>
      <c r="J16" s="60" t="n"/>
      <c r="K16" s="63">
        <f>IF(I16&gt;0, J16/I16, "")</f>
        <v/>
      </c>
      <c r="L16" s="61" t="n"/>
      <c r="M16" s="61" t="n"/>
    </row>
    <row r="17" ht="20" customHeight="1">
      <c r="B17" s="60" t="n"/>
      <c r="C17" s="60" t="n"/>
      <c r="D17" s="61" t="n"/>
      <c r="E17" s="61" t="n"/>
      <c r="F17" s="61" t="n"/>
      <c r="G17" s="62" t="n"/>
      <c r="H17" s="62" t="n"/>
      <c r="I17" s="60" t="n"/>
      <c r="J17" s="60" t="n"/>
      <c r="K17" s="63">
        <f>IF(I17&gt;0, J17/I17, "")</f>
        <v/>
      </c>
      <c r="L17" s="61" t="n"/>
      <c r="M17" s="61" t="n"/>
    </row>
    <row r="18" ht="20" customHeight="1">
      <c r="B18" s="60" t="n"/>
      <c r="C18" s="60" t="n"/>
      <c r="D18" s="61" t="n"/>
      <c r="E18" s="61" t="n"/>
      <c r="F18" s="61" t="n"/>
      <c r="G18" s="62" t="n"/>
      <c r="H18" s="62" t="n"/>
      <c r="I18" s="60" t="n"/>
      <c r="J18" s="60" t="n"/>
      <c r="K18" s="63">
        <f>IF(I18&gt;0, J18/I18, "")</f>
        <v/>
      </c>
      <c r="L18" s="61" t="n"/>
      <c r="M18" s="61" t="n"/>
    </row>
    <row r="19" ht="20" customHeight="1">
      <c r="B19" s="60" t="n"/>
      <c r="C19" s="60" t="n"/>
      <c r="D19" s="61" t="n"/>
      <c r="E19" s="61" t="n"/>
      <c r="F19" s="61" t="n"/>
      <c r="G19" s="62" t="n"/>
      <c r="H19" s="62" t="n"/>
      <c r="I19" s="60" t="n"/>
      <c r="J19" s="60" t="n"/>
      <c r="K19" s="63">
        <f>IF(I19&gt;0, J19/I19, "")</f>
        <v/>
      </c>
      <c r="L19" s="61" t="n"/>
      <c r="M19" s="61" t="n"/>
    </row>
    <row r="20" ht="20" customHeight="1">
      <c r="B20" s="60" t="n"/>
      <c r="C20" s="60" t="n"/>
      <c r="D20" s="61" t="n"/>
      <c r="E20" s="61" t="n"/>
      <c r="F20" s="61" t="n"/>
      <c r="G20" s="62" t="n"/>
      <c r="H20" s="62" t="n"/>
      <c r="I20" s="60" t="n"/>
      <c r="J20" s="60" t="n"/>
      <c r="K20" s="63">
        <f>IF(I20&gt;0, J20/I20, "")</f>
        <v/>
      </c>
      <c r="L20" s="61" t="n"/>
      <c r="M20" s="61" t="n"/>
    </row>
    <row r="21" ht="20" customHeight="1">
      <c r="B21" s="60" t="n"/>
      <c r="C21" s="60" t="n"/>
      <c r="D21" s="61" t="n"/>
      <c r="E21" s="61" t="n"/>
      <c r="F21" s="61" t="n"/>
      <c r="G21" s="62" t="n"/>
      <c r="H21" s="62" t="n"/>
      <c r="I21" s="60" t="n"/>
      <c r="J21" s="60" t="n"/>
      <c r="K21" s="63">
        <f>IF(I21&gt;0, J21/I21, "")</f>
        <v/>
      </c>
      <c r="L21" s="61" t="n"/>
      <c r="M21" s="61" t="n"/>
    </row>
    <row r="22" ht="20" customHeight="1">
      <c r="B22" s="60" t="n"/>
      <c r="C22" s="60" t="n"/>
      <c r="D22" s="61" t="n"/>
      <c r="E22" s="61" t="n"/>
      <c r="F22" s="61" t="n"/>
      <c r="G22" s="62" t="n"/>
      <c r="H22" s="62" t="n"/>
      <c r="I22" s="60" t="n"/>
      <c r="J22" s="60" t="n"/>
      <c r="K22" s="63">
        <f>IF(I22&gt;0, J22/I22, "")</f>
        <v/>
      </c>
      <c r="L22" s="61" t="n"/>
      <c r="M22" s="61" t="n"/>
    </row>
    <row r="23" ht="20" customHeight="1">
      <c r="B23" s="60" t="n"/>
      <c r="C23" s="60" t="n"/>
      <c r="D23" s="61" t="n"/>
      <c r="E23" s="61" t="n"/>
      <c r="F23" s="61" t="n"/>
      <c r="G23" s="62" t="n"/>
      <c r="H23" s="62" t="n"/>
      <c r="I23" s="60" t="n"/>
      <c r="J23" s="60" t="n"/>
      <c r="K23" s="63">
        <f>IF(I23&gt;0, J23/I23, "")</f>
        <v/>
      </c>
      <c r="L23" s="61" t="n"/>
      <c r="M23" s="61" t="n"/>
    </row>
    <row r="24" ht="20" customHeight="1">
      <c r="B24" s="60" t="n"/>
      <c r="C24" s="60" t="n"/>
      <c r="D24" s="61" t="n"/>
      <c r="E24" s="61" t="n"/>
      <c r="F24" s="61" t="n"/>
      <c r="G24" s="62" t="n"/>
      <c r="H24" s="62" t="n"/>
      <c r="I24" s="60" t="n"/>
      <c r="J24" s="60" t="n"/>
      <c r="K24" s="63">
        <f>IF(I24&gt;0, J24/I24, "")</f>
        <v/>
      </c>
      <c r="L24" s="61" t="n"/>
      <c r="M24" s="61" t="n"/>
    </row>
    <row r="25" ht="20" customHeight="1">
      <c r="B25" s="60" t="n"/>
      <c r="C25" s="60" t="n"/>
      <c r="D25" s="61" t="n"/>
      <c r="E25" s="61" t="n"/>
      <c r="F25" s="61" t="n"/>
      <c r="G25" s="62" t="n"/>
      <c r="H25" s="62" t="n"/>
      <c r="I25" s="60" t="n"/>
      <c r="J25" s="60" t="n"/>
      <c r="K25" s="63">
        <f>IF(I25&gt;0, J25/I25, "")</f>
        <v/>
      </c>
      <c r="L25" s="61" t="n"/>
      <c r="M25" s="61" t="n"/>
    </row>
    <row r="26" ht="20" customHeight="1">
      <c r="B26" s="60" t="n"/>
      <c r="C26" s="60" t="n"/>
      <c r="D26" s="61" t="n"/>
      <c r="E26" s="61" t="n"/>
      <c r="F26" s="61" t="n"/>
      <c r="G26" s="62" t="n"/>
      <c r="H26" s="62" t="n"/>
      <c r="I26" s="60" t="n"/>
      <c r="J26" s="60" t="n"/>
      <c r="K26" s="63">
        <f>IF(I26&gt;0, J26/I26, "")</f>
        <v/>
      </c>
      <c r="L26" s="61" t="n"/>
      <c r="M26" s="61" t="n"/>
    </row>
    <row r="27" ht="20" customHeight="1">
      <c r="B27" s="60" t="n"/>
      <c r="C27" s="60" t="n"/>
      <c r="D27" s="61" t="n"/>
      <c r="E27" s="61" t="n"/>
      <c r="F27" s="61" t="n"/>
      <c r="G27" s="62" t="n"/>
      <c r="H27" s="62" t="n"/>
      <c r="I27" s="60" t="n"/>
      <c r="J27" s="60" t="n"/>
      <c r="K27" s="63">
        <f>IF(I27&gt;0, J27/I27, "")</f>
        <v/>
      </c>
      <c r="L27" s="61" t="n"/>
      <c r="M27" s="61" t="n"/>
    </row>
    <row r="28" ht="20" customHeight="1">
      <c r="B28" s="60" t="n"/>
      <c r="C28" s="60" t="n"/>
      <c r="D28" s="61" t="n"/>
      <c r="E28" s="61" t="n"/>
      <c r="F28" s="61" t="n"/>
      <c r="G28" s="62" t="n"/>
      <c r="H28" s="62" t="n"/>
      <c r="I28" s="60" t="n"/>
      <c r="J28" s="60" t="n"/>
      <c r="K28" s="63">
        <f>IF(I28&gt;0, J28/I28, "")</f>
        <v/>
      </c>
      <c r="L28" s="61" t="n"/>
      <c r="M28" s="61" t="n"/>
    </row>
    <row r="29" ht="20" customHeight="1">
      <c r="B29" s="60" t="n"/>
      <c r="C29" s="60" t="n"/>
      <c r="D29" s="61" t="n"/>
      <c r="E29" s="61" t="n"/>
      <c r="F29" s="61" t="n"/>
      <c r="G29" s="62" t="n"/>
      <c r="H29" s="62" t="n"/>
      <c r="I29" s="60" t="n"/>
      <c r="J29" s="60" t="n"/>
      <c r="K29" s="63">
        <f>IF(I29&gt;0, J29/I29, "")</f>
        <v/>
      </c>
      <c r="L29" s="61" t="n"/>
      <c r="M29" s="61" t="n"/>
    </row>
    <row r="30" ht="20" customHeight="1">
      <c r="B30" s="60" t="n"/>
      <c r="C30" s="60" t="n"/>
      <c r="D30" s="61" t="n"/>
      <c r="E30" s="61" t="n"/>
      <c r="F30" s="61" t="n"/>
      <c r="G30" s="62" t="n"/>
      <c r="H30" s="62" t="n"/>
      <c r="I30" s="60" t="n"/>
      <c r="J30" s="60" t="n"/>
      <c r="K30" s="63">
        <f>IF(I30&gt;0, J30/I30, "")</f>
        <v/>
      </c>
      <c r="L30" s="61" t="n"/>
      <c r="M30" s="61" t="n"/>
    </row>
    <row r="31" ht="20" customHeight="1">
      <c r="B31" s="60" t="n"/>
      <c r="C31" s="60" t="n"/>
      <c r="D31" s="61" t="n"/>
      <c r="E31" s="61" t="n"/>
      <c r="F31" s="61" t="n"/>
      <c r="G31" s="62" t="n"/>
      <c r="H31" s="62" t="n"/>
      <c r="I31" s="60" t="n"/>
      <c r="J31" s="60" t="n"/>
      <c r="K31" s="63">
        <f>IF(I31&gt;0, J31/I31, "")</f>
        <v/>
      </c>
      <c r="L31" s="61" t="n"/>
      <c r="M31" s="61" t="n"/>
    </row>
    <row r="32" ht="20" customHeight="1">
      <c r="B32" s="60" t="n"/>
      <c r="C32" s="60" t="n"/>
      <c r="D32" s="61" t="n"/>
      <c r="E32" s="61" t="n"/>
      <c r="F32" s="61" t="n"/>
      <c r="G32" s="62" t="n"/>
      <c r="H32" s="62" t="n"/>
      <c r="I32" s="60" t="n"/>
      <c r="J32" s="60" t="n"/>
      <c r="K32" s="63">
        <f>IF(I32&gt;0, J32/I32, "")</f>
        <v/>
      </c>
      <c r="L32" s="61" t="n"/>
      <c r="M32" s="61" t="n"/>
    </row>
    <row r="33" ht="20" customHeight="1">
      <c r="B33" s="60" t="n"/>
      <c r="C33" s="60" t="n"/>
      <c r="D33" s="61" t="n"/>
      <c r="E33" s="61" t="n"/>
      <c r="F33" s="61" t="n"/>
      <c r="G33" s="62" t="n"/>
      <c r="H33" s="62" t="n"/>
      <c r="I33" s="60" t="n"/>
      <c r="J33" s="60" t="n"/>
      <c r="K33" s="63">
        <f>IF(I33&gt;0, J33/I33, "")</f>
        <v/>
      </c>
      <c r="L33" s="61" t="n"/>
      <c r="M33" s="61" t="n"/>
    </row>
    <row r="34" ht="20" customHeight="1">
      <c r="B34" s="60" t="n"/>
      <c r="C34" s="60" t="n"/>
      <c r="D34" s="61" t="n"/>
      <c r="E34" s="61" t="n"/>
      <c r="F34" s="61" t="n"/>
      <c r="G34" s="62" t="n"/>
      <c r="H34" s="62" t="n"/>
      <c r="I34" s="60" t="n"/>
      <c r="J34" s="60" t="n"/>
      <c r="K34" s="63">
        <f>IF(I34&gt;0, J34/I34, "")</f>
        <v/>
      </c>
      <c r="L34" s="61" t="n"/>
      <c r="M34" s="61" t="n"/>
    </row>
    <row r="35" ht="20" customHeight="1">
      <c r="B35" s="60" t="n"/>
      <c r="C35" s="60" t="n"/>
      <c r="D35" s="61" t="n"/>
      <c r="E35" s="61" t="n"/>
      <c r="F35" s="61" t="n"/>
      <c r="G35" s="62" t="n"/>
      <c r="H35" s="62" t="n"/>
      <c r="I35" s="60" t="n"/>
      <c r="J35" s="60" t="n"/>
      <c r="K35" s="63">
        <f>IF(I35&gt;0, J35/I35, "")</f>
        <v/>
      </c>
      <c r="L35" s="61" t="n"/>
      <c r="M35" s="61" t="n"/>
    </row>
    <row r="36" ht="20" customHeight="1">
      <c r="B36" s="60" t="n"/>
      <c r="C36" s="60" t="n"/>
      <c r="D36" s="61" t="n"/>
      <c r="E36" s="61" t="n"/>
      <c r="F36" s="61" t="n"/>
      <c r="G36" s="62" t="n"/>
      <c r="H36" s="62" t="n"/>
      <c r="I36" s="60" t="n"/>
      <c r="J36" s="60" t="n"/>
      <c r="K36" s="63">
        <f>IF(I36&gt;0, J36/I36, "")</f>
        <v/>
      </c>
      <c r="L36" s="61" t="n"/>
      <c r="M36" s="61" t="n"/>
    </row>
    <row r="37" ht="20" customHeight="1">
      <c r="B37" s="60" t="n"/>
      <c r="C37" s="60" t="n"/>
      <c r="D37" s="61" t="n"/>
      <c r="E37" s="61" t="n"/>
      <c r="F37" s="61" t="n"/>
      <c r="G37" s="62" t="n"/>
      <c r="H37" s="62" t="n"/>
      <c r="I37" s="60" t="n"/>
      <c r="J37" s="60" t="n"/>
      <c r="K37" s="63">
        <f>IF(I37&gt;0, J37/I37, "")</f>
        <v/>
      </c>
      <c r="L37" s="61" t="n"/>
      <c r="M37" s="61" t="n"/>
    </row>
    <row r="38" ht="20" customHeight="1">
      <c r="B38" s="60" t="n"/>
      <c r="C38" s="60" t="n"/>
      <c r="D38" s="61" t="n"/>
      <c r="E38" s="61" t="n"/>
      <c r="F38" s="61" t="n"/>
      <c r="G38" s="62" t="n"/>
      <c r="H38" s="62" t="n"/>
      <c r="I38" s="60" t="n"/>
      <c r="J38" s="60" t="n"/>
      <c r="K38" s="63">
        <f>IF(I38&gt;0, J38/I38, "")</f>
        <v/>
      </c>
      <c r="L38" s="61" t="n"/>
      <c r="M38" s="61" t="n"/>
    </row>
    <row r="39" ht="20" customHeight="1">
      <c r="B39" s="60" t="n"/>
      <c r="C39" s="60" t="n"/>
      <c r="D39" s="61" t="n"/>
      <c r="E39" s="61" t="n"/>
      <c r="F39" s="61" t="n"/>
      <c r="G39" s="62" t="n"/>
      <c r="H39" s="62" t="n"/>
      <c r="I39" s="60" t="n"/>
      <c r="J39" s="60" t="n"/>
      <c r="K39" s="63">
        <f>IF(I39&gt;0, J39/I39, "")</f>
        <v/>
      </c>
      <c r="L39" s="61" t="n"/>
      <c r="M39" s="61" t="n"/>
    </row>
    <row r="40" ht="20" customHeight="1">
      <c r="B40" s="60" t="n"/>
      <c r="C40" s="60" t="n"/>
      <c r="D40" s="61" t="n"/>
      <c r="E40" s="61" t="n"/>
      <c r="F40" s="61" t="n"/>
      <c r="G40" s="62" t="n"/>
      <c r="H40" s="62" t="n"/>
      <c r="I40" s="60" t="n"/>
      <c r="J40" s="60" t="n"/>
      <c r="K40" s="63">
        <f>IF(I40&gt;0, J40/I40, "")</f>
        <v/>
      </c>
      <c r="L40" s="61" t="n"/>
      <c r="M40" s="61" t="n"/>
    </row>
    <row r="41" ht="20" customHeight="1">
      <c r="B41" s="60" t="n"/>
      <c r="C41" s="60" t="n"/>
      <c r="D41" s="61" t="n"/>
      <c r="E41" s="61" t="n"/>
      <c r="F41" s="61" t="n"/>
      <c r="G41" s="62" t="n"/>
      <c r="H41" s="62" t="n"/>
      <c r="I41" s="60" t="n"/>
      <c r="J41" s="60" t="n"/>
      <c r="K41" s="63">
        <f>IF(I41&gt;0, J41/I41, "")</f>
        <v/>
      </c>
      <c r="L41" s="61" t="n"/>
      <c r="M41" s="61" t="n"/>
    </row>
    <row r="42" ht="20" customHeight="1">
      <c r="B42" s="60" t="n"/>
      <c r="C42" s="60" t="n"/>
      <c r="D42" s="61" t="n"/>
      <c r="E42" s="61" t="n"/>
      <c r="F42" s="61" t="n"/>
      <c r="G42" s="62" t="n"/>
      <c r="H42" s="62" t="n"/>
      <c r="I42" s="60" t="n"/>
      <c r="J42" s="60" t="n"/>
      <c r="K42" s="63">
        <f>IF(I42&gt;0, J42/I42, "")</f>
        <v/>
      </c>
      <c r="L42" s="61" t="n"/>
      <c r="M42" s="61" t="n"/>
    </row>
    <row r="43" ht="20" customHeight="1">
      <c r="B43" s="60" t="n"/>
      <c r="C43" s="60" t="n"/>
      <c r="D43" s="61" t="n"/>
      <c r="E43" s="61" t="n"/>
      <c r="F43" s="61" t="n"/>
      <c r="G43" s="62" t="n"/>
      <c r="H43" s="62" t="n"/>
      <c r="I43" s="60" t="n"/>
      <c r="J43" s="60" t="n"/>
      <c r="K43" s="63">
        <f>IF(I43&gt;0, J43/I43, "")</f>
        <v/>
      </c>
      <c r="L43" s="61" t="n"/>
      <c r="M43" s="61" t="n"/>
    </row>
    <row r="44" ht="20" customHeight="1">
      <c r="B44" s="60" t="n"/>
      <c r="C44" s="60" t="n"/>
      <c r="D44" s="61" t="n"/>
      <c r="E44" s="61" t="n"/>
      <c r="F44" s="61" t="n"/>
      <c r="G44" s="62" t="n"/>
      <c r="H44" s="62" t="n"/>
      <c r="I44" s="60" t="n"/>
      <c r="J44" s="60" t="n"/>
      <c r="K44" s="63">
        <f>IF(I44&gt;0, J44/I44, "")</f>
        <v/>
      </c>
      <c r="L44" s="61" t="n"/>
      <c r="M44" s="61" t="n"/>
    </row>
    <row r="45" ht="20" customHeight="1">
      <c r="B45" s="60" t="n"/>
      <c r="C45" s="60" t="n"/>
      <c r="D45" s="61" t="n"/>
      <c r="E45" s="61" t="n"/>
      <c r="F45" s="61" t="n"/>
      <c r="G45" s="62" t="n"/>
      <c r="H45" s="62" t="n"/>
      <c r="I45" s="60" t="n"/>
      <c r="J45" s="60" t="n"/>
      <c r="K45" s="63">
        <f>IF(I45&gt;0, J45/I45, "")</f>
        <v/>
      </c>
      <c r="L45" s="61" t="n"/>
      <c r="M45" s="61" t="n"/>
    </row>
    <row r="46" ht="20" customHeight="1">
      <c r="B46" s="60" t="n"/>
      <c r="C46" s="60" t="n"/>
      <c r="D46" s="61" t="n"/>
      <c r="E46" s="61" t="n"/>
      <c r="F46" s="61" t="n"/>
      <c r="G46" s="62" t="n"/>
      <c r="H46" s="62" t="n"/>
      <c r="I46" s="60" t="n"/>
      <c r="J46" s="60" t="n"/>
      <c r="K46" s="63">
        <f>IF(I46&gt;0, J46/I46, "")</f>
        <v/>
      </c>
      <c r="L46" s="61" t="n"/>
      <c r="M46" s="61" t="n"/>
    </row>
    <row r="47" ht="20" customHeight="1">
      <c r="B47" s="60" t="n"/>
      <c r="C47" s="60" t="n"/>
      <c r="D47" s="61" t="n"/>
      <c r="E47" s="61" t="n"/>
      <c r="F47" s="61" t="n"/>
      <c r="G47" s="62" t="n"/>
      <c r="H47" s="62" t="n"/>
      <c r="I47" s="60" t="n"/>
      <c r="J47" s="60" t="n"/>
      <c r="K47" s="63">
        <f>IF(I47&gt;0, J47/I47, "")</f>
        <v/>
      </c>
      <c r="L47" s="61" t="n"/>
      <c r="M47" s="61" t="n"/>
    </row>
    <row r="48" ht="20" customHeight="1">
      <c r="B48" s="60" t="n"/>
      <c r="C48" s="60" t="n"/>
      <c r="D48" s="61" t="n"/>
      <c r="E48" s="61" t="n"/>
      <c r="F48" s="61" t="n"/>
      <c r="G48" s="62" t="n"/>
      <c r="H48" s="62" t="n"/>
      <c r="I48" s="60" t="n"/>
      <c r="J48" s="60" t="n"/>
      <c r="K48" s="63">
        <f>IF(I48&gt;0, J48/I48, "")</f>
        <v/>
      </c>
      <c r="L48" s="61" t="n"/>
      <c r="M48" s="61" t="n"/>
    </row>
    <row r="49" ht="20" customHeight="1">
      <c r="B49" s="60" t="n"/>
      <c r="C49" s="60" t="n"/>
      <c r="D49" s="61" t="n"/>
      <c r="E49" s="61" t="n"/>
      <c r="F49" s="61" t="n"/>
      <c r="G49" s="62" t="n"/>
      <c r="H49" s="62" t="n"/>
      <c r="I49" s="60" t="n"/>
      <c r="J49" s="60" t="n"/>
      <c r="K49" s="63">
        <f>IF(I49&gt;0, J49/I49, "")</f>
        <v/>
      </c>
      <c r="L49" s="61" t="n"/>
      <c r="M49" s="61" t="n"/>
    </row>
    <row r="50" ht="20" customHeight="1">
      <c r="B50" s="60" t="n"/>
      <c r="C50" s="60" t="n"/>
      <c r="D50" s="61" t="n"/>
      <c r="E50" s="61" t="n"/>
      <c r="F50" s="61" t="n"/>
      <c r="G50" s="62" t="n"/>
      <c r="H50" s="62" t="n"/>
      <c r="I50" s="60" t="n"/>
      <c r="J50" s="60" t="n"/>
      <c r="K50" s="63">
        <f>IF(I50&gt;0, J50/I50, "")</f>
        <v/>
      </c>
      <c r="L50" s="61" t="n"/>
      <c r="M50" s="61" t="n"/>
    </row>
    <row r="51" ht="20" customHeight="1">
      <c r="B51" s="60" t="n"/>
      <c r="C51" s="60" t="n"/>
      <c r="D51" s="61" t="n"/>
      <c r="E51" s="61" t="n"/>
      <c r="F51" s="61" t="n"/>
      <c r="G51" s="62" t="n"/>
      <c r="H51" s="62" t="n"/>
      <c r="I51" s="60" t="n"/>
      <c r="J51" s="60" t="n"/>
      <c r="K51" s="63">
        <f>IF(I51&gt;0, J51/I51, "")</f>
        <v/>
      </c>
      <c r="L51" s="61" t="n"/>
      <c r="M51" s="61" t="n"/>
    </row>
    <row r="52" ht="20" customHeight="1">
      <c r="B52" s="60" t="n"/>
      <c r="C52" s="60" t="n"/>
      <c r="D52" s="61" t="n"/>
      <c r="E52" s="61" t="n"/>
      <c r="F52" s="61" t="n"/>
      <c r="G52" s="62" t="n"/>
      <c r="H52" s="62" t="n"/>
      <c r="I52" s="60" t="n"/>
      <c r="J52" s="60" t="n"/>
      <c r="K52" s="63">
        <f>IF(I52&gt;0, J52/I52, "")</f>
        <v/>
      </c>
      <c r="L52" s="61" t="n"/>
      <c r="M52" s="61" t="n"/>
    </row>
    <row r="53" ht="20" customHeight="1">
      <c r="B53" s="60" t="n"/>
      <c r="C53" s="60" t="n"/>
      <c r="D53" s="61" t="n"/>
      <c r="E53" s="61" t="n"/>
      <c r="F53" s="61" t="n"/>
      <c r="G53" s="62" t="n"/>
      <c r="H53" s="62" t="n"/>
      <c r="I53" s="60" t="n"/>
      <c r="J53" s="60" t="n"/>
      <c r="K53" s="63">
        <f>IF(I53&gt;0, J53/I53, "")</f>
        <v/>
      </c>
      <c r="L53" s="61" t="n"/>
      <c r="M53" s="61" t="n"/>
    </row>
    <row r="54" ht="20" customHeight="1">
      <c r="B54" s="60" t="n"/>
      <c r="C54" s="60" t="n"/>
      <c r="D54" s="61" t="n"/>
      <c r="E54" s="61" t="n"/>
      <c r="F54" s="61" t="n"/>
      <c r="G54" s="62" t="n"/>
      <c r="H54" s="62" t="n"/>
      <c r="I54" s="60" t="n"/>
      <c r="J54" s="60" t="n"/>
      <c r="K54" s="63">
        <f>IF(I54&gt;0, J54/I54, "")</f>
        <v/>
      </c>
      <c r="L54" s="61" t="n"/>
      <c r="M54" s="61" t="n"/>
    </row>
    <row r="55" ht="20" customHeight="1">
      <c r="B55" s="60" t="n"/>
      <c r="C55" s="60" t="n"/>
      <c r="D55" s="61" t="n"/>
      <c r="E55" s="61" t="n"/>
      <c r="F55" s="61" t="n"/>
      <c r="G55" s="62" t="n"/>
      <c r="H55" s="62" t="n"/>
      <c r="I55" s="60" t="n"/>
      <c r="J55" s="60" t="n"/>
      <c r="K55" s="63">
        <f>IF(I55&gt;0, J55/I55, "")</f>
        <v/>
      </c>
      <c r="L55" s="61" t="n"/>
      <c r="M55" s="61" t="n"/>
    </row>
    <row r="56" ht="20" customHeight="1">
      <c r="B56" s="60" t="n"/>
      <c r="C56" s="60" t="n"/>
      <c r="D56" s="61" t="n"/>
      <c r="E56" s="61" t="n"/>
      <c r="F56" s="61" t="n"/>
      <c r="G56" s="62" t="n"/>
      <c r="H56" s="62" t="n"/>
      <c r="I56" s="60" t="n"/>
      <c r="J56" s="60" t="n"/>
      <c r="K56" s="63">
        <f>IF(I56&gt;0, J56/I56, "")</f>
        <v/>
      </c>
      <c r="L56" s="61" t="n"/>
      <c r="M56" s="61" t="n"/>
    </row>
    <row r="57" ht="20" customHeight="1">
      <c r="B57" s="60" t="n"/>
      <c r="C57" s="60" t="n"/>
      <c r="D57" s="61" t="n"/>
      <c r="E57" s="61" t="n"/>
      <c r="F57" s="61" t="n"/>
      <c r="G57" s="62" t="n"/>
      <c r="H57" s="62" t="n"/>
      <c r="I57" s="60" t="n"/>
      <c r="J57" s="60" t="n"/>
      <c r="K57" s="63">
        <f>IF(I57&gt;0, J57/I57, "")</f>
        <v/>
      </c>
      <c r="L57" s="61" t="n"/>
      <c r="M57" s="61" t="n"/>
    </row>
    <row r="58" ht="20" customHeight="1">
      <c r="B58" s="60" t="n"/>
      <c r="C58" s="60" t="n"/>
      <c r="D58" s="61" t="n"/>
      <c r="E58" s="61" t="n"/>
      <c r="F58" s="61" t="n"/>
      <c r="G58" s="62" t="n"/>
      <c r="H58" s="62" t="n"/>
      <c r="I58" s="60" t="n"/>
      <c r="J58" s="60" t="n"/>
      <c r="K58" s="63">
        <f>IF(I58&gt;0, J58/I58, "")</f>
        <v/>
      </c>
      <c r="L58" s="61" t="n"/>
      <c r="M58" s="61" t="n"/>
    </row>
    <row r="59" ht="20" customHeight="1">
      <c r="B59" s="60" t="n"/>
      <c r="C59" s="60" t="n"/>
      <c r="D59" s="61" t="n"/>
      <c r="E59" s="61" t="n"/>
      <c r="F59" s="61" t="n"/>
      <c r="G59" s="62" t="n"/>
      <c r="H59" s="62" t="n"/>
      <c r="I59" s="60" t="n"/>
      <c r="J59" s="60" t="n"/>
      <c r="K59" s="63">
        <f>IF(I59&gt;0, J59/I59, "")</f>
        <v/>
      </c>
      <c r="L59" s="61" t="n"/>
      <c r="M59" s="61" t="n"/>
    </row>
    <row r="60" ht="20" customHeight="1">
      <c r="B60" s="60" t="n"/>
      <c r="C60" s="60" t="n"/>
      <c r="D60" s="61" t="n"/>
      <c r="E60" s="61" t="n"/>
      <c r="F60" s="61" t="n"/>
      <c r="G60" s="62" t="n"/>
      <c r="H60" s="62" t="n"/>
      <c r="I60" s="60" t="n"/>
      <c r="J60" s="60" t="n"/>
      <c r="K60" s="63">
        <f>IF(I60&gt;0, J60/I60, "")</f>
        <v/>
      </c>
      <c r="L60" s="61" t="n"/>
      <c r="M60" s="6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M6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16" customWidth="1" min="4" max="4"/>
    <col width="35" customWidth="1" min="5" max="5"/>
    <col width="25" customWidth="1" min="6" max="6"/>
    <col width="10" customWidth="1" min="7" max="7"/>
    <col width="16" customWidth="1" min="8" max="8"/>
    <col width="14" customWidth="1" min="9" max="9"/>
    <col width="16" customWidth="1" min="10" max="10"/>
    <col width="12" customWidth="1" min="11" max="11"/>
    <col width="24" customWidth="1" min="12" max="12"/>
    <col width="24" customWidth="1" min="13" max="13"/>
  </cols>
  <sheetData>
    <row r="2" ht="28" customHeight="1">
      <c r="B2" s="59" t="inlineStr">
        <is>
          <t>S.No</t>
        </is>
      </c>
      <c r="C2" s="59" t="inlineStr">
        <is>
          <t>Date</t>
        </is>
      </c>
      <c r="D2" s="59" t="inlineStr">
        <is>
          <t>Task worker</t>
        </is>
      </c>
      <c r="E2" s="59" t="inlineStr">
        <is>
          <t>Task</t>
        </is>
      </c>
      <c r="F2" s="59" t="inlineStr">
        <is>
          <t>Assets/Units/ISOs/PIDs</t>
        </is>
      </c>
      <c r="G2" s="59" t="inlineStr">
        <is>
          <t>Hrs/day</t>
        </is>
      </c>
      <c r="H2" s="59" t="inlineStr">
        <is>
          <t>metric/task in hrs</t>
        </is>
      </c>
      <c r="I2" s="59" t="inlineStr">
        <is>
          <t>count per day</t>
        </is>
      </c>
      <c r="J2" s="59" t="inlineStr">
        <is>
          <t>achieved on the day</t>
        </is>
      </c>
      <c r="K2" s="59" t="inlineStr">
        <is>
          <t>Efficiency</t>
        </is>
      </c>
      <c r="L2" s="59" t="inlineStr">
        <is>
          <t>Road blocks</t>
        </is>
      </c>
      <c r="M2" s="59" t="inlineStr">
        <is>
          <t>Notes</t>
        </is>
      </c>
    </row>
    <row r="3" ht="20" customHeight="1">
      <c r="B3" s="60" t="n"/>
      <c r="C3" s="60" t="n"/>
      <c r="D3" s="61" t="n"/>
      <c r="E3" s="61" t="n"/>
      <c r="F3" s="61" t="n"/>
      <c r="G3" s="62" t="n"/>
      <c r="H3" s="62" t="n"/>
      <c r="I3" s="60" t="n"/>
      <c r="J3" s="60" t="n"/>
      <c r="K3" s="63">
        <f>IF(I3&gt;0, J3/I3, "")</f>
        <v/>
      </c>
      <c r="L3" s="61" t="n"/>
      <c r="M3" s="61" t="n"/>
    </row>
    <row r="4" ht="20" customHeight="1">
      <c r="B4" s="60" t="n"/>
      <c r="C4" s="60" t="n"/>
      <c r="D4" s="61" t="n"/>
      <c r="E4" s="61" t="n"/>
      <c r="F4" s="61" t="n"/>
      <c r="G4" s="62" t="n"/>
      <c r="H4" s="62" t="n"/>
      <c r="I4" s="60" t="n"/>
      <c r="J4" s="60" t="n"/>
      <c r="K4" s="63">
        <f>IF(I4&gt;0, J4/I4, "")</f>
        <v/>
      </c>
      <c r="L4" s="61" t="n"/>
      <c r="M4" s="61" t="n"/>
    </row>
    <row r="5" ht="20" customHeight="1">
      <c r="B5" s="60" t="n"/>
      <c r="C5" s="60" t="n"/>
      <c r="D5" s="61" t="n"/>
      <c r="E5" s="61" t="n"/>
      <c r="F5" s="61" t="n"/>
      <c r="G5" s="62" t="n"/>
      <c r="H5" s="62" t="n"/>
      <c r="I5" s="60" t="n"/>
      <c r="J5" s="60" t="n"/>
      <c r="K5" s="63">
        <f>IF(I5&gt;0, J5/I5, "")</f>
        <v/>
      </c>
      <c r="L5" s="61" t="n"/>
      <c r="M5" s="61" t="n"/>
    </row>
    <row r="6" ht="20" customHeight="1">
      <c r="B6" s="60" t="n"/>
      <c r="C6" s="60" t="n"/>
      <c r="D6" s="61" t="n"/>
      <c r="E6" s="61" t="n"/>
      <c r="F6" s="61" t="n"/>
      <c r="G6" s="62" t="n"/>
      <c r="H6" s="62" t="n"/>
      <c r="I6" s="60" t="n"/>
      <c r="J6" s="60" t="n"/>
      <c r="K6" s="63">
        <f>IF(I6&gt;0, J6/I6, "")</f>
        <v/>
      </c>
      <c r="L6" s="61" t="n"/>
      <c r="M6" s="61" t="n"/>
    </row>
    <row r="7" ht="20" customHeight="1">
      <c r="B7" s="60" t="n"/>
      <c r="C7" s="60" t="n"/>
      <c r="D7" s="61" t="n"/>
      <c r="E7" s="61" t="n"/>
      <c r="F7" s="61" t="n"/>
      <c r="G7" s="62" t="n"/>
      <c r="H7" s="62" t="n"/>
      <c r="I7" s="60" t="n"/>
      <c r="J7" s="60" t="n"/>
      <c r="K7" s="63">
        <f>IF(I7&gt;0, J7/I7, "")</f>
        <v/>
      </c>
      <c r="L7" s="61" t="n"/>
      <c r="M7" s="61" t="n"/>
    </row>
    <row r="8" ht="20" customHeight="1">
      <c r="B8" s="60" t="n"/>
      <c r="C8" s="60" t="n"/>
      <c r="D8" s="61" t="n"/>
      <c r="E8" s="61" t="n"/>
      <c r="F8" s="61" t="n"/>
      <c r="G8" s="62" t="n"/>
      <c r="H8" s="62" t="n"/>
      <c r="I8" s="60" t="n"/>
      <c r="J8" s="60" t="n"/>
      <c r="K8" s="63">
        <f>IF(I8&gt;0, J8/I8, "")</f>
        <v/>
      </c>
      <c r="L8" s="61" t="n"/>
      <c r="M8" s="61" t="n"/>
    </row>
    <row r="9" ht="20" customHeight="1">
      <c r="B9" s="60" t="n"/>
      <c r="C9" s="60" t="n"/>
      <c r="D9" s="61" t="n"/>
      <c r="E9" s="61" t="n"/>
      <c r="F9" s="61" t="n"/>
      <c r="G9" s="62" t="n"/>
      <c r="H9" s="62" t="n"/>
      <c r="I9" s="60" t="n"/>
      <c r="J9" s="60" t="n"/>
      <c r="K9" s="63">
        <f>IF(I9&gt;0, J9/I9, "")</f>
        <v/>
      </c>
      <c r="L9" s="61" t="n"/>
      <c r="M9" s="61" t="n"/>
    </row>
    <row r="10" ht="20" customHeight="1">
      <c r="B10" s="60" t="n"/>
      <c r="C10" s="60" t="n"/>
      <c r="D10" s="61" t="n"/>
      <c r="E10" s="61" t="n"/>
      <c r="F10" s="61" t="n"/>
      <c r="G10" s="62" t="n"/>
      <c r="H10" s="62" t="n"/>
      <c r="I10" s="60" t="n"/>
      <c r="J10" s="60" t="n"/>
      <c r="K10" s="63">
        <f>IF(I10&gt;0, J10/I10, "")</f>
        <v/>
      </c>
      <c r="L10" s="61" t="n"/>
      <c r="M10" s="61" t="n"/>
    </row>
    <row r="11" ht="20" customHeight="1">
      <c r="B11" s="60" t="n"/>
      <c r="C11" s="60" t="n"/>
      <c r="D11" s="61" t="n"/>
      <c r="E11" s="61" t="n"/>
      <c r="F11" s="61" t="n"/>
      <c r="G11" s="62" t="n"/>
      <c r="H11" s="62" t="n"/>
      <c r="I11" s="60" t="n"/>
      <c r="J11" s="60" t="n"/>
      <c r="K11" s="63">
        <f>IF(I11&gt;0, J11/I11, "")</f>
        <v/>
      </c>
      <c r="L11" s="61" t="n"/>
      <c r="M11" s="61" t="n"/>
    </row>
    <row r="12" ht="20" customHeight="1">
      <c r="B12" s="60" t="n"/>
      <c r="C12" s="60" t="n"/>
      <c r="D12" s="61" t="n"/>
      <c r="E12" s="61" t="n"/>
      <c r="F12" s="61" t="n"/>
      <c r="G12" s="62" t="n"/>
      <c r="H12" s="62" t="n"/>
      <c r="I12" s="60" t="n"/>
      <c r="J12" s="60" t="n"/>
      <c r="K12" s="63">
        <f>IF(I12&gt;0, J12/I12, "")</f>
        <v/>
      </c>
      <c r="L12" s="61" t="n"/>
      <c r="M12" s="61" t="n"/>
    </row>
    <row r="13" ht="20" customHeight="1">
      <c r="B13" s="60" t="n"/>
      <c r="C13" s="60" t="n"/>
      <c r="D13" s="61" t="n"/>
      <c r="E13" s="61" t="n"/>
      <c r="F13" s="61" t="n"/>
      <c r="G13" s="62" t="n"/>
      <c r="H13" s="62" t="n"/>
      <c r="I13" s="60" t="n"/>
      <c r="J13" s="60" t="n"/>
      <c r="K13" s="63">
        <f>IF(I13&gt;0, J13/I13, "")</f>
        <v/>
      </c>
      <c r="L13" s="61" t="n"/>
      <c r="M13" s="61" t="n"/>
    </row>
    <row r="14" ht="20" customHeight="1">
      <c r="B14" s="60" t="n"/>
      <c r="C14" s="60" t="n"/>
      <c r="D14" s="61" t="n"/>
      <c r="E14" s="61" t="n"/>
      <c r="F14" s="61" t="n"/>
      <c r="G14" s="62" t="n"/>
      <c r="H14" s="62" t="n"/>
      <c r="I14" s="60" t="n"/>
      <c r="J14" s="60" t="n"/>
      <c r="K14" s="63">
        <f>IF(I14&gt;0, J14/I14, "")</f>
        <v/>
      </c>
      <c r="L14" s="61" t="n"/>
      <c r="M14" s="61" t="n"/>
    </row>
    <row r="15" ht="20" customHeight="1">
      <c r="B15" s="60" t="n"/>
      <c r="C15" s="60" t="n"/>
      <c r="D15" s="61" t="n"/>
      <c r="E15" s="61" t="n"/>
      <c r="F15" s="61" t="n"/>
      <c r="G15" s="62" t="n"/>
      <c r="H15" s="62" t="n"/>
      <c r="I15" s="60" t="n"/>
      <c r="J15" s="60" t="n"/>
      <c r="K15" s="63">
        <f>IF(I15&gt;0, J15/I15, "")</f>
        <v/>
      </c>
      <c r="L15" s="61" t="n"/>
      <c r="M15" s="61" t="n"/>
    </row>
    <row r="16" ht="20" customHeight="1">
      <c r="B16" s="60" t="n"/>
      <c r="C16" s="60" t="n"/>
      <c r="D16" s="61" t="n"/>
      <c r="E16" s="61" t="n"/>
      <c r="F16" s="61" t="n"/>
      <c r="G16" s="62" t="n"/>
      <c r="H16" s="62" t="n"/>
      <c r="I16" s="60" t="n"/>
      <c r="J16" s="60" t="n"/>
      <c r="K16" s="63">
        <f>IF(I16&gt;0, J16/I16, "")</f>
        <v/>
      </c>
      <c r="L16" s="61" t="n"/>
      <c r="M16" s="61" t="n"/>
    </row>
    <row r="17" ht="20" customHeight="1">
      <c r="B17" s="60" t="n"/>
      <c r="C17" s="60" t="n"/>
      <c r="D17" s="61" t="n"/>
      <c r="E17" s="61" t="n"/>
      <c r="F17" s="61" t="n"/>
      <c r="G17" s="62" t="n"/>
      <c r="H17" s="62" t="n"/>
      <c r="I17" s="60" t="n"/>
      <c r="J17" s="60" t="n"/>
      <c r="K17" s="63">
        <f>IF(I17&gt;0, J17/I17, "")</f>
        <v/>
      </c>
      <c r="L17" s="61" t="n"/>
      <c r="M17" s="61" t="n"/>
    </row>
    <row r="18" ht="20" customHeight="1">
      <c r="B18" s="60" t="n"/>
      <c r="C18" s="60" t="n"/>
      <c r="D18" s="61" t="n"/>
      <c r="E18" s="61" t="n"/>
      <c r="F18" s="61" t="n"/>
      <c r="G18" s="62" t="n"/>
      <c r="H18" s="62" t="n"/>
      <c r="I18" s="60" t="n"/>
      <c r="J18" s="60" t="n"/>
      <c r="K18" s="63">
        <f>IF(I18&gt;0, J18/I18, "")</f>
        <v/>
      </c>
      <c r="L18" s="61" t="n"/>
      <c r="M18" s="61" t="n"/>
    </row>
    <row r="19" ht="20" customHeight="1">
      <c r="B19" s="60" t="n"/>
      <c r="C19" s="60" t="n"/>
      <c r="D19" s="61" t="n"/>
      <c r="E19" s="61" t="n"/>
      <c r="F19" s="61" t="n"/>
      <c r="G19" s="62" t="n"/>
      <c r="H19" s="62" t="n"/>
      <c r="I19" s="60" t="n"/>
      <c r="J19" s="60" t="n"/>
      <c r="K19" s="63">
        <f>IF(I19&gt;0, J19/I19, "")</f>
        <v/>
      </c>
      <c r="L19" s="61" t="n"/>
      <c r="M19" s="61" t="n"/>
    </row>
    <row r="20" ht="20" customHeight="1">
      <c r="B20" s="60" t="n"/>
      <c r="C20" s="60" t="n"/>
      <c r="D20" s="61" t="n"/>
      <c r="E20" s="61" t="n"/>
      <c r="F20" s="61" t="n"/>
      <c r="G20" s="62" t="n"/>
      <c r="H20" s="62" t="n"/>
      <c r="I20" s="60" t="n"/>
      <c r="J20" s="60" t="n"/>
      <c r="K20" s="63">
        <f>IF(I20&gt;0, J20/I20, "")</f>
        <v/>
      </c>
      <c r="L20" s="61" t="n"/>
      <c r="M20" s="61" t="n"/>
    </row>
    <row r="21" ht="20" customHeight="1">
      <c r="B21" s="60" t="n"/>
      <c r="C21" s="60" t="n"/>
      <c r="D21" s="61" t="n"/>
      <c r="E21" s="61" t="n"/>
      <c r="F21" s="61" t="n"/>
      <c r="G21" s="62" t="n"/>
      <c r="H21" s="62" t="n"/>
      <c r="I21" s="60" t="n"/>
      <c r="J21" s="60" t="n"/>
      <c r="K21" s="63">
        <f>IF(I21&gt;0, J21/I21, "")</f>
        <v/>
      </c>
      <c r="L21" s="61" t="n"/>
      <c r="M21" s="61" t="n"/>
    </row>
    <row r="22" ht="20" customHeight="1">
      <c r="B22" s="60" t="n"/>
      <c r="C22" s="60" t="n"/>
      <c r="D22" s="61" t="n"/>
      <c r="E22" s="61" t="n"/>
      <c r="F22" s="61" t="n"/>
      <c r="G22" s="62" t="n"/>
      <c r="H22" s="62" t="n"/>
      <c r="I22" s="60" t="n"/>
      <c r="J22" s="60" t="n"/>
      <c r="K22" s="63">
        <f>IF(I22&gt;0, J22/I22, "")</f>
        <v/>
      </c>
      <c r="L22" s="61" t="n"/>
      <c r="M22" s="61" t="n"/>
    </row>
    <row r="23" ht="20" customHeight="1">
      <c r="B23" s="60" t="n"/>
      <c r="C23" s="60" t="n"/>
      <c r="D23" s="61" t="n"/>
      <c r="E23" s="61" t="n"/>
      <c r="F23" s="61" t="n"/>
      <c r="G23" s="62" t="n"/>
      <c r="H23" s="62" t="n"/>
      <c r="I23" s="60" t="n"/>
      <c r="J23" s="60" t="n"/>
      <c r="K23" s="63">
        <f>IF(I23&gt;0, J23/I23, "")</f>
        <v/>
      </c>
      <c r="L23" s="61" t="n"/>
      <c r="M23" s="61" t="n"/>
    </row>
    <row r="24" ht="20" customHeight="1">
      <c r="B24" s="60" t="n"/>
      <c r="C24" s="60" t="n"/>
      <c r="D24" s="61" t="n"/>
      <c r="E24" s="61" t="n"/>
      <c r="F24" s="61" t="n"/>
      <c r="G24" s="62" t="n"/>
      <c r="H24" s="62" t="n"/>
      <c r="I24" s="60" t="n"/>
      <c r="J24" s="60" t="n"/>
      <c r="K24" s="63">
        <f>IF(I24&gt;0, J24/I24, "")</f>
        <v/>
      </c>
      <c r="L24" s="61" t="n"/>
      <c r="M24" s="61" t="n"/>
    </row>
    <row r="25" ht="20" customHeight="1">
      <c r="B25" s="60" t="n"/>
      <c r="C25" s="60" t="n"/>
      <c r="D25" s="61" t="n"/>
      <c r="E25" s="61" t="n"/>
      <c r="F25" s="61" t="n"/>
      <c r="G25" s="62" t="n"/>
      <c r="H25" s="62" t="n"/>
      <c r="I25" s="60" t="n"/>
      <c r="J25" s="60" t="n"/>
      <c r="K25" s="63">
        <f>IF(I25&gt;0, J25/I25, "")</f>
        <v/>
      </c>
      <c r="L25" s="61" t="n"/>
      <c r="M25" s="61" t="n"/>
    </row>
    <row r="26" ht="20" customHeight="1">
      <c r="B26" s="60" t="n"/>
      <c r="C26" s="60" t="n"/>
      <c r="D26" s="61" t="n"/>
      <c r="E26" s="61" t="n"/>
      <c r="F26" s="61" t="n"/>
      <c r="G26" s="62" t="n"/>
      <c r="H26" s="62" t="n"/>
      <c r="I26" s="60" t="n"/>
      <c r="J26" s="60" t="n"/>
      <c r="K26" s="63">
        <f>IF(I26&gt;0, J26/I26, "")</f>
        <v/>
      </c>
      <c r="L26" s="61" t="n"/>
      <c r="M26" s="61" t="n"/>
    </row>
    <row r="27" ht="20" customHeight="1">
      <c r="B27" s="60" t="n"/>
      <c r="C27" s="60" t="n"/>
      <c r="D27" s="61" t="n"/>
      <c r="E27" s="61" t="n"/>
      <c r="F27" s="61" t="n"/>
      <c r="G27" s="62" t="n"/>
      <c r="H27" s="62" t="n"/>
      <c r="I27" s="60" t="n"/>
      <c r="J27" s="60" t="n"/>
      <c r="K27" s="63">
        <f>IF(I27&gt;0, J27/I27, "")</f>
        <v/>
      </c>
      <c r="L27" s="61" t="n"/>
      <c r="M27" s="61" t="n"/>
    </row>
    <row r="28" ht="20" customHeight="1">
      <c r="B28" s="60" t="n"/>
      <c r="C28" s="60" t="n"/>
      <c r="D28" s="61" t="n"/>
      <c r="E28" s="61" t="n"/>
      <c r="F28" s="61" t="n"/>
      <c r="G28" s="62" t="n"/>
      <c r="H28" s="62" t="n"/>
      <c r="I28" s="60" t="n"/>
      <c r="J28" s="60" t="n"/>
      <c r="K28" s="63">
        <f>IF(I28&gt;0, J28/I28, "")</f>
        <v/>
      </c>
      <c r="L28" s="61" t="n"/>
      <c r="M28" s="61" t="n"/>
    </row>
    <row r="29" ht="20" customHeight="1">
      <c r="B29" s="60" t="n"/>
      <c r="C29" s="60" t="n"/>
      <c r="D29" s="61" t="n"/>
      <c r="E29" s="61" t="n"/>
      <c r="F29" s="61" t="n"/>
      <c r="G29" s="62" t="n"/>
      <c r="H29" s="62" t="n"/>
      <c r="I29" s="60" t="n"/>
      <c r="J29" s="60" t="n"/>
      <c r="K29" s="63">
        <f>IF(I29&gt;0, J29/I29, "")</f>
        <v/>
      </c>
      <c r="L29" s="61" t="n"/>
      <c r="M29" s="61" t="n"/>
    </row>
    <row r="30" ht="20" customHeight="1">
      <c r="B30" s="60" t="n"/>
      <c r="C30" s="60" t="n"/>
      <c r="D30" s="61" t="n"/>
      <c r="E30" s="61" t="n"/>
      <c r="F30" s="61" t="n"/>
      <c r="G30" s="62" t="n"/>
      <c r="H30" s="62" t="n"/>
      <c r="I30" s="60" t="n"/>
      <c r="J30" s="60" t="n"/>
      <c r="K30" s="63">
        <f>IF(I30&gt;0, J30/I30, "")</f>
        <v/>
      </c>
      <c r="L30" s="61" t="n"/>
      <c r="M30" s="61" t="n"/>
    </row>
    <row r="31" ht="20" customHeight="1">
      <c r="B31" s="60" t="n"/>
      <c r="C31" s="60" t="n"/>
      <c r="D31" s="61" t="n"/>
      <c r="E31" s="61" t="n"/>
      <c r="F31" s="61" t="n"/>
      <c r="G31" s="62" t="n"/>
      <c r="H31" s="62" t="n"/>
      <c r="I31" s="60" t="n"/>
      <c r="J31" s="60" t="n"/>
      <c r="K31" s="63">
        <f>IF(I31&gt;0, J31/I31, "")</f>
        <v/>
      </c>
      <c r="L31" s="61" t="n"/>
      <c r="M31" s="61" t="n"/>
    </row>
    <row r="32" ht="20" customHeight="1">
      <c r="B32" s="60" t="n"/>
      <c r="C32" s="60" t="n"/>
      <c r="D32" s="61" t="n"/>
      <c r="E32" s="61" t="n"/>
      <c r="F32" s="61" t="n"/>
      <c r="G32" s="62" t="n"/>
      <c r="H32" s="62" t="n"/>
      <c r="I32" s="60" t="n"/>
      <c r="J32" s="60" t="n"/>
      <c r="K32" s="63">
        <f>IF(I32&gt;0, J32/I32, "")</f>
        <v/>
      </c>
      <c r="L32" s="61" t="n"/>
      <c r="M32" s="61" t="n"/>
    </row>
    <row r="33" ht="20" customHeight="1">
      <c r="B33" s="60" t="n"/>
      <c r="C33" s="60" t="n"/>
      <c r="D33" s="61" t="n"/>
      <c r="E33" s="61" t="n"/>
      <c r="F33" s="61" t="n"/>
      <c r="G33" s="62" t="n"/>
      <c r="H33" s="62" t="n"/>
      <c r="I33" s="60" t="n"/>
      <c r="J33" s="60" t="n"/>
      <c r="K33" s="63">
        <f>IF(I33&gt;0, J33/I33, "")</f>
        <v/>
      </c>
      <c r="L33" s="61" t="n"/>
      <c r="M33" s="61" t="n"/>
    </row>
    <row r="34" ht="20" customHeight="1">
      <c r="B34" s="60" t="n"/>
      <c r="C34" s="60" t="n"/>
      <c r="D34" s="61" t="n"/>
      <c r="E34" s="61" t="n"/>
      <c r="F34" s="61" t="n"/>
      <c r="G34" s="62" t="n"/>
      <c r="H34" s="62" t="n"/>
      <c r="I34" s="60" t="n"/>
      <c r="J34" s="60" t="n"/>
      <c r="K34" s="63">
        <f>IF(I34&gt;0, J34/I34, "")</f>
        <v/>
      </c>
      <c r="L34" s="61" t="n"/>
      <c r="M34" s="61" t="n"/>
    </row>
    <row r="35" ht="20" customHeight="1">
      <c r="B35" s="60" t="n"/>
      <c r="C35" s="60" t="n"/>
      <c r="D35" s="61" t="n"/>
      <c r="E35" s="61" t="n"/>
      <c r="F35" s="61" t="n"/>
      <c r="G35" s="62" t="n"/>
      <c r="H35" s="62" t="n"/>
      <c r="I35" s="60" t="n"/>
      <c r="J35" s="60" t="n"/>
      <c r="K35" s="63">
        <f>IF(I35&gt;0, J35/I35, "")</f>
        <v/>
      </c>
      <c r="L35" s="61" t="n"/>
      <c r="M35" s="61" t="n"/>
    </row>
    <row r="36" ht="20" customHeight="1">
      <c r="B36" s="60" t="n"/>
      <c r="C36" s="60" t="n"/>
      <c r="D36" s="61" t="n"/>
      <c r="E36" s="61" t="n"/>
      <c r="F36" s="61" t="n"/>
      <c r="G36" s="62" t="n"/>
      <c r="H36" s="62" t="n"/>
      <c r="I36" s="60" t="n"/>
      <c r="J36" s="60" t="n"/>
      <c r="K36" s="63">
        <f>IF(I36&gt;0, J36/I36, "")</f>
        <v/>
      </c>
      <c r="L36" s="61" t="n"/>
      <c r="M36" s="61" t="n"/>
    </row>
    <row r="37" ht="20" customHeight="1">
      <c r="B37" s="60" t="n"/>
      <c r="C37" s="60" t="n"/>
      <c r="D37" s="61" t="n"/>
      <c r="E37" s="61" t="n"/>
      <c r="F37" s="61" t="n"/>
      <c r="G37" s="62" t="n"/>
      <c r="H37" s="62" t="n"/>
      <c r="I37" s="60" t="n"/>
      <c r="J37" s="60" t="n"/>
      <c r="K37" s="63">
        <f>IF(I37&gt;0, J37/I37, "")</f>
        <v/>
      </c>
      <c r="L37" s="61" t="n"/>
      <c r="M37" s="61" t="n"/>
    </row>
    <row r="38" ht="20" customHeight="1">
      <c r="B38" s="60" t="n"/>
      <c r="C38" s="60" t="n"/>
      <c r="D38" s="61" t="n"/>
      <c r="E38" s="61" t="n"/>
      <c r="F38" s="61" t="n"/>
      <c r="G38" s="62" t="n"/>
      <c r="H38" s="62" t="n"/>
      <c r="I38" s="60" t="n"/>
      <c r="J38" s="60" t="n"/>
      <c r="K38" s="63">
        <f>IF(I38&gt;0, J38/I38, "")</f>
        <v/>
      </c>
      <c r="L38" s="61" t="n"/>
      <c r="M38" s="61" t="n"/>
    </row>
    <row r="39" ht="20" customHeight="1">
      <c r="B39" s="60" t="n"/>
      <c r="C39" s="60" t="n"/>
      <c r="D39" s="61" t="n"/>
      <c r="E39" s="61" t="n"/>
      <c r="F39" s="61" t="n"/>
      <c r="G39" s="62" t="n"/>
      <c r="H39" s="62" t="n"/>
      <c r="I39" s="60" t="n"/>
      <c r="J39" s="60" t="n"/>
      <c r="K39" s="63">
        <f>IF(I39&gt;0, J39/I39, "")</f>
        <v/>
      </c>
      <c r="L39" s="61" t="n"/>
      <c r="M39" s="61" t="n"/>
    </row>
    <row r="40" ht="20" customHeight="1">
      <c r="B40" s="60" t="n"/>
      <c r="C40" s="60" t="n"/>
      <c r="D40" s="61" t="n"/>
      <c r="E40" s="61" t="n"/>
      <c r="F40" s="61" t="n"/>
      <c r="G40" s="62" t="n"/>
      <c r="H40" s="62" t="n"/>
      <c r="I40" s="60" t="n"/>
      <c r="J40" s="60" t="n"/>
      <c r="K40" s="63">
        <f>IF(I40&gt;0, J40/I40, "")</f>
        <v/>
      </c>
      <c r="L40" s="61" t="n"/>
      <c r="M40" s="61" t="n"/>
    </row>
    <row r="41" ht="20" customHeight="1">
      <c r="B41" s="60" t="n"/>
      <c r="C41" s="60" t="n"/>
      <c r="D41" s="61" t="n"/>
      <c r="E41" s="61" t="n"/>
      <c r="F41" s="61" t="n"/>
      <c r="G41" s="62" t="n"/>
      <c r="H41" s="62" t="n"/>
      <c r="I41" s="60" t="n"/>
      <c r="J41" s="60" t="n"/>
      <c r="K41" s="63">
        <f>IF(I41&gt;0, J41/I41, "")</f>
        <v/>
      </c>
      <c r="L41" s="61" t="n"/>
      <c r="M41" s="61" t="n"/>
    </row>
    <row r="42" ht="20" customHeight="1">
      <c r="B42" s="60" t="n"/>
      <c r="C42" s="60" t="n"/>
      <c r="D42" s="61" t="n"/>
      <c r="E42" s="61" t="n"/>
      <c r="F42" s="61" t="n"/>
      <c r="G42" s="62" t="n"/>
      <c r="H42" s="62" t="n"/>
      <c r="I42" s="60" t="n"/>
      <c r="J42" s="60" t="n"/>
      <c r="K42" s="63">
        <f>IF(I42&gt;0, J42/I42, "")</f>
        <v/>
      </c>
      <c r="L42" s="61" t="n"/>
      <c r="M42" s="61" t="n"/>
    </row>
    <row r="43" ht="20" customHeight="1">
      <c r="B43" s="60" t="n"/>
      <c r="C43" s="60" t="n"/>
      <c r="D43" s="61" t="n"/>
      <c r="E43" s="61" t="n"/>
      <c r="F43" s="61" t="n"/>
      <c r="G43" s="62" t="n"/>
      <c r="H43" s="62" t="n"/>
      <c r="I43" s="60" t="n"/>
      <c r="J43" s="60" t="n"/>
      <c r="K43" s="63">
        <f>IF(I43&gt;0, J43/I43, "")</f>
        <v/>
      </c>
      <c r="L43" s="61" t="n"/>
      <c r="M43" s="61" t="n"/>
    </row>
    <row r="44" ht="20" customHeight="1">
      <c r="B44" s="60" t="n"/>
      <c r="C44" s="60" t="n"/>
      <c r="D44" s="61" t="n"/>
      <c r="E44" s="61" t="n"/>
      <c r="F44" s="61" t="n"/>
      <c r="G44" s="62" t="n"/>
      <c r="H44" s="62" t="n"/>
      <c r="I44" s="60" t="n"/>
      <c r="J44" s="60" t="n"/>
      <c r="K44" s="63">
        <f>IF(I44&gt;0, J44/I44, "")</f>
        <v/>
      </c>
      <c r="L44" s="61" t="n"/>
      <c r="M44" s="61" t="n"/>
    </row>
    <row r="45" ht="20" customHeight="1">
      <c r="B45" s="60" t="n"/>
      <c r="C45" s="60" t="n"/>
      <c r="D45" s="61" t="n"/>
      <c r="E45" s="61" t="n"/>
      <c r="F45" s="61" t="n"/>
      <c r="G45" s="62" t="n"/>
      <c r="H45" s="62" t="n"/>
      <c r="I45" s="60" t="n"/>
      <c r="J45" s="60" t="n"/>
      <c r="K45" s="63">
        <f>IF(I45&gt;0, J45/I45, "")</f>
        <v/>
      </c>
      <c r="L45" s="61" t="n"/>
      <c r="M45" s="61" t="n"/>
    </row>
    <row r="46" ht="20" customHeight="1">
      <c r="B46" s="60" t="n"/>
      <c r="C46" s="60" t="n"/>
      <c r="D46" s="61" t="n"/>
      <c r="E46" s="61" t="n"/>
      <c r="F46" s="61" t="n"/>
      <c r="G46" s="62" t="n"/>
      <c r="H46" s="62" t="n"/>
      <c r="I46" s="60" t="n"/>
      <c r="J46" s="60" t="n"/>
      <c r="K46" s="63">
        <f>IF(I46&gt;0, J46/I46, "")</f>
        <v/>
      </c>
      <c r="L46" s="61" t="n"/>
      <c r="M46" s="61" t="n"/>
    </row>
    <row r="47" ht="20" customHeight="1">
      <c r="B47" s="60" t="n"/>
      <c r="C47" s="60" t="n"/>
      <c r="D47" s="61" t="n"/>
      <c r="E47" s="61" t="n"/>
      <c r="F47" s="61" t="n"/>
      <c r="G47" s="62" t="n"/>
      <c r="H47" s="62" t="n"/>
      <c r="I47" s="60" t="n"/>
      <c r="J47" s="60" t="n"/>
      <c r="K47" s="63">
        <f>IF(I47&gt;0, J47/I47, "")</f>
        <v/>
      </c>
      <c r="L47" s="61" t="n"/>
      <c r="M47" s="61" t="n"/>
    </row>
    <row r="48" ht="20" customHeight="1">
      <c r="B48" s="60" t="n"/>
      <c r="C48" s="60" t="n"/>
      <c r="D48" s="61" t="n"/>
      <c r="E48" s="61" t="n"/>
      <c r="F48" s="61" t="n"/>
      <c r="G48" s="62" t="n"/>
      <c r="H48" s="62" t="n"/>
      <c r="I48" s="60" t="n"/>
      <c r="J48" s="60" t="n"/>
      <c r="K48" s="63">
        <f>IF(I48&gt;0, J48/I48, "")</f>
        <v/>
      </c>
      <c r="L48" s="61" t="n"/>
      <c r="M48" s="61" t="n"/>
    </row>
    <row r="49" ht="20" customHeight="1">
      <c r="B49" s="60" t="n"/>
      <c r="C49" s="60" t="n"/>
      <c r="D49" s="61" t="n"/>
      <c r="E49" s="61" t="n"/>
      <c r="F49" s="61" t="n"/>
      <c r="G49" s="62" t="n"/>
      <c r="H49" s="62" t="n"/>
      <c r="I49" s="60" t="n"/>
      <c r="J49" s="60" t="n"/>
      <c r="K49" s="63">
        <f>IF(I49&gt;0, J49/I49, "")</f>
        <v/>
      </c>
      <c r="L49" s="61" t="n"/>
      <c r="M49" s="61" t="n"/>
    </row>
    <row r="50" ht="20" customHeight="1">
      <c r="B50" s="60" t="n"/>
      <c r="C50" s="60" t="n"/>
      <c r="D50" s="61" t="n"/>
      <c r="E50" s="61" t="n"/>
      <c r="F50" s="61" t="n"/>
      <c r="G50" s="62" t="n"/>
      <c r="H50" s="62" t="n"/>
      <c r="I50" s="60" t="n"/>
      <c r="J50" s="60" t="n"/>
      <c r="K50" s="63">
        <f>IF(I50&gt;0, J50/I50, "")</f>
        <v/>
      </c>
      <c r="L50" s="61" t="n"/>
      <c r="M50" s="61" t="n"/>
    </row>
    <row r="51" ht="20" customHeight="1">
      <c r="B51" s="60" t="n"/>
      <c r="C51" s="60" t="n"/>
      <c r="D51" s="61" t="n"/>
      <c r="E51" s="61" t="n"/>
      <c r="F51" s="61" t="n"/>
      <c r="G51" s="62" t="n"/>
      <c r="H51" s="62" t="n"/>
      <c r="I51" s="60" t="n"/>
      <c r="J51" s="60" t="n"/>
      <c r="K51" s="63">
        <f>IF(I51&gt;0, J51/I51, "")</f>
        <v/>
      </c>
      <c r="L51" s="61" t="n"/>
      <c r="M51" s="61" t="n"/>
    </row>
    <row r="52" ht="20" customHeight="1">
      <c r="B52" s="60" t="n"/>
      <c r="C52" s="60" t="n"/>
      <c r="D52" s="61" t="n"/>
      <c r="E52" s="61" t="n"/>
      <c r="F52" s="61" t="n"/>
      <c r="G52" s="62" t="n"/>
      <c r="H52" s="62" t="n"/>
      <c r="I52" s="60" t="n"/>
      <c r="J52" s="60" t="n"/>
      <c r="K52" s="63">
        <f>IF(I52&gt;0, J52/I52, "")</f>
        <v/>
      </c>
      <c r="L52" s="61" t="n"/>
      <c r="M52" s="61" t="n"/>
    </row>
    <row r="53" ht="20" customHeight="1">
      <c r="B53" s="60" t="n"/>
      <c r="C53" s="60" t="n"/>
      <c r="D53" s="61" t="n"/>
      <c r="E53" s="61" t="n"/>
      <c r="F53" s="61" t="n"/>
      <c r="G53" s="62" t="n"/>
      <c r="H53" s="62" t="n"/>
      <c r="I53" s="60" t="n"/>
      <c r="J53" s="60" t="n"/>
      <c r="K53" s="63">
        <f>IF(I53&gt;0, J53/I53, "")</f>
        <v/>
      </c>
      <c r="L53" s="61" t="n"/>
      <c r="M53" s="61" t="n"/>
    </row>
    <row r="54" ht="20" customHeight="1">
      <c r="B54" s="60" t="n"/>
      <c r="C54" s="60" t="n"/>
      <c r="D54" s="61" t="n"/>
      <c r="E54" s="61" t="n"/>
      <c r="F54" s="61" t="n"/>
      <c r="G54" s="62" t="n"/>
      <c r="H54" s="62" t="n"/>
      <c r="I54" s="60" t="n"/>
      <c r="J54" s="60" t="n"/>
      <c r="K54" s="63">
        <f>IF(I54&gt;0, J54/I54, "")</f>
        <v/>
      </c>
      <c r="L54" s="61" t="n"/>
      <c r="M54" s="61" t="n"/>
    </row>
    <row r="55" ht="20" customHeight="1">
      <c r="B55" s="60" t="n"/>
      <c r="C55" s="60" t="n"/>
      <c r="D55" s="61" t="n"/>
      <c r="E55" s="61" t="n"/>
      <c r="F55" s="61" t="n"/>
      <c r="G55" s="62" t="n"/>
      <c r="H55" s="62" t="n"/>
      <c r="I55" s="60" t="n"/>
      <c r="J55" s="60" t="n"/>
      <c r="K55" s="63">
        <f>IF(I55&gt;0, J55/I55, "")</f>
        <v/>
      </c>
      <c r="L55" s="61" t="n"/>
      <c r="M55" s="61" t="n"/>
    </row>
    <row r="56" ht="20" customHeight="1">
      <c r="B56" s="60" t="n"/>
      <c r="C56" s="60" t="n"/>
      <c r="D56" s="61" t="n"/>
      <c r="E56" s="61" t="n"/>
      <c r="F56" s="61" t="n"/>
      <c r="G56" s="62" t="n"/>
      <c r="H56" s="62" t="n"/>
      <c r="I56" s="60" t="n"/>
      <c r="J56" s="60" t="n"/>
      <c r="K56" s="63">
        <f>IF(I56&gt;0, J56/I56, "")</f>
        <v/>
      </c>
      <c r="L56" s="61" t="n"/>
      <c r="M56" s="61" t="n"/>
    </row>
    <row r="57" ht="20" customHeight="1">
      <c r="B57" s="60" t="n"/>
      <c r="C57" s="60" t="n"/>
      <c r="D57" s="61" t="n"/>
      <c r="E57" s="61" t="n"/>
      <c r="F57" s="61" t="n"/>
      <c r="G57" s="62" t="n"/>
      <c r="H57" s="62" t="n"/>
      <c r="I57" s="60" t="n"/>
      <c r="J57" s="60" t="n"/>
      <c r="K57" s="63">
        <f>IF(I57&gt;0, J57/I57, "")</f>
        <v/>
      </c>
      <c r="L57" s="61" t="n"/>
      <c r="M57" s="61" t="n"/>
    </row>
    <row r="58" ht="20" customHeight="1">
      <c r="B58" s="60" t="n"/>
      <c r="C58" s="60" t="n"/>
      <c r="D58" s="61" t="n"/>
      <c r="E58" s="61" t="n"/>
      <c r="F58" s="61" t="n"/>
      <c r="G58" s="62" t="n"/>
      <c r="H58" s="62" t="n"/>
      <c r="I58" s="60" t="n"/>
      <c r="J58" s="60" t="n"/>
      <c r="K58" s="63">
        <f>IF(I58&gt;0, J58/I58, "")</f>
        <v/>
      </c>
      <c r="L58" s="61" t="n"/>
      <c r="M58" s="61" t="n"/>
    </row>
    <row r="59" ht="20" customHeight="1">
      <c r="B59" s="60" t="n"/>
      <c r="C59" s="60" t="n"/>
      <c r="D59" s="61" t="n"/>
      <c r="E59" s="61" t="n"/>
      <c r="F59" s="61" t="n"/>
      <c r="G59" s="62" t="n"/>
      <c r="H59" s="62" t="n"/>
      <c r="I59" s="60" t="n"/>
      <c r="J59" s="60" t="n"/>
      <c r="K59" s="63">
        <f>IF(I59&gt;0, J59/I59, "")</f>
        <v/>
      </c>
      <c r="L59" s="61" t="n"/>
      <c r="M59" s="61" t="n"/>
    </row>
    <row r="60" ht="20" customHeight="1">
      <c r="B60" s="60" t="n"/>
      <c r="C60" s="60" t="n"/>
      <c r="D60" s="61" t="n"/>
      <c r="E60" s="61" t="n"/>
      <c r="F60" s="61" t="n"/>
      <c r="G60" s="62" t="n"/>
      <c r="H60" s="62" t="n"/>
      <c r="I60" s="60" t="n"/>
      <c r="J60" s="60" t="n"/>
      <c r="K60" s="63">
        <f>IF(I60&gt;0, J60/I60, "")</f>
        <v/>
      </c>
      <c r="L60" s="61" t="n"/>
      <c r="M60" s="6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M6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16" customWidth="1" min="4" max="4"/>
    <col width="35" customWidth="1" min="5" max="5"/>
    <col width="25" customWidth="1" min="6" max="6"/>
    <col width="10" customWidth="1" min="7" max="7"/>
    <col width="16" customWidth="1" min="8" max="8"/>
    <col width="14" customWidth="1" min="9" max="9"/>
    <col width="16" customWidth="1" min="10" max="10"/>
    <col width="12" customWidth="1" min="11" max="11"/>
    <col width="24" customWidth="1" min="12" max="12"/>
    <col width="24" customWidth="1" min="13" max="13"/>
  </cols>
  <sheetData>
    <row r="2" ht="28" customHeight="1">
      <c r="B2" s="59" t="inlineStr">
        <is>
          <t>S.No</t>
        </is>
      </c>
      <c r="C2" s="59" t="inlineStr">
        <is>
          <t>Date</t>
        </is>
      </c>
      <c r="D2" s="59" t="inlineStr">
        <is>
          <t>Task worker</t>
        </is>
      </c>
      <c r="E2" s="59" t="inlineStr">
        <is>
          <t>Task</t>
        </is>
      </c>
      <c r="F2" s="59" t="inlineStr">
        <is>
          <t>Assets/Units/ISOs/PIDs</t>
        </is>
      </c>
      <c r="G2" s="59" t="inlineStr">
        <is>
          <t>Hrs/day</t>
        </is>
      </c>
      <c r="H2" s="59" t="inlineStr">
        <is>
          <t>metric/task in hrs</t>
        </is>
      </c>
      <c r="I2" s="59" t="inlineStr">
        <is>
          <t>count per day</t>
        </is>
      </c>
      <c r="J2" s="59" t="inlineStr">
        <is>
          <t>achieved on the day</t>
        </is>
      </c>
      <c r="K2" s="59" t="inlineStr">
        <is>
          <t>Efficiency</t>
        </is>
      </c>
      <c r="L2" s="59" t="inlineStr">
        <is>
          <t>Road blocks</t>
        </is>
      </c>
      <c r="M2" s="59" t="inlineStr">
        <is>
          <t>Notes</t>
        </is>
      </c>
    </row>
    <row r="3" ht="20" customHeight="1">
      <c r="B3" s="60" t="n">
        <v>1</v>
      </c>
      <c r="C3" s="60" t="inlineStr">
        <is>
          <t>8/3/2026</t>
        </is>
      </c>
      <c r="D3" s="61" t="inlineStr">
        <is>
          <t>Musthaque</t>
        </is>
      </c>
      <c r="E3" s="61" t="n"/>
      <c r="F3" s="61" t="n"/>
      <c r="G3" s="62" t="n">
        <v>5.75</v>
      </c>
      <c r="H3" s="62" t="n">
        <v>0.25</v>
      </c>
      <c r="I3" s="60" t="n">
        <v>10</v>
      </c>
      <c r="J3" s="60" t="n">
        <v>6</v>
      </c>
      <c r="K3" s="63">
        <f>IF(I3&gt;0, J3/I3, "")</f>
        <v/>
      </c>
      <c r="L3" s="61" t="n"/>
      <c r="M3" s="61" t="n"/>
    </row>
    <row r="4" ht="20" customHeight="1">
      <c r="B4" s="60" t="n"/>
      <c r="C4" s="60" t="n"/>
      <c r="D4" s="61" t="n"/>
      <c r="E4" s="61" t="n"/>
      <c r="F4" s="61" t="n"/>
      <c r="G4" s="62" t="n">
        <v>1.25</v>
      </c>
      <c r="H4" s="62" t="n"/>
      <c r="I4" s="60" t="n"/>
      <c r="J4" s="60" t="n"/>
      <c r="K4" s="63">
        <f>IF(I4&gt;0, J4/I4, "")</f>
        <v/>
      </c>
      <c r="L4" s="61" t="n"/>
      <c r="M4" s="61" t="n"/>
    </row>
    <row r="5" ht="20" customHeight="1">
      <c r="B5" s="60" t="n"/>
      <c r="C5" s="60" t="n"/>
      <c r="D5" s="61" t="n"/>
      <c r="E5" s="61" t="n"/>
      <c r="F5" s="61" t="n"/>
      <c r="G5" s="62" t="n">
        <v>1</v>
      </c>
      <c r="H5" s="62" t="n"/>
      <c r="I5" s="60" t="n"/>
      <c r="J5" s="60" t="n"/>
      <c r="K5" s="63">
        <f>IF(I5&gt;0, J5/I5, "")</f>
        <v/>
      </c>
      <c r="L5" s="61" t="n"/>
      <c r="M5" s="61" t="n"/>
    </row>
    <row r="6" ht="20" customHeight="1">
      <c r="B6" s="60" t="n"/>
      <c r="C6" s="60" t="n"/>
      <c r="D6" s="61" t="n"/>
      <c r="E6" s="61" t="n"/>
      <c r="F6" s="61" t="n"/>
      <c r="G6" s="62" t="n"/>
      <c r="H6" s="62" t="n"/>
      <c r="I6" s="60" t="n"/>
      <c r="J6" s="60" t="n"/>
      <c r="K6" s="63">
        <f>IF(I6&gt;0, J6/I6, "")</f>
        <v/>
      </c>
      <c r="L6" s="61" t="n"/>
      <c r="M6" s="61" t="n"/>
    </row>
    <row r="7" ht="20" customHeight="1">
      <c r="B7" s="60" t="n"/>
      <c r="C7" s="60" t="n"/>
      <c r="D7" s="61" t="n"/>
      <c r="E7" s="61" t="n"/>
      <c r="F7" s="61" t="n"/>
      <c r="G7" s="62" t="n"/>
      <c r="H7" s="62" t="n"/>
      <c r="I7" s="60" t="n"/>
      <c r="J7" s="60" t="n"/>
      <c r="K7" s="63">
        <f>IF(I7&gt;0, J7/I7, "")</f>
        <v/>
      </c>
      <c r="L7" s="61" t="n"/>
      <c r="M7" s="61" t="n"/>
    </row>
    <row r="8" ht="20" customHeight="1">
      <c r="B8" s="60" t="n"/>
      <c r="C8" s="60" t="n"/>
      <c r="D8" s="61" t="n"/>
      <c r="E8" s="61" t="n"/>
      <c r="F8" s="61" t="n"/>
      <c r="G8" s="62" t="n"/>
      <c r="H8" s="62" t="n"/>
      <c r="I8" s="60" t="n"/>
      <c r="J8" s="60" t="n"/>
      <c r="K8" s="63">
        <f>IF(I8&gt;0, J8/I8, "")</f>
        <v/>
      </c>
      <c r="L8" s="61" t="n"/>
      <c r="M8" s="61" t="n"/>
    </row>
    <row r="9" ht="20" customHeight="1">
      <c r="B9" s="60" t="n"/>
      <c r="C9" s="60" t="n"/>
      <c r="D9" s="61" t="n"/>
      <c r="E9" s="61" t="n"/>
      <c r="F9" s="61" t="n"/>
      <c r="G9" s="62" t="n"/>
      <c r="H9" s="62" t="n"/>
      <c r="I9" s="60" t="n"/>
      <c r="J9" s="60" t="n"/>
      <c r="K9" s="63">
        <f>IF(I9&gt;0, J9/I9, "")</f>
        <v/>
      </c>
      <c r="L9" s="61" t="n"/>
      <c r="M9" s="61" t="n"/>
    </row>
    <row r="10" ht="20" customHeight="1">
      <c r="B10" s="60" t="n"/>
      <c r="C10" s="60" t="n"/>
      <c r="D10" s="61" t="n"/>
      <c r="E10" s="61" t="n"/>
      <c r="F10" s="61" t="n"/>
      <c r="G10" s="62" t="n"/>
      <c r="H10" s="62" t="n"/>
      <c r="I10" s="60" t="n"/>
      <c r="J10" s="60" t="n"/>
      <c r="K10" s="63">
        <f>IF(I10&gt;0, J10/I10, "")</f>
        <v/>
      </c>
      <c r="L10" s="61" t="n"/>
      <c r="M10" s="61" t="n"/>
    </row>
    <row r="11" ht="20" customHeight="1">
      <c r="B11" s="60" t="n"/>
      <c r="C11" s="60" t="n"/>
      <c r="D11" s="61" t="n"/>
      <c r="E11" s="61" t="n"/>
      <c r="F11" s="61" t="n"/>
      <c r="G11" s="62" t="n"/>
      <c r="H11" s="62" t="n"/>
      <c r="I11" s="60" t="n"/>
      <c r="J11" s="60" t="n"/>
      <c r="K11" s="63">
        <f>IF(I11&gt;0, J11/I11, "")</f>
        <v/>
      </c>
      <c r="L11" s="61" t="n"/>
      <c r="M11" s="61" t="n"/>
    </row>
    <row r="12" ht="20" customHeight="1">
      <c r="B12" s="60" t="n"/>
      <c r="C12" s="60" t="n"/>
      <c r="D12" s="61" t="n"/>
      <c r="E12" s="61" t="n"/>
      <c r="F12" s="61" t="n"/>
      <c r="G12" s="62" t="n"/>
      <c r="H12" s="62" t="n"/>
      <c r="I12" s="60" t="n"/>
      <c r="J12" s="60" t="n"/>
      <c r="K12" s="63">
        <f>IF(I12&gt;0, J12/I12, "")</f>
        <v/>
      </c>
      <c r="L12" s="61" t="n"/>
      <c r="M12" s="61" t="n"/>
    </row>
    <row r="13" ht="20" customHeight="1">
      <c r="B13" s="60" t="n"/>
      <c r="C13" s="60" t="n"/>
      <c r="D13" s="61" t="n"/>
      <c r="E13" s="61" t="n"/>
      <c r="F13" s="61" t="n"/>
      <c r="G13" s="62" t="n"/>
      <c r="H13" s="62" t="n"/>
      <c r="I13" s="60" t="n"/>
      <c r="J13" s="60" t="n"/>
      <c r="K13" s="63">
        <f>IF(I13&gt;0, J13/I13, "")</f>
        <v/>
      </c>
      <c r="L13" s="61" t="n"/>
      <c r="M13" s="61" t="n"/>
    </row>
    <row r="14" ht="20" customHeight="1">
      <c r="B14" s="60" t="n"/>
      <c r="C14" s="60" t="n"/>
      <c r="D14" s="61" t="n"/>
      <c r="E14" s="61" t="n"/>
      <c r="F14" s="61" t="n"/>
      <c r="G14" s="62" t="n"/>
      <c r="H14" s="62" t="n"/>
      <c r="I14" s="60" t="n"/>
      <c r="J14" s="60" t="n"/>
      <c r="K14" s="63">
        <f>IF(I14&gt;0, J14/I14, "")</f>
        <v/>
      </c>
      <c r="L14" s="61" t="n"/>
      <c r="M14" s="61" t="n"/>
    </row>
    <row r="15" ht="20" customHeight="1">
      <c r="B15" s="60" t="n"/>
      <c r="C15" s="60" t="n"/>
      <c r="D15" s="61" t="n"/>
      <c r="E15" s="61" t="n"/>
      <c r="F15" s="61" t="n"/>
      <c r="G15" s="62" t="n"/>
      <c r="H15" s="62" t="n"/>
      <c r="I15" s="60" t="n"/>
      <c r="J15" s="60" t="n"/>
      <c r="K15" s="63">
        <f>IF(I15&gt;0, J15/I15, "")</f>
        <v/>
      </c>
      <c r="L15" s="61" t="n"/>
      <c r="M15" s="61" t="n"/>
    </row>
    <row r="16" ht="20" customHeight="1">
      <c r="B16" s="60" t="n"/>
      <c r="C16" s="60" t="n"/>
      <c r="D16" s="61" t="n"/>
      <c r="E16" s="61" t="n"/>
      <c r="F16" s="61" t="n"/>
      <c r="G16" s="62" t="n"/>
      <c r="H16" s="62" t="n"/>
      <c r="I16" s="60" t="n"/>
      <c r="J16" s="60" t="n"/>
      <c r="K16" s="63">
        <f>IF(I16&gt;0, J16/I16, "")</f>
        <v/>
      </c>
      <c r="L16" s="61" t="n"/>
      <c r="M16" s="61" t="n"/>
    </row>
    <row r="17" ht="20" customHeight="1">
      <c r="B17" s="60" t="n"/>
      <c r="C17" s="60" t="n"/>
      <c r="D17" s="61" t="n"/>
      <c r="E17" s="61" t="n"/>
      <c r="F17" s="61" t="n"/>
      <c r="G17" s="62" t="n"/>
      <c r="H17" s="62" t="n"/>
      <c r="I17" s="60" t="n"/>
      <c r="J17" s="60" t="n"/>
      <c r="K17" s="63">
        <f>IF(I17&gt;0, J17/I17, "")</f>
        <v/>
      </c>
      <c r="L17" s="61" t="n"/>
      <c r="M17" s="61" t="n"/>
    </row>
    <row r="18" ht="20" customHeight="1">
      <c r="B18" s="60" t="n"/>
      <c r="C18" s="60" t="n"/>
      <c r="D18" s="61" t="n"/>
      <c r="E18" s="61" t="n"/>
      <c r="F18" s="61" t="n"/>
      <c r="G18" s="62" t="n"/>
      <c r="H18" s="62" t="n"/>
      <c r="I18" s="60" t="n"/>
      <c r="J18" s="60" t="n"/>
      <c r="K18" s="63">
        <f>IF(I18&gt;0, J18/I18, "")</f>
        <v/>
      </c>
      <c r="L18" s="61" t="n"/>
      <c r="M18" s="61" t="n"/>
    </row>
    <row r="19" ht="20" customHeight="1">
      <c r="B19" s="60" t="n"/>
      <c r="C19" s="60" t="n"/>
      <c r="D19" s="61" t="n"/>
      <c r="E19" s="61" t="n"/>
      <c r="F19" s="61" t="n"/>
      <c r="G19" s="62" t="n"/>
      <c r="H19" s="62" t="n"/>
      <c r="I19" s="60" t="n"/>
      <c r="J19" s="60" t="n"/>
      <c r="K19" s="63">
        <f>IF(I19&gt;0, J19/I19, "")</f>
        <v/>
      </c>
      <c r="L19" s="61" t="n"/>
      <c r="M19" s="61" t="n"/>
    </row>
    <row r="20" ht="20" customHeight="1">
      <c r="B20" s="60" t="n"/>
      <c r="C20" s="60" t="n"/>
      <c r="D20" s="61" t="n"/>
      <c r="E20" s="61" t="n"/>
      <c r="F20" s="61" t="n"/>
      <c r="G20" s="62" t="n"/>
      <c r="H20" s="62" t="n"/>
      <c r="I20" s="60" t="n"/>
      <c r="J20" s="60" t="n"/>
      <c r="K20" s="63">
        <f>IF(I20&gt;0, J20/I20, "")</f>
        <v/>
      </c>
      <c r="L20" s="61" t="n"/>
      <c r="M20" s="61" t="n"/>
    </row>
    <row r="21" ht="20" customHeight="1">
      <c r="B21" s="60" t="n"/>
      <c r="C21" s="60" t="n"/>
      <c r="D21" s="61" t="n"/>
      <c r="E21" s="61" t="n"/>
      <c r="F21" s="61" t="n"/>
      <c r="G21" s="62" t="n"/>
      <c r="H21" s="62" t="n"/>
      <c r="I21" s="60" t="n"/>
      <c r="J21" s="60" t="n"/>
      <c r="K21" s="63">
        <f>IF(I21&gt;0, J21/I21, "")</f>
        <v/>
      </c>
      <c r="L21" s="61" t="n"/>
      <c r="M21" s="61" t="n"/>
    </row>
    <row r="22" ht="20" customHeight="1">
      <c r="B22" s="60" t="n"/>
      <c r="C22" s="60" t="n"/>
      <c r="D22" s="61" t="n"/>
      <c r="E22" s="61" t="n"/>
      <c r="F22" s="61" t="n"/>
      <c r="G22" s="62" t="n"/>
      <c r="H22" s="62" t="n"/>
      <c r="I22" s="60" t="n"/>
      <c r="J22" s="60" t="n"/>
      <c r="K22" s="63">
        <f>IF(I22&gt;0, J22/I22, "")</f>
        <v/>
      </c>
      <c r="L22" s="61" t="n"/>
      <c r="M22" s="61" t="n"/>
    </row>
    <row r="23" ht="20" customHeight="1">
      <c r="B23" s="60" t="n"/>
      <c r="C23" s="60" t="n"/>
      <c r="D23" s="61" t="n"/>
      <c r="E23" s="61" t="n"/>
      <c r="F23" s="61" t="n"/>
      <c r="G23" s="62" t="n"/>
      <c r="H23" s="62" t="n"/>
      <c r="I23" s="60" t="n"/>
      <c r="J23" s="60" t="n"/>
      <c r="K23" s="63">
        <f>IF(I23&gt;0, J23/I23, "")</f>
        <v/>
      </c>
      <c r="L23" s="61" t="n"/>
      <c r="M23" s="61" t="n"/>
    </row>
    <row r="24" ht="20" customHeight="1">
      <c r="B24" s="60" t="n"/>
      <c r="C24" s="60" t="n"/>
      <c r="D24" s="61" t="n"/>
      <c r="E24" s="61" t="n"/>
      <c r="F24" s="61" t="n"/>
      <c r="G24" s="62" t="n"/>
      <c r="H24" s="62" t="n"/>
      <c r="I24" s="60" t="n"/>
      <c r="J24" s="60" t="n"/>
      <c r="K24" s="63">
        <f>IF(I24&gt;0, J24/I24, "")</f>
        <v/>
      </c>
      <c r="L24" s="61" t="n"/>
      <c r="M24" s="61" t="n"/>
    </row>
    <row r="25" ht="20" customHeight="1">
      <c r="B25" s="60" t="n"/>
      <c r="C25" s="60" t="n"/>
      <c r="D25" s="61" t="n"/>
      <c r="E25" s="61" t="n"/>
      <c r="F25" s="61" t="n"/>
      <c r="G25" s="62" t="n"/>
      <c r="H25" s="62" t="n"/>
      <c r="I25" s="60" t="n"/>
      <c r="J25" s="60" t="n"/>
      <c r="K25" s="63">
        <f>IF(I25&gt;0, J25/I25, "")</f>
        <v/>
      </c>
      <c r="L25" s="61" t="n"/>
      <c r="M25" s="61" t="n"/>
    </row>
    <row r="26" ht="20" customHeight="1">
      <c r="B26" s="60" t="n"/>
      <c r="C26" s="60" t="n"/>
      <c r="D26" s="61" t="n"/>
      <c r="E26" s="61" t="n"/>
      <c r="F26" s="61" t="n"/>
      <c r="G26" s="62" t="n"/>
      <c r="H26" s="62" t="n"/>
      <c r="I26" s="60" t="n"/>
      <c r="J26" s="60" t="n"/>
      <c r="K26" s="63">
        <f>IF(I26&gt;0, J26/I26, "")</f>
        <v/>
      </c>
      <c r="L26" s="61" t="n"/>
      <c r="M26" s="61" t="n"/>
    </row>
    <row r="27" ht="20" customHeight="1">
      <c r="B27" s="60" t="n"/>
      <c r="C27" s="60" t="n"/>
      <c r="D27" s="61" t="n"/>
      <c r="E27" s="61" t="n"/>
      <c r="F27" s="61" t="n"/>
      <c r="G27" s="62" t="n"/>
      <c r="H27" s="62" t="n"/>
      <c r="I27" s="60" t="n"/>
      <c r="J27" s="60" t="n"/>
      <c r="K27" s="63">
        <f>IF(I27&gt;0, J27/I27, "")</f>
        <v/>
      </c>
      <c r="L27" s="61" t="n"/>
      <c r="M27" s="61" t="n"/>
    </row>
    <row r="28" ht="20" customHeight="1">
      <c r="B28" s="60" t="n"/>
      <c r="C28" s="60" t="n"/>
      <c r="D28" s="61" t="n"/>
      <c r="E28" s="61" t="n"/>
      <c r="F28" s="61" t="n"/>
      <c r="G28" s="62" t="n"/>
      <c r="H28" s="62" t="n"/>
      <c r="I28" s="60" t="n"/>
      <c r="J28" s="60" t="n"/>
      <c r="K28" s="63">
        <f>IF(I28&gt;0, J28/I28, "")</f>
        <v/>
      </c>
      <c r="L28" s="61" t="n"/>
      <c r="M28" s="61" t="n"/>
    </row>
    <row r="29" ht="20" customHeight="1">
      <c r="B29" s="60" t="n"/>
      <c r="C29" s="60" t="n"/>
      <c r="D29" s="61" t="n"/>
      <c r="E29" s="61" t="n"/>
      <c r="F29" s="61" t="n"/>
      <c r="G29" s="62" t="n"/>
      <c r="H29" s="62" t="n"/>
      <c r="I29" s="60" t="n"/>
      <c r="J29" s="60" t="n"/>
      <c r="K29" s="63">
        <f>IF(I29&gt;0, J29/I29, "")</f>
        <v/>
      </c>
      <c r="L29" s="61" t="n"/>
      <c r="M29" s="61" t="n"/>
    </row>
    <row r="30" ht="20" customHeight="1">
      <c r="B30" s="60" t="n"/>
      <c r="C30" s="60" t="n"/>
      <c r="D30" s="61" t="n"/>
      <c r="E30" s="61" t="n"/>
      <c r="F30" s="61" t="n"/>
      <c r="G30" s="62" t="n"/>
      <c r="H30" s="62" t="n"/>
      <c r="I30" s="60" t="n"/>
      <c r="J30" s="60" t="n"/>
      <c r="K30" s="63">
        <f>IF(I30&gt;0, J30/I30, "")</f>
        <v/>
      </c>
      <c r="L30" s="61" t="n"/>
      <c r="M30" s="61" t="n"/>
    </row>
    <row r="31" ht="20" customHeight="1">
      <c r="B31" s="60" t="n"/>
      <c r="C31" s="60" t="n"/>
      <c r="D31" s="61" t="n"/>
      <c r="E31" s="61" t="n"/>
      <c r="F31" s="61" t="n"/>
      <c r="G31" s="62" t="n"/>
      <c r="H31" s="62" t="n"/>
      <c r="I31" s="60" t="n"/>
      <c r="J31" s="60" t="n"/>
      <c r="K31" s="63">
        <f>IF(I31&gt;0, J31/I31, "")</f>
        <v/>
      </c>
      <c r="L31" s="61" t="n"/>
      <c r="M31" s="61" t="n"/>
    </row>
    <row r="32" ht="20" customHeight="1">
      <c r="B32" s="60" t="n"/>
      <c r="C32" s="60" t="n"/>
      <c r="D32" s="61" t="n"/>
      <c r="E32" s="61" t="n"/>
      <c r="F32" s="61" t="n"/>
      <c r="G32" s="62" t="n"/>
      <c r="H32" s="62" t="n"/>
      <c r="I32" s="60" t="n"/>
      <c r="J32" s="60" t="n"/>
      <c r="K32" s="63">
        <f>IF(I32&gt;0, J32/I32, "")</f>
        <v/>
      </c>
      <c r="L32" s="61" t="n"/>
      <c r="M32" s="61" t="n"/>
    </row>
    <row r="33" ht="20" customHeight="1">
      <c r="B33" s="60" t="n"/>
      <c r="C33" s="60" t="n"/>
      <c r="D33" s="61" t="n"/>
      <c r="E33" s="61" t="n"/>
      <c r="F33" s="61" t="n"/>
      <c r="G33" s="62" t="n"/>
      <c r="H33" s="62" t="n"/>
      <c r="I33" s="60" t="n"/>
      <c r="J33" s="60" t="n"/>
      <c r="K33" s="63">
        <f>IF(I33&gt;0, J33/I33, "")</f>
        <v/>
      </c>
      <c r="L33" s="61" t="n"/>
      <c r="M33" s="61" t="n"/>
    </row>
    <row r="34" ht="20" customHeight="1">
      <c r="B34" s="60" t="n"/>
      <c r="C34" s="60" t="n"/>
      <c r="D34" s="61" t="n"/>
      <c r="E34" s="61" t="n"/>
      <c r="F34" s="61" t="n"/>
      <c r="G34" s="62" t="n"/>
      <c r="H34" s="62" t="n"/>
      <c r="I34" s="60" t="n"/>
      <c r="J34" s="60" t="n"/>
      <c r="K34" s="63">
        <f>IF(I34&gt;0, J34/I34, "")</f>
        <v/>
      </c>
      <c r="L34" s="61" t="n"/>
      <c r="M34" s="61" t="n"/>
    </row>
    <row r="35" ht="20" customHeight="1">
      <c r="B35" s="60" t="n"/>
      <c r="C35" s="60" t="n"/>
      <c r="D35" s="61" t="n"/>
      <c r="E35" s="61" t="n"/>
      <c r="F35" s="61" t="n"/>
      <c r="G35" s="62" t="n"/>
      <c r="H35" s="62" t="n"/>
      <c r="I35" s="60" t="n"/>
      <c r="J35" s="60" t="n"/>
      <c r="K35" s="63">
        <f>IF(I35&gt;0, J35/I35, "")</f>
        <v/>
      </c>
      <c r="L35" s="61" t="n"/>
      <c r="M35" s="61" t="n"/>
    </row>
    <row r="36" ht="20" customHeight="1">
      <c r="B36" s="60" t="n"/>
      <c r="C36" s="60" t="n"/>
      <c r="D36" s="61" t="n"/>
      <c r="E36" s="61" t="n"/>
      <c r="F36" s="61" t="n"/>
      <c r="G36" s="62" t="n"/>
      <c r="H36" s="62" t="n"/>
      <c r="I36" s="60" t="n"/>
      <c r="J36" s="60" t="n"/>
      <c r="K36" s="63">
        <f>IF(I36&gt;0, J36/I36, "")</f>
        <v/>
      </c>
      <c r="L36" s="61" t="n"/>
      <c r="M36" s="61" t="n"/>
    </row>
    <row r="37" ht="20" customHeight="1">
      <c r="B37" s="60" t="n"/>
      <c r="C37" s="60" t="n"/>
      <c r="D37" s="61" t="n"/>
      <c r="E37" s="61" t="n"/>
      <c r="F37" s="61" t="n"/>
      <c r="G37" s="62" t="n"/>
      <c r="H37" s="62" t="n"/>
      <c r="I37" s="60" t="n"/>
      <c r="J37" s="60" t="n"/>
      <c r="K37" s="63">
        <f>IF(I37&gt;0, J37/I37, "")</f>
        <v/>
      </c>
      <c r="L37" s="61" t="n"/>
      <c r="M37" s="61" t="n"/>
    </row>
    <row r="38" ht="20" customHeight="1">
      <c r="B38" s="60" t="n"/>
      <c r="C38" s="60" t="n"/>
      <c r="D38" s="61" t="n"/>
      <c r="E38" s="61" t="n"/>
      <c r="F38" s="61" t="n"/>
      <c r="G38" s="62" t="n"/>
      <c r="H38" s="62" t="n"/>
      <c r="I38" s="60" t="n"/>
      <c r="J38" s="60" t="n"/>
      <c r="K38" s="63">
        <f>IF(I38&gt;0, J38/I38, "")</f>
        <v/>
      </c>
      <c r="L38" s="61" t="n"/>
      <c r="M38" s="61" t="n"/>
    </row>
    <row r="39" ht="20" customHeight="1">
      <c r="B39" s="60" t="n"/>
      <c r="C39" s="60" t="n"/>
      <c r="D39" s="61" t="n"/>
      <c r="E39" s="61" t="n"/>
      <c r="F39" s="61" t="n"/>
      <c r="G39" s="62" t="n"/>
      <c r="H39" s="62" t="n"/>
      <c r="I39" s="60" t="n"/>
      <c r="J39" s="60" t="n"/>
      <c r="K39" s="63">
        <f>IF(I39&gt;0, J39/I39, "")</f>
        <v/>
      </c>
      <c r="L39" s="61" t="n"/>
      <c r="M39" s="61" t="n"/>
    </row>
    <row r="40" ht="20" customHeight="1">
      <c r="B40" s="60" t="n"/>
      <c r="C40" s="60" t="n"/>
      <c r="D40" s="61" t="n"/>
      <c r="E40" s="61" t="n"/>
      <c r="F40" s="61" t="n"/>
      <c r="G40" s="62" t="n"/>
      <c r="H40" s="62" t="n"/>
      <c r="I40" s="60" t="n"/>
      <c r="J40" s="60" t="n"/>
      <c r="K40" s="63">
        <f>IF(I40&gt;0, J40/I40, "")</f>
        <v/>
      </c>
      <c r="L40" s="61" t="n"/>
      <c r="M40" s="61" t="n"/>
    </row>
    <row r="41" ht="20" customHeight="1">
      <c r="B41" s="60" t="n"/>
      <c r="C41" s="60" t="n"/>
      <c r="D41" s="61" t="n"/>
      <c r="E41" s="61" t="n"/>
      <c r="F41" s="61" t="n"/>
      <c r="G41" s="62" t="n"/>
      <c r="H41" s="62" t="n"/>
      <c r="I41" s="60" t="n"/>
      <c r="J41" s="60" t="n"/>
      <c r="K41" s="63">
        <f>IF(I41&gt;0, J41/I41, "")</f>
        <v/>
      </c>
      <c r="L41" s="61" t="n"/>
      <c r="M41" s="61" t="n"/>
    </row>
    <row r="42" ht="20" customHeight="1">
      <c r="B42" s="60" t="n"/>
      <c r="C42" s="60" t="n"/>
      <c r="D42" s="61" t="n"/>
      <c r="E42" s="61" t="n"/>
      <c r="F42" s="61" t="n"/>
      <c r="G42" s="62" t="n"/>
      <c r="H42" s="62" t="n"/>
      <c r="I42" s="60" t="n"/>
      <c r="J42" s="60" t="n"/>
      <c r="K42" s="63">
        <f>IF(I42&gt;0, J42/I42, "")</f>
        <v/>
      </c>
      <c r="L42" s="61" t="n"/>
      <c r="M42" s="61" t="n"/>
    </row>
    <row r="43" ht="20" customHeight="1">
      <c r="B43" s="60" t="n"/>
      <c r="C43" s="60" t="n"/>
      <c r="D43" s="61" t="n"/>
      <c r="E43" s="61" t="n"/>
      <c r="F43" s="61" t="n"/>
      <c r="G43" s="62" t="n"/>
      <c r="H43" s="62" t="n"/>
      <c r="I43" s="60" t="n"/>
      <c r="J43" s="60" t="n"/>
      <c r="K43" s="63">
        <f>IF(I43&gt;0, J43/I43, "")</f>
        <v/>
      </c>
      <c r="L43" s="61" t="n"/>
      <c r="M43" s="61" t="n"/>
    </row>
    <row r="44" ht="20" customHeight="1">
      <c r="B44" s="60" t="n"/>
      <c r="C44" s="60" t="n"/>
      <c r="D44" s="61" t="n"/>
      <c r="E44" s="61" t="n"/>
      <c r="F44" s="61" t="n"/>
      <c r="G44" s="62" t="n"/>
      <c r="H44" s="62" t="n"/>
      <c r="I44" s="60" t="n"/>
      <c r="J44" s="60" t="n"/>
      <c r="K44" s="63">
        <f>IF(I44&gt;0, J44/I44, "")</f>
        <v/>
      </c>
      <c r="L44" s="61" t="n"/>
      <c r="M44" s="61" t="n"/>
    </row>
    <row r="45" ht="20" customHeight="1">
      <c r="B45" s="60" t="n"/>
      <c r="C45" s="60" t="n"/>
      <c r="D45" s="61" t="n"/>
      <c r="E45" s="61" t="n"/>
      <c r="F45" s="61" t="n"/>
      <c r="G45" s="62" t="n"/>
      <c r="H45" s="62" t="n"/>
      <c r="I45" s="60" t="n"/>
      <c r="J45" s="60" t="n"/>
      <c r="K45" s="63">
        <f>IF(I45&gt;0, J45/I45, "")</f>
        <v/>
      </c>
      <c r="L45" s="61" t="n"/>
      <c r="M45" s="61" t="n"/>
    </row>
    <row r="46" ht="20" customHeight="1">
      <c r="B46" s="60" t="n"/>
      <c r="C46" s="60" t="n"/>
      <c r="D46" s="61" t="n"/>
      <c r="E46" s="61" t="n"/>
      <c r="F46" s="61" t="n"/>
      <c r="G46" s="62" t="n"/>
      <c r="H46" s="62" t="n"/>
      <c r="I46" s="60" t="n"/>
      <c r="J46" s="60" t="n"/>
      <c r="K46" s="63">
        <f>IF(I46&gt;0, J46/I46, "")</f>
        <v/>
      </c>
      <c r="L46" s="61" t="n"/>
      <c r="M46" s="61" t="n"/>
    </row>
    <row r="47" ht="20" customHeight="1">
      <c r="B47" s="60" t="n"/>
      <c r="C47" s="60" t="n"/>
      <c r="D47" s="61" t="n"/>
      <c r="E47" s="61" t="n"/>
      <c r="F47" s="61" t="n"/>
      <c r="G47" s="62" t="n"/>
      <c r="H47" s="62" t="n"/>
      <c r="I47" s="60" t="n"/>
      <c r="J47" s="60" t="n"/>
      <c r="K47" s="63">
        <f>IF(I47&gt;0, J47/I47, "")</f>
        <v/>
      </c>
      <c r="L47" s="61" t="n"/>
      <c r="M47" s="61" t="n"/>
    </row>
    <row r="48" ht="20" customHeight="1">
      <c r="B48" s="60" t="n"/>
      <c r="C48" s="60" t="n"/>
      <c r="D48" s="61" t="n"/>
      <c r="E48" s="61" t="n"/>
      <c r="F48" s="61" t="n"/>
      <c r="G48" s="62" t="n"/>
      <c r="H48" s="62" t="n"/>
      <c r="I48" s="60" t="n"/>
      <c r="J48" s="60" t="n"/>
      <c r="K48" s="63">
        <f>IF(I48&gt;0, J48/I48, "")</f>
        <v/>
      </c>
      <c r="L48" s="61" t="n"/>
      <c r="M48" s="61" t="n"/>
    </row>
    <row r="49" ht="20" customHeight="1">
      <c r="B49" s="60" t="n"/>
      <c r="C49" s="60" t="n"/>
      <c r="D49" s="61" t="n"/>
      <c r="E49" s="61" t="n"/>
      <c r="F49" s="61" t="n"/>
      <c r="G49" s="62" t="n"/>
      <c r="H49" s="62" t="n"/>
      <c r="I49" s="60" t="n"/>
      <c r="J49" s="60" t="n"/>
      <c r="K49" s="63">
        <f>IF(I49&gt;0, J49/I49, "")</f>
        <v/>
      </c>
      <c r="L49" s="61" t="n"/>
      <c r="M49" s="61" t="n"/>
    </row>
    <row r="50" ht="20" customHeight="1">
      <c r="B50" s="60" t="n"/>
      <c r="C50" s="60" t="n"/>
      <c r="D50" s="61" t="n"/>
      <c r="E50" s="61" t="n"/>
      <c r="F50" s="61" t="n"/>
      <c r="G50" s="62" t="n"/>
      <c r="H50" s="62" t="n"/>
      <c r="I50" s="60" t="n"/>
      <c r="J50" s="60" t="n"/>
      <c r="K50" s="63">
        <f>IF(I50&gt;0, J50/I50, "")</f>
        <v/>
      </c>
      <c r="L50" s="61" t="n"/>
      <c r="M50" s="61" t="n"/>
    </row>
    <row r="51" ht="20" customHeight="1">
      <c r="B51" s="60" t="n"/>
      <c r="C51" s="60" t="n"/>
      <c r="D51" s="61" t="n"/>
      <c r="E51" s="61" t="n"/>
      <c r="F51" s="61" t="n"/>
      <c r="G51" s="62" t="n"/>
      <c r="H51" s="62" t="n"/>
      <c r="I51" s="60" t="n"/>
      <c r="J51" s="60" t="n"/>
      <c r="K51" s="63">
        <f>IF(I51&gt;0, J51/I51, "")</f>
        <v/>
      </c>
      <c r="L51" s="61" t="n"/>
      <c r="M51" s="61" t="n"/>
    </row>
    <row r="52" ht="20" customHeight="1">
      <c r="B52" s="60" t="n"/>
      <c r="C52" s="60" t="n"/>
      <c r="D52" s="61" t="n"/>
      <c r="E52" s="61" t="n"/>
      <c r="F52" s="61" t="n"/>
      <c r="G52" s="62" t="n"/>
      <c r="H52" s="62" t="n"/>
      <c r="I52" s="60" t="n"/>
      <c r="J52" s="60" t="n"/>
      <c r="K52" s="63">
        <f>IF(I52&gt;0, J52/I52, "")</f>
        <v/>
      </c>
      <c r="L52" s="61" t="n"/>
      <c r="M52" s="61" t="n"/>
    </row>
    <row r="53" ht="20" customHeight="1">
      <c r="B53" s="60" t="n"/>
      <c r="C53" s="60" t="n"/>
      <c r="D53" s="61" t="n"/>
      <c r="E53" s="61" t="n"/>
      <c r="F53" s="61" t="n"/>
      <c r="G53" s="62" t="n"/>
      <c r="H53" s="62" t="n"/>
      <c r="I53" s="60" t="n"/>
      <c r="J53" s="60" t="n"/>
      <c r="K53" s="63">
        <f>IF(I53&gt;0, J53/I53, "")</f>
        <v/>
      </c>
      <c r="L53" s="61" t="n"/>
      <c r="M53" s="61" t="n"/>
    </row>
    <row r="54" ht="20" customHeight="1">
      <c r="B54" s="60" t="n"/>
      <c r="C54" s="60" t="n"/>
      <c r="D54" s="61" t="n"/>
      <c r="E54" s="61" t="n"/>
      <c r="F54" s="61" t="n"/>
      <c r="G54" s="62" t="n"/>
      <c r="H54" s="62" t="n"/>
      <c r="I54" s="60" t="n"/>
      <c r="J54" s="60" t="n"/>
      <c r="K54" s="63">
        <f>IF(I54&gt;0, J54/I54, "")</f>
        <v/>
      </c>
      <c r="L54" s="61" t="n"/>
      <c r="M54" s="61" t="n"/>
    </row>
    <row r="55" ht="20" customHeight="1">
      <c r="B55" s="60" t="n"/>
      <c r="C55" s="60" t="n"/>
      <c r="D55" s="61" t="n"/>
      <c r="E55" s="61" t="n"/>
      <c r="F55" s="61" t="n"/>
      <c r="G55" s="62" t="n"/>
      <c r="H55" s="62" t="n"/>
      <c r="I55" s="60" t="n"/>
      <c r="J55" s="60" t="n"/>
      <c r="K55" s="63">
        <f>IF(I55&gt;0, J55/I55, "")</f>
        <v/>
      </c>
      <c r="L55" s="61" t="n"/>
      <c r="M55" s="61" t="n"/>
    </row>
    <row r="56" ht="20" customHeight="1">
      <c r="B56" s="60" t="n"/>
      <c r="C56" s="60" t="n"/>
      <c r="D56" s="61" t="n"/>
      <c r="E56" s="61" t="n"/>
      <c r="F56" s="61" t="n"/>
      <c r="G56" s="62" t="n"/>
      <c r="H56" s="62" t="n"/>
      <c r="I56" s="60" t="n"/>
      <c r="J56" s="60" t="n"/>
      <c r="K56" s="63">
        <f>IF(I56&gt;0, J56/I56, "")</f>
        <v/>
      </c>
      <c r="L56" s="61" t="n"/>
      <c r="M56" s="61" t="n"/>
    </row>
    <row r="57" ht="20" customHeight="1">
      <c r="B57" s="60" t="n"/>
      <c r="C57" s="60" t="n"/>
      <c r="D57" s="61" t="n"/>
      <c r="E57" s="61" t="n"/>
      <c r="F57" s="61" t="n"/>
      <c r="G57" s="62" t="n"/>
      <c r="H57" s="62" t="n"/>
      <c r="I57" s="60" t="n"/>
      <c r="J57" s="60" t="n"/>
      <c r="K57" s="63">
        <f>IF(I57&gt;0, J57/I57, "")</f>
        <v/>
      </c>
      <c r="L57" s="61" t="n"/>
      <c r="M57" s="61" t="n"/>
    </row>
    <row r="58" ht="20" customHeight="1">
      <c r="B58" s="60" t="n"/>
      <c r="C58" s="60" t="n"/>
      <c r="D58" s="61" t="n"/>
      <c r="E58" s="61" t="n"/>
      <c r="F58" s="61" t="n"/>
      <c r="G58" s="62" t="n"/>
      <c r="H58" s="62" t="n"/>
      <c r="I58" s="60" t="n"/>
      <c r="J58" s="60" t="n"/>
      <c r="K58" s="63">
        <f>IF(I58&gt;0, J58/I58, "")</f>
        <v/>
      </c>
      <c r="L58" s="61" t="n"/>
      <c r="M58" s="61" t="n"/>
    </row>
    <row r="59" ht="20" customHeight="1">
      <c r="B59" s="60" t="n"/>
      <c r="C59" s="60" t="n"/>
      <c r="D59" s="61" t="n"/>
      <c r="E59" s="61" t="n"/>
      <c r="F59" s="61" t="n"/>
      <c r="G59" s="62" t="n"/>
      <c r="H59" s="62" t="n"/>
      <c r="I59" s="60" t="n"/>
      <c r="J59" s="60" t="n"/>
      <c r="K59" s="63">
        <f>IF(I59&gt;0, J59/I59, "")</f>
        <v/>
      </c>
      <c r="L59" s="61" t="n"/>
      <c r="M59" s="61" t="n"/>
    </row>
    <row r="60" ht="20" customHeight="1">
      <c r="B60" s="60" t="n"/>
      <c r="C60" s="60" t="n"/>
      <c r="D60" s="61" t="n"/>
      <c r="E60" s="61" t="n"/>
      <c r="F60" s="61" t="n"/>
      <c r="G60" s="62" t="n"/>
      <c r="H60" s="62" t="n"/>
      <c r="I60" s="60" t="n"/>
      <c r="J60" s="60" t="n"/>
      <c r="K60" s="63">
        <f>IF(I60&gt;0, J60/I60, "")</f>
        <v/>
      </c>
      <c r="L60" s="61" t="n"/>
      <c r="M60" s="6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M6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16" customWidth="1" min="4" max="4"/>
    <col width="35" customWidth="1" min="5" max="5"/>
    <col width="25" customWidth="1" min="6" max="6"/>
    <col width="10" customWidth="1" min="7" max="7"/>
    <col width="16" customWidth="1" min="8" max="8"/>
    <col width="14" customWidth="1" min="9" max="9"/>
    <col width="16" customWidth="1" min="10" max="10"/>
    <col width="12" customWidth="1" min="11" max="11"/>
    <col width="24" customWidth="1" min="12" max="12"/>
    <col width="24" customWidth="1" min="13" max="13"/>
  </cols>
  <sheetData>
    <row r="2" ht="28" customHeight="1">
      <c r="B2" s="59" t="inlineStr">
        <is>
          <t>S.No</t>
        </is>
      </c>
      <c r="C2" s="59" t="inlineStr">
        <is>
          <t>Date</t>
        </is>
      </c>
      <c r="D2" s="59" t="inlineStr">
        <is>
          <t>Task worker</t>
        </is>
      </c>
      <c r="E2" s="59" t="inlineStr">
        <is>
          <t>Task</t>
        </is>
      </c>
      <c r="F2" s="59" t="inlineStr">
        <is>
          <t>Assets/Units/ISOs/PIDs</t>
        </is>
      </c>
      <c r="G2" s="59" t="inlineStr">
        <is>
          <t>Hrs/day</t>
        </is>
      </c>
      <c r="H2" s="59" t="inlineStr">
        <is>
          <t>metric/task in hrs</t>
        </is>
      </c>
      <c r="I2" s="59" t="inlineStr">
        <is>
          <t>count per day</t>
        </is>
      </c>
      <c r="J2" s="59" t="inlineStr">
        <is>
          <t>achieved on the day</t>
        </is>
      </c>
      <c r="K2" s="59" t="inlineStr">
        <is>
          <t>Efficiency</t>
        </is>
      </c>
      <c r="L2" s="59" t="inlineStr">
        <is>
          <t>Road blocks</t>
        </is>
      </c>
      <c r="M2" s="59" t="inlineStr">
        <is>
          <t>Notes</t>
        </is>
      </c>
    </row>
    <row r="3" ht="20" customHeight="1">
      <c r="B3" s="60" t="n"/>
      <c r="C3" s="60" t="n"/>
      <c r="D3" s="61" t="n"/>
      <c r="E3" s="61" t="n"/>
      <c r="F3" s="61" t="n"/>
      <c r="G3" s="62" t="n"/>
      <c r="H3" s="62" t="n"/>
      <c r="I3" s="60" t="n"/>
      <c r="J3" s="60" t="n"/>
      <c r="K3" s="63">
        <f>IF(I3&gt;0, J3/I3, "")</f>
        <v/>
      </c>
      <c r="L3" s="61" t="n"/>
      <c r="M3" s="61" t="n"/>
    </row>
    <row r="4" ht="20" customHeight="1">
      <c r="B4" s="60" t="n"/>
      <c r="C4" s="60" t="n"/>
      <c r="D4" s="61" t="n"/>
      <c r="E4" s="61" t="n"/>
      <c r="F4" s="61" t="n"/>
      <c r="G4" s="62" t="n"/>
      <c r="H4" s="62" t="n"/>
      <c r="I4" s="60" t="n"/>
      <c r="J4" s="60" t="n"/>
      <c r="K4" s="63">
        <f>IF(I4&gt;0, J4/I4, "")</f>
        <v/>
      </c>
      <c r="L4" s="61" t="n"/>
      <c r="M4" s="61" t="n"/>
    </row>
    <row r="5" ht="20" customHeight="1">
      <c r="B5" s="60" t="n"/>
      <c r="C5" s="60" t="n"/>
      <c r="D5" s="61" t="n"/>
      <c r="E5" s="61" t="n"/>
      <c r="F5" s="61" t="n"/>
      <c r="G5" s="62" t="n"/>
      <c r="H5" s="62" t="n"/>
      <c r="I5" s="60" t="n"/>
      <c r="J5" s="60" t="n"/>
      <c r="K5" s="63">
        <f>IF(I5&gt;0, J5/I5, "")</f>
        <v/>
      </c>
      <c r="L5" s="61" t="n"/>
      <c r="M5" s="61" t="n"/>
    </row>
    <row r="6" ht="20" customHeight="1">
      <c r="B6" s="60" t="n"/>
      <c r="C6" s="60" t="n"/>
      <c r="D6" s="61" t="n"/>
      <c r="E6" s="61" t="n"/>
      <c r="F6" s="61" t="n"/>
      <c r="G6" s="62" t="n"/>
      <c r="H6" s="62" t="n"/>
      <c r="I6" s="60" t="n"/>
      <c r="J6" s="60" t="n"/>
      <c r="K6" s="63">
        <f>IF(I6&gt;0, J6/I6, "")</f>
        <v/>
      </c>
      <c r="L6" s="61" t="n"/>
      <c r="M6" s="61" t="n"/>
    </row>
    <row r="7" ht="20" customHeight="1">
      <c r="B7" s="60" t="n"/>
      <c r="C7" s="60" t="n"/>
      <c r="D7" s="61" t="n"/>
      <c r="E7" s="61" t="n"/>
      <c r="F7" s="61" t="n"/>
      <c r="G7" s="62" t="n"/>
      <c r="H7" s="62" t="n"/>
      <c r="I7" s="60" t="n"/>
      <c r="J7" s="60" t="n"/>
      <c r="K7" s="63">
        <f>IF(I7&gt;0, J7/I7, "")</f>
        <v/>
      </c>
      <c r="L7" s="61" t="n"/>
      <c r="M7" s="61" t="n"/>
    </row>
    <row r="8" ht="20" customHeight="1">
      <c r="B8" s="60" t="n"/>
      <c r="C8" s="60" t="n"/>
      <c r="D8" s="61" t="n"/>
      <c r="E8" s="61" t="n"/>
      <c r="F8" s="61" t="n"/>
      <c r="G8" s="62" t="n"/>
      <c r="H8" s="62" t="n"/>
      <c r="I8" s="60" t="n"/>
      <c r="J8" s="60" t="n"/>
      <c r="K8" s="63">
        <f>IF(I8&gt;0, J8/I8, "")</f>
        <v/>
      </c>
      <c r="L8" s="61" t="n"/>
      <c r="M8" s="61" t="n"/>
    </row>
    <row r="9" ht="20" customHeight="1">
      <c r="B9" s="60" t="n"/>
      <c r="C9" s="60" t="n"/>
      <c r="D9" s="61" t="n"/>
      <c r="E9" s="61" t="n"/>
      <c r="F9" s="61" t="n"/>
      <c r="G9" s="62" t="n"/>
      <c r="H9" s="62" t="n"/>
      <c r="I9" s="60" t="n"/>
      <c r="J9" s="60" t="n"/>
      <c r="K9" s="63">
        <f>IF(I9&gt;0, J9/I9, "")</f>
        <v/>
      </c>
      <c r="L9" s="61" t="n"/>
      <c r="M9" s="61" t="n"/>
    </row>
    <row r="10" ht="20" customHeight="1">
      <c r="B10" s="60" t="n"/>
      <c r="C10" s="60" t="n"/>
      <c r="D10" s="61" t="n"/>
      <c r="E10" s="61" t="n"/>
      <c r="F10" s="61" t="n"/>
      <c r="G10" s="62" t="n"/>
      <c r="H10" s="62" t="n"/>
      <c r="I10" s="60" t="n"/>
      <c r="J10" s="60" t="n"/>
      <c r="K10" s="63">
        <f>IF(I10&gt;0, J10/I10, "")</f>
        <v/>
      </c>
      <c r="L10" s="61" t="n"/>
      <c r="M10" s="61" t="n"/>
    </row>
    <row r="11" ht="20" customHeight="1">
      <c r="B11" s="60" t="n"/>
      <c r="C11" s="60" t="n"/>
      <c r="D11" s="61" t="n"/>
      <c r="E11" s="61" t="n"/>
      <c r="F11" s="61" t="n"/>
      <c r="G11" s="62" t="n"/>
      <c r="H11" s="62" t="n"/>
      <c r="I11" s="60" t="n"/>
      <c r="J11" s="60" t="n"/>
      <c r="K11" s="63">
        <f>IF(I11&gt;0, J11/I11, "")</f>
        <v/>
      </c>
      <c r="L11" s="61" t="n"/>
      <c r="M11" s="61" t="n"/>
    </row>
    <row r="12" ht="20" customHeight="1">
      <c r="B12" s="60" t="n"/>
      <c r="C12" s="60" t="n"/>
      <c r="D12" s="61" t="n"/>
      <c r="E12" s="61" t="n"/>
      <c r="F12" s="61" t="n"/>
      <c r="G12" s="62" t="n"/>
      <c r="H12" s="62" t="n"/>
      <c r="I12" s="60" t="n"/>
      <c r="J12" s="60" t="n"/>
      <c r="K12" s="63">
        <f>IF(I12&gt;0, J12/I12, "")</f>
        <v/>
      </c>
      <c r="L12" s="61" t="n"/>
      <c r="M12" s="61" t="n"/>
    </row>
    <row r="13" ht="20" customHeight="1">
      <c r="B13" s="60" t="n"/>
      <c r="C13" s="60" t="n"/>
      <c r="D13" s="61" t="n"/>
      <c r="E13" s="61" t="n"/>
      <c r="F13" s="61" t="n"/>
      <c r="G13" s="62" t="n"/>
      <c r="H13" s="62" t="n"/>
      <c r="I13" s="60" t="n"/>
      <c r="J13" s="60" t="n"/>
      <c r="K13" s="63">
        <f>IF(I13&gt;0, J13/I13, "")</f>
        <v/>
      </c>
      <c r="L13" s="61" t="n"/>
      <c r="M13" s="61" t="n"/>
    </row>
    <row r="14" ht="20" customHeight="1">
      <c r="B14" s="60" t="n"/>
      <c r="C14" s="60" t="n"/>
      <c r="D14" s="61" t="n"/>
      <c r="E14" s="61" t="n"/>
      <c r="F14" s="61" t="n"/>
      <c r="G14" s="62" t="n"/>
      <c r="H14" s="62" t="n"/>
      <c r="I14" s="60" t="n"/>
      <c r="J14" s="60" t="n"/>
      <c r="K14" s="63">
        <f>IF(I14&gt;0, J14/I14, "")</f>
        <v/>
      </c>
      <c r="L14" s="61" t="n"/>
      <c r="M14" s="61" t="n"/>
    </row>
    <row r="15" ht="20" customHeight="1">
      <c r="B15" s="60" t="n"/>
      <c r="C15" s="60" t="n"/>
      <c r="D15" s="61" t="n"/>
      <c r="E15" s="61" t="n"/>
      <c r="F15" s="61" t="n"/>
      <c r="G15" s="62" t="n"/>
      <c r="H15" s="62" t="n"/>
      <c r="I15" s="60" t="n"/>
      <c r="J15" s="60" t="n"/>
      <c r="K15" s="63">
        <f>IF(I15&gt;0, J15/I15, "")</f>
        <v/>
      </c>
      <c r="L15" s="61" t="n"/>
      <c r="M15" s="61" t="n"/>
    </row>
    <row r="16" ht="20" customHeight="1">
      <c r="B16" s="60" t="n"/>
      <c r="C16" s="60" t="n"/>
      <c r="D16" s="61" t="n"/>
      <c r="E16" s="61" t="n"/>
      <c r="F16" s="61" t="n"/>
      <c r="G16" s="62" t="n"/>
      <c r="H16" s="62" t="n"/>
      <c r="I16" s="60" t="n"/>
      <c r="J16" s="60" t="n"/>
      <c r="K16" s="63">
        <f>IF(I16&gt;0, J16/I16, "")</f>
        <v/>
      </c>
      <c r="L16" s="61" t="n"/>
      <c r="M16" s="61" t="n"/>
    </row>
    <row r="17" ht="20" customHeight="1">
      <c r="B17" s="60" t="n"/>
      <c r="C17" s="60" t="n"/>
      <c r="D17" s="61" t="n"/>
      <c r="E17" s="61" t="n"/>
      <c r="F17" s="61" t="n"/>
      <c r="G17" s="62" t="n"/>
      <c r="H17" s="62" t="n"/>
      <c r="I17" s="60" t="n"/>
      <c r="J17" s="60" t="n"/>
      <c r="K17" s="63">
        <f>IF(I17&gt;0, J17/I17, "")</f>
        <v/>
      </c>
      <c r="L17" s="61" t="n"/>
      <c r="M17" s="61" t="n"/>
    </row>
    <row r="18" ht="20" customHeight="1">
      <c r="B18" s="60" t="n"/>
      <c r="C18" s="60" t="n"/>
      <c r="D18" s="61" t="n"/>
      <c r="E18" s="61" t="n"/>
      <c r="F18" s="61" t="n"/>
      <c r="G18" s="62" t="n"/>
      <c r="H18" s="62" t="n"/>
      <c r="I18" s="60" t="n"/>
      <c r="J18" s="60" t="n"/>
      <c r="K18" s="63">
        <f>IF(I18&gt;0, J18/I18, "")</f>
        <v/>
      </c>
      <c r="L18" s="61" t="n"/>
      <c r="M18" s="61" t="n"/>
    </row>
    <row r="19" ht="20" customHeight="1">
      <c r="B19" s="60" t="n"/>
      <c r="C19" s="60" t="n"/>
      <c r="D19" s="61" t="n"/>
      <c r="E19" s="61" t="n"/>
      <c r="F19" s="61" t="n"/>
      <c r="G19" s="62" t="n"/>
      <c r="H19" s="62" t="n"/>
      <c r="I19" s="60" t="n"/>
      <c r="J19" s="60" t="n"/>
      <c r="K19" s="63">
        <f>IF(I19&gt;0, J19/I19, "")</f>
        <v/>
      </c>
      <c r="L19" s="61" t="n"/>
      <c r="M19" s="61" t="n"/>
    </row>
    <row r="20" ht="20" customHeight="1">
      <c r="B20" s="60" t="n"/>
      <c r="C20" s="60" t="n"/>
      <c r="D20" s="61" t="n"/>
      <c r="E20" s="61" t="n"/>
      <c r="F20" s="61" t="n"/>
      <c r="G20" s="62" t="n"/>
      <c r="H20" s="62" t="n"/>
      <c r="I20" s="60" t="n"/>
      <c r="J20" s="60" t="n"/>
      <c r="K20" s="63">
        <f>IF(I20&gt;0, J20/I20, "")</f>
        <v/>
      </c>
      <c r="L20" s="61" t="n"/>
      <c r="M20" s="61" t="n"/>
    </row>
    <row r="21" ht="20" customHeight="1">
      <c r="B21" s="60" t="n"/>
      <c r="C21" s="60" t="n"/>
      <c r="D21" s="61" t="n"/>
      <c r="E21" s="61" t="n"/>
      <c r="F21" s="61" t="n"/>
      <c r="G21" s="62" t="n"/>
      <c r="H21" s="62" t="n"/>
      <c r="I21" s="60" t="n"/>
      <c r="J21" s="60" t="n"/>
      <c r="K21" s="63">
        <f>IF(I21&gt;0, J21/I21, "")</f>
        <v/>
      </c>
      <c r="L21" s="61" t="n"/>
      <c r="M21" s="61" t="n"/>
    </row>
    <row r="22" ht="20" customHeight="1">
      <c r="B22" s="60" t="n"/>
      <c r="C22" s="60" t="n"/>
      <c r="D22" s="61" t="n"/>
      <c r="E22" s="61" t="n"/>
      <c r="F22" s="61" t="n"/>
      <c r="G22" s="62" t="n"/>
      <c r="H22" s="62" t="n"/>
      <c r="I22" s="60" t="n"/>
      <c r="J22" s="60" t="n"/>
      <c r="K22" s="63">
        <f>IF(I22&gt;0, J22/I22, "")</f>
        <v/>
      </c>
      <c r="L22" s="61" t="n"/>
      <c r="M22" s="61" t="n"/>
    </row>
    <row r="23" ht="20" customHeight="1">
      <c r="B23" s="60" t="n"/>
      <c r="C23" s="60" t="n"/>
      <c r="D23" s="61" t="n"/>
      <c r="E23" s="61" t="n"/>
      <c r="F23" s="61" t="n"/>
      <c r="G23" s="62" t="n"/>
      <c r="H23" s="62" t="n"/>
      <c r="I23" s="60" t="n"/>
      <c r="J23" s="60" t="n"/>
      <c r="K23" s="63">
        <f>IF(I23&gt;0, J23/I23, "")</f>
        <v/>
      </c>
      <c r="L23" s="61" t="n"/>
      <c r="M23" s="61" t="n"/>
    </row>
    <row r="24" ht="20" customHeight="1">
      <c r="B24" s="60" t="n"/>
      <c r="C24" s="60" t="n"/>
      <c r="D24" s="61" t="n"/>
      <c r="E24" s="61" t="n"/>
      <c r="F24" s="61" t="n"/>
      <c r="G24" s="62" t="n"/>
      <c r="H24" s="62" t="n"/>
      <c r="I24" s="60" t="n"/>
      <c r="J24" s="60" t="n"/>
      <c r="K24" s="63">
        <f>IF(I24&gt;0, J24/I24, "")</f>
        <v/>
      </c>
      <c r="L24" s="61" t="n"/>
      <c r="M24" s="61" t="n"/>
    </row>
    <row r="25" ht="20" customHeight="1">
      <c r="B25" s="60" t="n"/>
      <c r="C25" s="60" t="n"/>
      <c r="D25" s="61" t="n"/>
      <c r="E25" s="61" t="n"/>
      <c r="F25" s="61" t="n"/>
      <c r="G25" s="62" t="n"/>
      <c r="H25" s="62" t="n"/>
      <c r="I25" s="60" t="n"/>
      <c r="J25" s="60" t="n"/>
      <c r="K25" s="63">
        <f>IF(I25&gt;0, J25/I25, "")</f>
        <v/>
      </c>
      <c r="L25" s="61" t="n"/>
      <c r="M25" s="61" t="n"/>
    </row>
    <row r="26" ht="20" customHeight="1">
      <c r="B26" s="60" t="n"/>
      <c r="C26" s="60" t="n"/>
      <c r="D26" s="61" t="n"/>
      <c r="E26" s="61" t="n"/>
      <c r="F26" s="61" t="n"/>
      <c r="G26" s="62" t="n"/>
      <c r="H26" s="62" t="n"/>
      <c r="I26" s="60" t="n"/>
      <c r="J26" s="60" t="n"/>
      <c r="K26" s="63">
        <f>IF(I26&gt;0, J26/I26, "")</f>
        <v/>
      </c>
      <c r="L26" s="61" t="n"/>
      <c r="M26" s="61" t="n"/>
    </row>
    <row r="27" ht="20" customHeight="1">
      <c r="B27" s="60" t="n"/>
      <c r="C27" s="60" t="n"/>
      <c r="D27" s="61" t="n"/>
      <c r="E27" s="61" t="n"/>
      <c r="F27" s="61" t="n"/>
      <c r="G27" s="62" t="n"/>
      <c r="H27" s="62" t="n"/>
      <c r="I27" s="60" t="n"/>
      <c r="J27" s="60" t="n"/>
      <c r="K27" s="63">
        <f>IF(I27&gt;0, J27/I27, "")</f>
        <v/>
      </c>
      <c r="L27" s="61" t="n"/>
      <c r="M27" s="61" t="n"/>
    </row>
    <row r="28" ht="20" customHeight="1">
      <c r="B28" s="60" t="n"/>
      <c r="C28" s="60" t="n"/>
      <c r="D28" s="61" t="n"/>
      <c r="E28" s="61" t="n"/>
      <c r="F28" s="61" t="n"/>
      <c r="G28" s="62" t="n"/>
      <c r="H28" s="62" t="n"/>
      <c r="I28" s="60" t="n"/>
      <c r="J28" s="60" t="n"/>
      <c r="K28" s="63">
        <f>IF(I28&gt;0, J28/I28, "")</f>
        <v/>
      </c>
      <c r="L28" s="61" t="n"/>
      <c r="M28" s="61" t="n"/>
    </row>
    <row r="29" ht="20" customHeight="1">
      <c r="B29" s="60" t="n"/>
      <c r="C29" s="60" t="n"/>
      <c r="D29" s="61" t="n"/>
      <c r="E29" s="61" t="n"/>
      <c r="F29" s="61" t="n"/>
      <c r="G29" s="62" t="n"/>
      <c r="H29" s="62" t="n"/>
      <c r="I29" s="60" t="n"/>
      <c r="J29" s="60" t="n"/>
      <c r="K29" s="63">
        <f>IF(I29&gt;0, J29/I29, "")</f>
        <v/>
      </c>
      <c r="L29" s="61" t="n"/>
      <c r="M29" s="61" t="n"/>
    </row>
    <row r="30" ht="20" customHeight="1">
      <c r="B30" s="60" t="n"/>
      <c r="C30" s="60" t="n"/>
      <c r="D30" s="61" t="n"/>
      <c r="E30" s="61" t="n"/>
      <c r="F30" s="61" t="n"/>
      <c r="G30" s="62" t="n"/>
      <c r="H30" s="62" t="n"/>
      <c r="I30" s="60" t="n"/>
      <c r="J30" s="60" t="n"/>
      <c r="K30" s="63">
        <f>IF(I30&gt;0, J30/I30, "")</f>
        <v/>
      </c>
      <c r="L30" s="61" t="n"/>
      <c r="M30" s="61" t="n"/>
    </row>
    <row r="31" ht="20" customHeight="1">
      <c r="B31" s="60" t="n"/>
      <c r="C31" s="60" t="n"/>
      <c r="D31" s="61" t="n"/>
      <c r="E31" s="61" t="n"/>
      <c r="F31" s="61" t="n"/>
      <c r="G31" s="62" t="n"/>
      <c r="H31" s="62" t="n"/>
      <c r="I31" s="60" t="n"/>
      <c r="J31" s="60" t="n"/>
      <c r="K31" s="63">
        <f>IF(I31&gt;0, J31/I31, "")</f>
        <v/>
      </c>
      <c r="L31" s="61" t="n"/>
      <c r="M31" s="61" t="n"/>
    </row>
    <row r="32" ht="20" customHeight="1">
      <c r="B32" s="60" t="n"/>
      <c r="C32" s="60" t="n"/>
      <c r="D32" s="61" t="n"/>
      <c r="E32" s="61" t="n"/>
      <c r="F32" s="61" t="n"/>
      <c r="G32" s="62" t="n"/>
      <c r="H32" s="62" t="n"/>
      <c r="I32" s="60" t="n"/>
      <c r="J32" s="60" t="n"/>
      <c r="K32" s="63">
        <f>IF(I32&gt;0, J32/I32, "")</f>
        <v/>
      </c>
      <c r="L32" s="61" t="n"/>
      <c r="M32" s="61" t="n"/>
    </row>
    <row r="33" ht="20" customHeight="1">
      <c r="B33" s="60" t="n"/>
      <c r="C33" s="60" t="n"/>
      <c r="D33" s="61" t="n"/>
      <c r="E33" s="61" t="n"/>
      <c r="F33" s="61" t="n"/>
      <c r="G33" s="62" t="n"/>
      <c r="H33" s="62" t="n"/>
      <c r="I33" s="60" t="n"/>
      <c r="J33" s="60" t="n"/>
      <c r="K33" s="63">
        <f>IF(I33&gt;0, J33/I33, "")</f>
        <v/>
      </c>
      <c r="L33" s="61" t="n"/>
      <c r="M33" s="61" t="n"/>
    </row>
    <row r="34" ht="20" customHeight="1">
      <c r="B34" s="60" t="n"/>
      <c r="C34" s="60" t="n"/>
      <c r="D34" s="61" t="n"/>
      <c r="E34" s="61" t="n"/>
      <c r="F34" s="61" t="n"/>
      <c r="G34" s="62" t="n"/>
      <c r="H34" s="62" t="n"/>
      <c r="I34" s="60" t="n"/>
      <c r="J34" s="60" t="n"/>
      <c r="K34" s="63">
        <f>IF(I34&gt;0, J34/I34, "")</f>
        <v/>
      </c>
      <c r="L34" s="61" t="n"/>
      <c r="M34" s="61" t="n"/>
    </row>
    <row r="35" ht="20" customHeight="1">
      <c r="B35" s="60" t="n"/>
      <c r="C35" s="60" t="n"/>
      <c r="D35" s="61" t="n"/>
      <c r="E35" s="61" t="n"/>
      <c r="F35" s="61" t="n"/>
      <c r="G35" s="62" t="n"/>
      <c r="H35" s="62" t="n"/>
      <c r="I35" s="60" t="n"/>
      <c r="J35" s="60" t="n"/>
      <c r="K35" s="63">
        <f>IF(I35&gt;0, J35/I35, "")</f>
        <v/>
      </c>
      <c r="L35" s="61" t="n"/>
      <c r="M35" s="61" t="n"/>
    </row>
    <row r="36" ht="20" customHeight="1">
      <c r="B36" s="60" t="n"/>
      <c r="C36" s="60" t="n"/>
      <c r="D36" s="61" t="n"/>
      <c r="E36" s="61" t="n"/>
      <c r="F36" s="61" t="n"/>
      <c r="G36" s="62" t="n"/>
      <c r="H36" s="62" t="n"/>
      <c r="I36" s="60" t="n"/>
      <c r="J36" s="60" t="n"/>
      <c r="K36" s="63">
        <f>IF(I36&gt;0, J36/I36, "")</f>
        <v/>
      </c>
      <c r="L36" s="61" t="n"/>
      <c r="M36" s="61" t="n"/>
    </row>
    <row r="37" ht="20" customHeight="1">
      <c r="B37" s="60" t="n"/>
      <c r="C37" s="60" t="n"/>
      <c r="D37" s="61" t="n"/>
      <c r="E37" s="61" t="n"/>
      <c r="F37" s="61" t="n"/>
      <c r="G37" s="62" t="n"/>
      <c r="H37" s="62" t="n"/>
      <c r="I37" s="60" t="n"/>
      <c r="J37" s="60" t="n"/>
      <c r="K37" s="63">
        <f>IF(I37&gt;0, J37/I37, "")</f>
        <v/>
      </c>
      <c r="L37" s="61" t="n"/>
      <c r="M37" s="61" t="n"/>
    </row>
    <row r="38" ht="20" customHeight="1">
      <c r="B38" s="60" t="n"/>
      <c r="C38" s="60" t="n"/>
      <c r="D38" s="61" t="n"/>
      <c r="E38" s="61" t="n"/>
      <c r="F38" s="61" t="n"/>
      <c r="G38" s="62" t="n"/>
      <c r="H38" s="62" t="n"/>
      <c r="I38" s="60" t="n"/>
      <c r="J38" s="60" t="n"/>
      <c r="K38" s="63">
        <f>IF(I38&gt;0, J38/I38, "")</f>
        <v/>
      </c>
      <c r="L38" s="61" t="n"/>
      <c r="M38" s="61" t="n"/>
    </row>
    <row r="39" ht="20" customHeight="1">
      <c r="B39" s="60" t="n"/>
      <c r="C39" s="60" t="n"/>
      <c r="D39" s="61" t="n"/>
      <c r="E39" s="61" t="n"/>
      <c r="F39" s="61" t="n"/>
      <c r="G39" s="62" t="n"/>
      <c r="H39" s="62" t="n"/>
      <c r="I39" s="60" t="n"/>
      <c r="J39" s="60" t="n"/>
      <c r="K39" s="63">
        <f>IF(I39&gt;0, J39/I39, "")</f>
        <v/>
      </c>
      <c r="L39" s="61" t="n"/>
      <c r="M39" s="61" t="n"/>
    </row>
    <row r="40" ht="20" customHeight="1">
      <c r="B40" s="60" t="n"/>
      <c r="C40" s="60" t="n"/>
      <c r="D40" s="61" t="n"/>
      <c r="E40" s="61" t="n"/>
      <c r="F40" s="61" t="n"/>
      <c r="G40" s="62" t="n"/>
      <c r="H40" s="62" t="n"/>
      <c r="I40" s="60" t="n"/>
      <c r="J40" s="60" t="n"/>
      <c r="K40" s="63">
        <f>IF(I40&gt;0, J40/I40, "")</f>
        <v/>
      </c>
      <c r="L40" s="61" t="n"/>
      <c r="M40" s="61" t="n"/>
    </row>
    <row r="41" ht="20" customHeight="1">
      <c r="B41" s="60" t="n"/>
      <c r="C41" s="60" t="n"/>
      <c r="D41" s="61" t="n"/>
      <c r="E41" s="61" t="n"/>
      <c r="F41" s="61" t="n"/>
      <c r="G41" s="62" t="n"/>
      <c r="H41" s="62" t="n"/>
      <c r="I41" s="60" t="n"/>
      <c r="J41" s="60" t="n"/>
      <c r="K41" s="63">
        <f>IF(I41&gt;0, J41/I41, "")</f>
        <v/>
      </c>
      <c r="L41" s="61" t="n"/>
      <c r="M41" s="61" t="n"/>
    </row>
    <row r="42" ht="20" customHeight="1">
      <c r="B42" s="60" t="n"/>
      <c r="C42" s="60" t="n"/>
      <c r="D42" s="61" t="n"/>
      <c r="E42" s="61" t="n"/>
      <c r="F42" s="61" t="n"/>
      <c r="G42" s="62" t="n"/>
      <c r="H42" s="62" t="n"/>
      <c r="I42" s="60" t="n"/>
      <c r="J42" s="60" t="n"/>
      <c r="K42" s="63">
        <f>IF(I42&gt;0, J42/I42, "")</f>
        <v/>
      </c>
      <c r="L42" s="61" t="n"/>
      <c r="M42" s="61" t="n"/>
    </row>
    <row r="43" ht="20" customHeight="1">
      <c r="B43" s="60" t="n"/>
      <c r="C43" s="60" t="n"/>
      <c r="D43" s="61" t="n"/>
      <c r="E43" s="61" t="n"/>
      <c r="F43" s="61" t="n"/>
      <c r="G43" s="62" t="n"/>
      <c r="H43" s="62" t="n"/>
      <c r="I43" s="60" t="n"/>
      <c r="J43" s="60" t="n"/>
      <c r="K43" s="63">
        <f>IF(I43&gt;0, J43/I43, "")</f>
        <v/>
      </c>
      <c r="L43" s="61" t="n"/>
      <c r="M43" s="61" t="n"/>
    </row>
    <row r="44" ht="20" customHeight="1">
      <c r="B44" s="60" t="n"/>
      <c r="C44" s="60" t="n"/>
      <c r="D44" s="61" t="n"/>
      <c r="E44" s="61" t="n"/>
      <c r="F44" s="61" t="n"/>
      <c r="G44" s="62" t="n"/>
      <c r="H44" s="62" t="n"/>
      <c r="I44" s="60" t="n"/>
      <c r="J44" s="60" t="n"/>
      <c r="K44" s="63">
        <f>IF(I44&gt;0, J44/I44, "")</f>
        <v/>
      </c>
      <c r="L44" s="61" t="n"/>
      <c r="M44" s="61" t="n"/>
    </row>
    <row r="45" ht="20" customHeight="1">
      <c r="B45" s="60" t="n"/>
      <c r="C45" s="60" t="n"/>
      <c r="D45" s="61" t="n"/>
      <c r="E45" s="61" t="n"/>
      <c r="F45" s="61" t="n"/>
      <c r="G45" s="62" t="n"/>
      <c r="H45" s="62" t="n"/>
      <c r="I45" s="60" t="n"/>
      <c r="J45" s="60" t="n"/>
      <c r="K45" s="63">
        <f>IF(I45&gt;0, J45/I45, "")</f>
        <v/>
      </c>
      <c r="L45" s="61" t="n"/>
      <c r="M45" s="61" t="n"/>
    </row>
    <row r="46" ht="20" customHeight="1">
      <c r="B46" s="60" t="n"/>
      <c r="C46" s="60" t="n"/>
      <c r="D46" s="61" t="n"/>
      <c r="E46" s="61" t="n"/>
      <c r="F46" s="61" t="n"/>
      <c r="G46" s="62" t="n"/>
      <c r="H46" s="62" t="n"/>
      <c r="I46" s="60" t="n"/>
      <c r="J46" s="60" t="n"/>
      <c r="K46" s="63">
        <f>IF(I46&gt;0, J46/I46, "")</f>
        <v/>
      </c>
      <c r="L46" s="61" t="n"/>
      <c r="M46" s="61" t="n"/>
    </row>
    <row r="47" ht="20" customHeight="1">
      <c r="B47" s="60" t="n"/>
      <c r="C47" s="60" t="n"/>
      <c r="D47" s="61" t="n"/>
      <c r="E47" s="61" t="n"/>
      <c r="F47" s="61" t="n"/>
      <c r="G47" s="62" t="n"/>
      <c r="H47" s="62" t="n"/>
      <c r="I47" s="60" t="n"/>
      <c r="J47" s="60" t="n"/>
      <c r="K47" s="63">
        <f>IF(I47&gt;0, J47/I47, "")</f>
        <v/>
      </c>
      <c r="L47" s="61" t="n"/>
      <c r="M47" s="61" t="n"/>
    </row>
    <row r="48" ht="20" customHeight="1">
      <c r="B48" s="60" t="n"/>
      <c r="C48" s="60" t="n"/>
      <c r="D48" s="61" t="n"/>
      <c r="E48" s="61" t="n"/>
      <c r="F48" s="61" t="n"/>
      <c r="G48" s="62" t="n"/>
      <c r="H48" s="62" t="n"/>
      <c r="I48" s="60" t="n"/>
      <c r="J48" s="60" t="n"/>
      <c r="K48" s="63">
        <f>IF(I48&gt;0, J48/I48, "")</f>
        <v/>
      </c>
      <c r="L48" s="61" t="n"/>
      <c r="M48" s="61" t="n"/>
    </row>
    <row r="49" ht="20" customHeight="1">
      <c r="B49" s="60" t="n"/>
      <c r="C49" s="60" t="n"/>
      <c r="D49" s="61" t="n"/>
      <c r="E49" s="61" t="n"/>
      <c r="F49" s="61" t="n"/>
      <c r="G49" s="62" t="n"/>
      <c r="H49" s="62" t="n"/>
      <c r="I49" s="60" t="n"/>
      <c r="J49" s="60" t="n"/>
      <c r="K49" s="63">
        <f>IF(I49&gt;0, J49/I49, "")</f>
        <v/>
      </c>
      <c r="L49" s="61" t="n"/>
      <c r="M49" s="61" t="n"/>
    </row>
    <row r="50" ht="20" customHeight="1">
      <c r="B50" s="60" t="n"/>
      <c r="C50" s="60" t="n"/>
      <c r="D50" s="61" t="n"/>
      <c r="E50" s="61" t="n"/>
      <c r="F50" s="61" t="n"/>
      <c r="G50" s="62" t="n"/>
      <c r="H50" s="62" t="n"/>
      <c r="I50" s="60" t="n"/>
      <c r="J50" s="60" t="n"/>
      <c r="K50" s="63">
        <f>IF(I50&gt;0, J50/I50, "")</f>
        <v/>
      </c>
      <c r="L50" s="61" t="n"/>
      <c r="M50" s="61" t="n"/>
    </row>
    <row r="51" ht="20" customHeight="1">
      <c r="B51" s="60" t="n"/>
      <c r="C51" s="60" t="n"/>
      <c r="D51" s="61" t="n"/>
      <c r="E51" s="61" t="n"/>
      <c r="F51" s="61" t="n"/>
      <c r="G51" s="62" t="n"/>
      <c r="H51" s="62" t="n"/>
      <c r="I51" s="60" t="n"/>
      <c r="J51" s="60" t="n"/>
      <c r="K51" s="63">
        <f>IF(I51&gt;0, J51/I51, "")</f>
        <v/>
      </c>
      <c r="L51" s="61" t="n"/>
      <c r="M51" s="61" t="n"/>
    </row>
    <row r="52" ht="20" customHeight="1">
      <c r="B52" s="60" t="n"/>
      <c r="C52" s="60" t="n"/>
      <c r="D52" s="61" t="n"/>
      <c r="E52" s="61" t="n"/>
      <c r="F52" s="61" t="n"/>
      <c r="G52" s="62" t="n"/>
      <c r="H52" s="62" t="n"/>
      <c r="I52" s="60" t="n"/>
      <c r="J52" s="60" t="n"/>
      <c r="K52" s="63">
        <f>IF(I52&gt;0, J52/I52, "")</f>
        <v/>
      </c>
      <c r="L52" s="61" t="n"/>
      <c r="M52" s="61" t="n"/>
    </row>
    <row r="53" ht="20" customHeight="1">
      <c r="B53" s="60" t="n"/>
      <c r="C53" s="60" t="n"/>
      <c r="D53" s="61" t="n"/>
      <c r="E53" s="61" t="n"/>
      <c r="F53" s="61" t="n"/>
      <c r="G53" s="62" t="n"/>
      <c r="H53" s="62" t="n"/>
      <c r="I53" s="60" t="n"/>
      <c r="J53" s="60" t="n"/>
      <c r="K53" s="63">
        <f>IF(I53&gt;0, J53/I53, "")</f>
        <v/>
      </c>
      <c r="L53" s="61" t="n"/>
      <c r="M53" s="61" t="n"/>
    </row>
    <row r="54" ht="20" customHeight="1">
      <c r="B54" s="60" t="n"/>
      <c r="C54" s="60" t="n"/>
      <c r="D54" s="61" t="n"/>
      <c r="E54" s="61" t="n"/>
      <c r="F54" s="61" t="n"/>
      <c r="G54" s="62" t="n"/>
      <c r="H54" s="62" t="n"/>
      <c r="I54" s="60" t="n"/>
      <c r="J54" s="60" t="n"/>
      <c r="K54" s="63">
        <f>IF(I54&gt;0, J54/I54, "")</f>
        <v/>
      </c>
      <c r="L54" s="61" t="n"/>
      <c r="M54" s="61" t="n"/>
    </row>
    <row r="55" ht="20" customHeight="1">
      <c r="B55" s="60" t="n"/>
      <c r="C55" s="60" t="n"/>
      <c r="D55" s="61" t="n"/>
      <c r="E55" s="61" t="n"/>
      <c r="F55" s="61" t="n"/>
      <c r="G55" s="62" t="n"/>
      <c r="H55" s="62" t="n"/>
      <c r="I55" s="60" t="n"/>
      <c r="J55" s="60" t="n"/>
      <c r="K55" s="63">
        <f>IF(I55&gt;0, J55/I55, "")</f>
        <v/>
      </c>
      <c r="L55" s="61" t="n"/>
      <c r="M55" s="61" t="n"/>
    </row>
    <row r="56" ht="20" customHeight="1">
      <c r="B56" s="60" t="n"/>
      <c r="C56" s="60" t="n"/>
      <c r="D56" s="61" t="n"/>
      <c r="E56" s="61" t="n"/>
      <c r="F56" s="61" t="n"/>
      <c r="G56" s="62" t="n"/>
      <c r="H56" s="62" t="n"/>
      <c r="I56" s="60" t="n"/>
      <c r="J56" s="60" t="n"/>
      <c r="K56" s="63">
        <f>IF(I56&gt;0, J56/I56, "")</f>
        <v/>
      </c>
      <c r="L56" s="61" t="n"/>
      <c r="M56" s="61" t="n"/>
    </row>
    <row r="57" ht="20" customHeight="1">
      <c r="B57" s="60" t="n"/>
      <c r="C57" s="60" t="n"/>
      <c r="D57" s="61" t="n"/>
      <c r="E57" s="61" t="n"/>
      <c r="F57" s="61" t="n"/>
      <c r="G57" s="62" t="n"/>
      <c r="H57" s="62" t="n"/>
      <c r="I57" s="60" t="n"/>
      <c r="J57" s="60" t="n"/>
      <c r="K57" s="63">
        <f>IF(I57&gt;0, J57/I57, "")</f>
        <v/>
      </c>
      <c r="L57" s="61" t="n"/>
      <c r="M57" s="61" t="n"/>
    </row>
    <row r="58" ht="20" customHeight="1">
      <c r="B58" s="60" t="n"/>
      <c r="C58" s="60" t="n"/>
      <c r="D58" s="61" t="n"/>
      <c r="E58" s="61" t="n"/>
      <c r="F58" s="61" t="n"/>
      <c r="G58" s="62" t="n"/>
      <c r="H58" s="62" t="n"/>
      <c r="I58" s="60" t="n"/>
      <c r="J58" s="60" t="n"/>
      <c r="K58" s="63">
        <f>IF(I58&gt;0, J58/I58, "")</f>
        <v/>
      </c>
      <c r="L58" s="61" t="n"/>
      <c r="M58" s="61" t="n"/>
    </row>
    <row r="59" ht="20" customHeight="1">
      <c r="B59" s="60" t="n"/>
      <c r="C59" s="60" t="n"/>
      <c r="D59" s="61" t="n"/>
      <c r="E59" s="61" t="n"/>
      <c r="F59" s="61" t="n"/>
      <c r="G59" s="62" t="n"/>
      <c r="H59" s="62" t="n"/>
      <c r="I59" s="60" t="n"/>
      <c r="J59" s="60" t="n"/>
      <c r="K59" s="63">
        <f>IF(I59&gt;0, J59/I59, "")</f>
        <v/>
      </c>
      <c r="L59" s="61" t="n"/>
      <c r="M59" s="61" t="n"/>
    </row>
    <row r="60" ht="20" customHeight="1">
      <c r="B60" s="60" t="n"/>
      <c r="C60" s="60" t="n"/>
      <c r="D60" s="61" t="n"/>
      <c r="E60" s="61" t="n"/>
      <c r="F60" s="61" t="n"/>
      <c r="G60" s="62" t="n"/>
      <c r="H60" s="62" t="n"/>
      <c r="I60" s="60" t="n"/>
      <c r="J60" s="60" t="n"/>
      <c r="K60" s="63">
        <f>IF(I60&gt;0, J60/I60, "")</f>
        <v/>
      </c>
      <c r="L60" s="61" t="n"/>
      <c r="M60" s="6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M6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16" customWidth="1" min="4" max="4"/>
    <col width="35" customWidth="1" min="5" max="5"/>
    <col width="25" customWidth="1" min="6" max="6"/>
    <col width="10" customWidth="1" min="7" max="7"/>
    <col width="16" customWidth="1" min="8" max="8"/>
    <col width="14" customWidth="1" min="9" max="9"/>
    <col width="16" customWidth="1" min="10" max="10"/>
    <col width="12" customWidth="1" min="11" max="11"/>
    <col width="24" customWidth="1" min="12" max="12"/>
    <col width="24" customWidth="1" min="13" max="13"/>
  </cols>
  <sheetData>
    <row r="2" ht="28" customHeight="1">
      <c r="B2" s="59" t="inlineStr">
        <is>
          <t>S.No</t>
        </is>
      </c>
      <c r="C2" s="59" t="inlineStr">
        <is>
          <t>Date</t>
        </is>
      </c>
      <c r="D2" s="59" t="inlineStr">
        <is>
          <t>Task worker</t>
        </is>
      </c>
      <c r="E2" s="59" t="inlineStr">
        <is>
          <t>Task</t>
        </is>
      </c>
      <c r="F2" s="59" t="inlineStr">
        <is>
          <t>Assets/Units/ISOs/PIDs</t>
        </is>
      </c>
      <c r="G2" s="59" t="inlineStr">
        <is>
          <t>Hrs/day</t>
        </is>
      </c>
      <c r="H2" s="59" t="inlineStr">
        <is>
          <t>metric/task in hrs</t>
        </is>
      </c>
      <c r="I2" s="59" t="inlineStr">
        <is>
          <t>count per day</t>
        </is>
      </c>
      <c r="J2" s="59" t="inlineStr">
        <is>
          <t>achieved on the day</t>
        </is>
      </c>
      <c r="K2" s="59" t="inlineStr">
        <is>
          <t>Efficiency</t>
        </is>
      </c>
      <c r="L2" s="59" t="inlineStr">
        <is>
          <t>Road blocks</t>
        </is>
      </c>
      <c r="M2" s="59" t="inlineStr">
        <is>
          <t>Notes</t>
        </is>
      </c>
    </row>
    <row r="3" ht="20" customHeight="1">
      <c r="B3" s="60" t="n"/>
      <c r="C3" s="60" t="n"/>
      <c r="D3" s="61" t="n"/>
      <c r="E3" s="61" t="n"/>
      <c r="F3" s="61" t="n"/>
      <c r="G3" s="62" t="n"/>
      <c r="H3" s="62" t="n"/>
      <c r="I3" s="60" t="n"/>
      <c r="J3" s="60" t="n"/>
      <c r="K3" s="63">
        <f>IF(I3&gt;0, J3/I3, "")</f>
        <v/>
      </c>
      <c r="L3" s="61" t="n"/>
      <c r="M3" s="61" t="n"/>
    </row>
    <row r="4" ht="20" customHeight="1">
      <c r="B4" s="60" t="n"/>
      <c r="C4" s="60" t="n"/>
      <c r="D4" s="61" t="n"/>
      <c r="E4" s="61" t="n"/>
      <c r="F4" s="61" t="n"/>
      <c r="G4" s="62" t="n"/>
      <c r="H4" s="62" t="n"/>
      <c r="I4" s="60" t="n"/>
      <c r="J4" s="60" t="n"/>
      <c r="K4" s="63">
        <f>IF(I4&gt;0, J4/I4, "")</f>
        <v/>
      </c>
      <c r="L4" s="61" t="n"/>
      <c r="M4" s="61" t="n"/>
    </row>
    <row r="5" ht="20" customHeight="1">
      <c r="B5" s="60" t="n"/>
      <c r="C5" s="60" t="n"/>
      <c r="D5" s="61" t="n"/>
      <c r="E5" s="61" t="n"/>
      <c r="F5" s="61" t="n"/>
      <c r="G5" s="62" t="n"/>
      <c r="H5" s="62" t="n"/>
      <c r="I5" s="60" t="n"/>
      <c r="J5" s="60" t="n"/>
      <c r="K5" s="63">
        <f>IF(I5&gt;0, J5/I5, "")</f>
        <v/>
      </c>
      <c r="L5" s="61" t="n"/>
      <c r="M5" s="61" t="n"/>
    </row>
    <row r="6" ht="20" customHeight="1">
      <c r="B6" s="60" t="n"/>
      <c r="C6" s="60" t="n"/>
      <c r="D6" s="61" t="n"/>
      <c r="E6" s="61" t="n"/>
      <c r="F6" s="61" t="n"/>
      <c r="G6" s="62" t="n"/>
      <c r="H6" s="62" t="n"/>
      <c r="I6" s="60" t="n"/>
      <c r="J6" s="60" t="n"/>
      <c r="K6" s="63">
        <f>IF(I6&gt;0, J6/I6, "")</f>
        <v/>
      </c>
      <c r="L6" s="61" t="n"/>
      <c r="M6" s="61" t="n"/>
    </row>
    <row r="7" ht="20" customHeight="1">
      <c r="B7" s="60" t="n"/>
      <c r="C7" s="60" t="n"/>
      <c r="D7" s="61" t="n"/>
      <c r="E7" s="61" t="n"/>
      <c r="F7" s="61" t="n"/>
      <c r="G7" s="62" t="n"/>
      <c r="H7" s="62" t="n"/>
      <c r="I7" s="60" t="n"/>
      <c r="J7" s="60" t="n"/>
      <c r="K7" s="63">
        <f>IF(I7&gt;0, J7/I7, "")</f>
        <v/>
      </c>
      <c r="L7" s="61" t="n"/>
      <c r="M7" s="61" t="n"/>
    </row>
    <row r="8" ht="20" customHeight="1">
      <c r="B8" s="60" t="n"/>
      <c r="C8" s="60" t="n"/>
      <c r="D8" s="61" t="n"/>
      <c r="E8" s="61" t="n"/>
      <c r="F8" s="61" t="n"/>
      <c r="G8" s="62" t="n"/>
      <c r="H8" s="62" t="n"/>
      <c r="I8" s="60" t="n"/>
      <c r="J8" s="60" t="n"/>
      <c r="K8" s="63">
        <f>IF(I8&gt;0, J8/I8, "")</f>
        <v/>
      </c>
      <c r="L8" s="61" t="n"/>
      <c r="M8" s="61" t="n"/>
    </row>
    <row r="9" ht="20" customHeight="1">
      <c r="B9" s="60" t="n"/>
      <c r="C9" s="60" t="n"/>
      <c r="D9" s="61" t="n"/>
      <c r="E9" s="61" t="n"/>
      <c r="F9" s="61" t="n"/>
      <c r="G9" s="62" t="n"/>
      <c r="H9" s="62" t="n"/>
      <c r="I9" s="60" t="n"/>
      <c r="J9" s="60" t="n"/>
      <c r="K9" s="63">
        <f>IF(I9&gt;0, J9/I9, "")</f>
        <v/>
      </c>
      <c r="L9" s="61" t="n"/>
      <c r="M9" s="61" t="n"/>
    </row>
    <row r="10" ht="20" customHeight="1">
      <c r="B10" s="60" t="n"/>
      <c r="C10" s="60" t="n"/>
      <c r="D10" s="61" t="n"/>
      <c r="E10" s="61" t="n"/>
      <c r="F10" s="61" t="n"/>
      <c r="G10" s="62" t="n"/>
      <c r="H10" s="62" t="n"/>
      <c r="I10" s="60" t="n"/>
      <c r="J10" s="60" t="n"/>
      <c r="K10" s="63">
        <f>IF(I10&gt;0, J10/I10, "")</f>
        <v/>
      </c>
      <c r="L10" s="61" t="n"/>
      <c r="M10" s="61" t="n"/>
    </row>
    <row r="11" ht="20" customHeight="1">
      <c r="B11" s="60" t="n"/>
      <c r="C11" s="60" t="n"/>
      <c r="D11" s="61" t="n"/>
      <c r="E11" s="61" t="n"/>
      <c r="F11" s="61" t="n"/>
      <c r="G11" s="62" t="n"/>
      <c r="H11" s="62" t="n"/>
      <c r="I11" s="60" t="n"/>
      <c r="J11" s="60" t="n"/>
      <c r="K11" s="63">
        <f>IF(I11&gt;0, J11/I11, "")</f>
        <v/>
      </c>
      <c r="L11" s="61" t="n"/>
      <c r="M11" s="61" t="n"/>
    </row>
    <row r="12" ht="20" customHeight="1">
      <c r="B12" s="60" t="n"/>
      <c r="C12" s="60" t="n"/>
      <c r="D12" s="61" t="n"/>
      <c r="E12" s="61" t="n"/>
      <c r="F12" s="61" t="n"/>
      <c r="G12" s="62" t="n"/>
      <c r="H12" s="62" t="n"/>
      <c r="I12" s="60" t="n"/>
      <c r="J12" s="60" t="n"/>
      <c r="K12" s="63">
        <f>IF(I12&gt;0, J12/I12, "")</f>
        <v/>
      </c>
      <c r="L12" s="61" t="n"/>
      <c r="M12" s="61" t="n"/>
    </row>
    <row r="13" ht="20" customHeight="1">
      <c r="B13" s="60" t="n"/>
      <c r="C13" s="60" t="n"/>
      <c r="D13" s="61" t="n"/>
      <c r="E13" s="61" t="n"/>
      <c r="F13" s="61" t="n"/>
      <c r="G13" s="62" t="n"/>
      <c r="H13" s="62" t="n"/>
      <c r="I13" s="60" t="n"/>
      <c r="J13" s="60" t="n"/>
      <c r="K13" s="63">
        <f>IF(I13&gt;0, J13/I13, "")</f>
        <v/>
      </c>
      <c r="L13" s="61" t="n"/>
      <c r="M13" s="61" t="n"/>
    </row>
    <row r="14" ht="20" customHeight="1">
      <c r="B14" s="60" t="n"/>
      <c r="C14" s="60" t="n"/>
      <c r="D14" s="61" t="n"/>
      <c r="E14" s="61" t="n"/>
      <c r="F14" s="61" t="n"/>
      <c r="G14" s="62" t="n"/>
      <c r="H14" s="62" t="n"/>
      <c r="I14" s="60" t="n"/>
      <c r="J14" s="60" t="n"/>
      <c r="K14" s="63">
        <f>IF(I14&gt;0, J14/I14, "")</f>
        <v/>
      </c>
      <c r="L14" s="61" t="n"/>
      <c r="M14" s="61" t="n"/>
    </row>
    <row r="15" ht="20" customHeight="1">
      <c r="B15" s="60" t="n"/>
      <c r="C15" s="60" t="n"/>
      <c r="D15" s="61" t="n"/>
      <c r="E15" s="61" t="n"/>
      <c r="F15" s="61" t="n"/>
      <c r="G15" s="62" t="n"/>
      <c r="H15" s="62" t="n"/>
      <c r="I15" s="60" t="n"/>
      <c r="J15" s="60" t="n"/>
      <c r="K15" s="63">
        <f>IF(I15&gt;0, J15/I15, "")</f>
        <v/>
      </c>
      <c r="L15" s="61" t="n"/>
      <c r="M15" s="61" t="n"/>
    </row>
    <row r="16" ht="20" customHeight="1">
      <c r="B16" s="60" t="n"/>
      <c r="C16" s="60" t="n"/>
      <c r="D16" s="61" t="n"/>
      <c r="E16" s="61" t="n"/>
      <c r="F16" s="61" t="n"/>
      <c r="G16" s="62" t="n"/>
      <c r="H16" s="62" t="n"/>
      <c r="I16" s="60" t="n"/>
      <c r="J16" s="60" t="n"/>
      <c r="K16" s="63">
        <f>IF(I16&gt;0, J16/I16, "")</f>
        <v/>
      </c>
      <c r="L16" s="61" t="n"/>
      <c r="M16" s="61" t="n"/>
    </row>
    <row r="17" ht="20" customHeight="1">
      <c r="B17" s="60" t="n"/>
      <c r="C17" s="60" t="n"/>
      <c r="D17" s="61" t="n"/>
      <c r="E17" s="61" t="n"/>
      <c r="F17" s="61" t="n"/>
      <c r="G17" s="62" t="n"/>
      <c r="H17" s="62" t="n"/>
      <c r="I17" s="60" t="n"/>
      <c r="J17" s="60" t="n"/>
      <c r="K17" s="63">
        <f>IF(I17&gt;0, J17/I17, "")</f>
        <v/>
      </c>
      <c r="L17" s="61" t="n"/>
      <c r="M17" s="61" t="n"/>
    </row>
    <row r="18" ht="20" customHeight="1">
      <c r="B18" s="60" t="n"/>
      <c r="C18" s="60" t="n"/>
      <c r="D18" s="61" t="n"/>
      <c r="E18" s="61" t="n"/>
      <c r="F18" s="61" t="n"/>
      <c r="G18" s="62" t="n"/>
      <c r="H18" s="62" t="n"/>
      <c r="I18" s="60" t="n"/>
      <c r="J18" s="60" t="n"/>
      <c r="K18" s="63">
        <f>IF(I18&gt;0, J18/I18, "")</f>
        <v/>
      </c>
      <c r="L18" s="61" t="n"/>
      <c r="M18" s="61" t="n"/>
    </row>
    <row r="19" ht="20" customHeight="1">
      <c r="B19" s="60" t="n"/>
      <c r="C19" s="60" t="n"/>
      <c r="D19" s="61" t="n"/>
      <c r="E19" s="61" t="n"/>
      <c r="F19" s="61" t="n"/>
      <c r="G19" s="62" t="n"/>
      <c r="H19" s="62" t="n"/>
      <c r="I19" s="60" t="n"/>
      <c r="J19" s="60" t="n"/>
      <c r="K19" s="63">
        <f>IF(I19&gt;0, J19/I19, "")</f>
        <v/>
      </c>
      <c r="L19" s="61" t="n"/>
      <c r="M19" s="61" t="n"/>
    </row>
    <row r="20" ht="20" customHeight="1">
      <c r="B20" s="60" t="n"/>
      <c r="C20" s="60" t="n"/>
      <c r="D20" s="61" t="n"/>
      <c r="E20" s="61" t="n"/>
      <c r="F20" s="61" t="n"/>
      <c r="G20" s="62" t="n"/>
      <c r="H20" s="62" t="n"/>
      <c r="I20" s="60" t="n"/>
      <c r="J20" s="60" t="n"/>
      <c r="K20" s="63">
        <f>IF(I20&gt;0, J20/I20, "")</f>
        <v/>
      </c>
      <c r="L20" s="61" t="n"/>
      <c r="M20" s="61" t="n"/>
    </row>
    <row r="21" ht="20" customHeight="1">
      <c r="B21" s="60" t="n"/>
      <c r="C21" s="60" t="n"/>
      <c r="D21" s="61" t="n"/>
      <c r="E21" s="61" t="n"/>
      <c r="F21" s="61" t="n"/>
      <c r="G21" s="62" t="n"/>
      <c r="H21" s="62" t="n"/>
      <c r="I21" s="60" t="n"/>
      <c r="J21" s="60" t="n"/>
      <c r="K21" s="63">
        <f>IF(I21&gt;0, J21/I21, "")</f>
        <v/>
      </c>
      <c r="L21" s="61" t="n"/>
      <c r="M21" s="61" t="n"/>
    </row>
    <row r="22" ht="20" customHeight="1">
      <c r="B22" s="60" t="n"/>
      <c r="C22" s="60" t="n"/>
      <c r="D22" s="61" t="n"/>
      <c r="E22" s="61" t="n"/>
      <c r="F22" s="61" t="n"/>
      <c r="G22" s="62" t="n"/>
      <c r="H22" s="62" t="n"/>
      <c r="I22" s="60" t="n"/>
      <c r="J22" s="60" t="n"/>
      <c r="K22" s="63">
        <f>IF(I22&gt;0, J22/I22, "")</f>
        <v/>
      </c>
      <c r="L22" s="61" t="n"/>
      <c r="M22" s="61" t="n"/>
    </row>
    <row r="23" ht="20" customHeight="1">
      <c r="B23" s="60" t="n"/>
      <c r="C23" s="60" t="n"/>
      <c r="D23" s="61" t="n"/>
      <c r="E23" s="61" t="n"/>
      <c r="F23" s="61" t="n"/>
      <c r="G23" s="62" t="n"/>
      <c r="H23" s="62" t="n"/>
      <c r="I23" s="60" t="n"/>
      <c r="J23" s="60" t="n"/>
      <c r="K23" s="63">
        <f>IF(I23&gt;0, J23/I23, "")</f>
        <v/>
      </c>
      <c r="L23" s="61" t="n"/>
      <c r="M23" s="61" t="n"/>
    </row>
    <row r="24" ht="20" customHeight="1">
      <c r="B24" s="60" t="n"/>
      <c r="C24" s="60" t="n"/>
      <c r="D24" s="61" t="n"/>
      <c r="E24" s="61" t="n"/>
      <c r="F24" s="61" t="n"/>
      <c r="G24" s="62" t="n"/>
      <c r="H24" s="62" t="n"/>
      <c r="I24" s="60" t="n"/>
      <c r="J24" s="60" t="n"/>
      <c r="K24" s="63">
        <f>IF(I24&gt;0, J24/I24, "")</f>
        <v/>
      </c>
      <c r="L24" s="61" t="n"/>
      <c r="M24" s="61" t="n"/>
    </row>
    <row r="25" ht="20" customHeight="1">
      <c r="B25" s="60" t="n"/>
      <c r="C25" s="60" t="n"/>
      <c r="D25" s="61" t="n"/>
      <c r="E25" s="61" t="n"/>
      <c r="F25" s="61" t="n"/>
      <c r="G25" s="62" t="n"/>
      <c r="H25" s="62" t="n"/>
      <c r="I25" s="60" t="n"/>
      <c r="J25" s="60" t="n"/>
      <c r="K25" s="63">
        <f>IF(I25&gt;0, J25/I25, "")</f>
        <v/>
      </c>
      <c r="L25" s="61" t="n"/>
      <c r="M25" s="61" t="n"/>
    </row>
    <row r="26" ht="20" customHeight="1">
      <c r="B26" s="60" t="n"/>
      <c r="C26" s="60" t="n"/>
      <c r="D26" s="61" t="n"/>
      <c r="E26" s="61" t="n"/>
      <c r="F26" s="61" t="n"/>
      <c r="G26" s="62" t="n"/>
      <c r="H26" s="62" t="n"/>
      <c r="I26" s="60" t="n"/>
      <c r="J26" s="60" t="n"/>
      <c r="K26" s="63">
        <f>IF(I26&gt;0, J26/I26, "")</f>
        <v/>
      </c>
      <c r="L26" s="61" t="n"/>
      <c r="M26" s="61" t="n"/>
    </row>
    <row r="27" ht="20" customHeight="1">
      <c r="B27" s="60" t="n"/>
      <c r="C27" s="60" t="n"/>
      <c r="D27" s="61" t="n"/>
      <c r="E27" s="61" t="n"/>
      <c r="F27" s="61" t="n"/>
      <c r="G27" s="62" t="n"/>
      <c r="H27" s="62" t="n"/>
      <c r="I27" s="60" t="n"/>
      <c r="J27" s="60" t="n"/>
      <c r="K27" s="63">
        <f>IF(I27&gt;0, J27/I27, "")</f>
        <v/>
      </c>
      <c r="L27" s="61" t="n"/>
      <c r="M27" s="61" t="n"/>
    </row>
    <row r="28" ht="20" customHeight="1">
      <c r="B28" s="60" t="n"/>
      <c r="C28" s="60" t="n"/>
      <c r="D28" s="61" t="n"/>
      <c r="E28" s="61" t="n"/>
      <c r="F28" s="61" t="n"/>
      <c r="G28" s="62" t="n"/>
      <c r="H28" s="62" t="n"/>
      <c r="I28" s="60" t="n"/>
      <c r="J28" s="60" t="n"/>
      <c r="K28" s="63">
        <f>IF(I28&gt;0, J28/I28, "")</f>
        <v/>
      </c>
      <c r="L28" s="61" t="n"/>
      <c r="M28" s="61" t="n"/>
    </row>
    <row r="29" ht="20" customHeight="1">
      <c r="B29" s="60" t="n"/>
      <c r="C29" s="60" t="n"/>
      <c r="D29" s="61" t="n"/>
      <c r="E29" s="61" t="n"/>
      <c r="F29" s="61" t="n"/>
      <c r="G29" s="62" t="n"/>
      <c r="H29" s="62" t="n"/>
      <c r="I29" s="60" t="n"/>
      <c r="J29" s="60" t="n"/>
      <c r="K29" s="63">
        <f>IF(I29&gt;0, J29/I29, "")</f>
        <v/>
      </c>
      <c r="L29" s="61" t="n"/>
      <c r="M29" s="61" t="n"/>
    </row>
    <row r="30" ht="20" customHeight="1">
      <c r="B30" s="60" t="n"/>
      <c r="C30" s="60" t="n"/>
      <c r="D30" s="61" t="n"/>
      <c r="E30" s="61" t="n"/>
      <c r="F30" s="61" t="n"/>
      <c r="G30" s="62" t="n"/>
      <c r="H30" s="62" t="n"/>
      <c r="I30" s="60" t="n"/>
      <c r="J30" s="60" t="n"/>
      <c r="K30" s="63">
        <f>IF(I30&gt;0, J30/I30, "")</f>
        <v/>
      </c>
      <c r="L30" s="61" t="n"/>
      <c r="M30" s="61" t="n"/>
    </row>
    <row r="31" ht="20" customHeight="1">
      <c r="B31" s="60" t="n"/>
      <c r="C31" s="60" t="n"/>
      <c r="D31" s="61" t="n"/>
      <c r="E31" s="61" t="n"/>
      <c r="F31" s="61" t="n"/>
      <c r="G31" s="62" t="n"/>
      <c r="H31" s="62" t="n"/>
      <c r="I31" s="60" t="n"/>
      <c r="J31" s="60" t="n"/>
      <c r="K31" s="63">
        <f>IF(I31&gt;0, J31/I31, "")</f>
        <v/>
      </c>
      <c r="L31" s="61" t="n"/>
      <c r="M31" s="61" t="n"/>
    </row>
    <row r="32" ht="20" customHeight="1">
      <c r="B32" s="60" t="n"/>
      <c r="C32" s="60" t="n"/>
      <c r="D32" s="61" t="n"/>
      <c r="E32" s="61" t="n"/>
      <c r="F32" s="61" t="n"/>
      <c r="G32" s="62" t="n"/>
      <c r="H32" s="62" t="n"/>
      <c r="I32" s="60" t="n"/>
      <c r="J32" s="60" t="n"/>
      <c r="K32" s="63">
        <f>IF(I32&gt;0, J32/I32, "")</f>
        <v/>
      </c>
      <c r="L32" s="61" t="n"/>
      <c r="M32" s="61" t="n"/>
    </row>
    <row r="33" ht="20" customHeight="1">
      <c r="B33" s="60" t="n"/>
      <c r="C33" s="60" t="n"/>
      <c r="D33" s="61" t="n"/>
      <c r="E33" s="61" t="n"/>
      <c r="F33" s="61" t="n"/>
      <c r="G33" s="62" t="n"/>
      <c r="H33" s="62" t="n"/>
      <c r="I33" s="60" t="n"/>
      <c r="J33" s="60" t="n"/>
      <c r="K33" s="63">
        <f>IF(I33&gt;0, J33/I33, "")</f>
        <v/>
      </c>
      <c r="L33" s="61" t="n"/>
      <c r="M33" s="61" t="n"/>
    </row>
    <row r="34" ht="20" customHeight="1">
      <c r="B34" s="60" t="n"/>
      <c r="C34" s="60" t="n"/>
      <c r="D34" s="61" t="n"/>
      <c r="E34" s="61" t="n"/>
      <c r="F34" s="61" t="n"/>
      <c r="G34" s="62" t="n"/>
      <c r="H34" s="62" t="n"/>
      <c r="I34" s="60" t="n"/>
      <c r="J34" s="60" t="n"/>
      <c r="K34" s="63">
        <f>IF(I34&gt;0, J34/I34, "")</f>
        <v/>
      </c>
      <c r="L34" s="61" t="n"/>
      <c r="M34" s="61" t="n"/>
    </row>
    <row r="35" ht="20" customHeight="1">
      <c r="B35" s="60" t="n"/>
      <c r="C35" s="60" t="n"/>
      <c r="D35" s="61" t="n"/>
      <c r="E35" s="61" t="n"/>
      <c r="F35" s="61" t="n"/>
      <c r="G35" s="62" t="n"/>
      <c r="H35" s="62" t="n"/>
      <c r="I35" s="60" t="n"/>
      <c r="J35" s="60" t="n"/>
      <c r="K35" s="63">
        <f>IF(I35&gt;0, J35/I35, "")</f>
        <v/>
      </c>
      <c r="L35" s="61" t="n"/>
      <c r="M35" s="61" t="n"/>
    </row>
    <row r="36" ht="20" customHeight="1">
      <c r="B36" s="60" t="n"/>
      <c r="C36" s="60" t="n"/>
      <c r="D36" s="61" t="n"/>
      <c r="E36" s="61" t="n"/>
      <c r="F36" s="61" t="n"/>
      <c r="G36" s="62" t="n"/>
      <c r="H36" s="62" t="n"/>
      <c r="I36" s="60" t="n"/>
      <c r="J36" s="60" t="n"/>
      <c r="K36" s="63">
        <f>IF(I36&gt;0, J36/I36, "")</f>
        <v/>
      </c>
      <c r="L36" s="61" t="n"/>
      <c r="M36" s="61" t="n"/>
    </row>
    <row r="37" ht="20" customHeight="1">
      <c r="B37" s="60" t="n"/>
      <c r="C37" s="60" t="n"/>
      <c r="D37" s="61" t="n"/>
      <c r="E37" s="61" t="n"/>
      <c r="F37" s="61" t="n"/>
      <c r="G37" s="62" t="n"/>
      <c r="H37" s="62" t="n"/>
      <c r="I37" s="60" t="n"/>
      <c r="J37" s="60" t="n"/>
      <c r="K37" s="63">
        <f>IF(I37&gt;0, J37/I37, "")</f>
        <v/>
      </c>
      <c r="L37" s="61" t="n"/>
      <c r="M37" s="61" t="n"/>
    </row>
    <row r="38" ht="20" customHeight="1">
      <c r="B38" s="60" t="n"/>
      <c r="C38" s="60" t="n"/>
      <c r="D38" s="61" t="n"/>
      <c r="E38" s="61" t="n"/>
      <c r="F38" s="61" t="n"/>
      <c r="G38" s="62" t="n"/>
      <c r="H38" s="62" t="n"/>
      <c r="I38" s="60" t="n"/>
      <c r="J38" s="60" t="n"/>
      <c r="K38" s="63">
        <f>IF(I38&gt;0, J38/I38, "")</f>
        <v/>
      </c>
      <c r="L38" s="61" t="n"/>
      <c r="M38" s="61" t="n"/>
    </row>
    <row r="39" ht="20" customHeight="1">
      <c r="B39" s="60" t="n"/>
      <c r="C39" s="60" t="n"/>
      <c r="D39" s="61" t="n"/>
      <c r="E39" s="61" t="n"/>
      <c r="F39" s="61" t="n"/>
      <c r="G39" s="62" t="n"/>
      <c r="H39" s="62" t="n"/>
      <c r="I39" s="60" t="n"/>
      <c r="J39" s="60" t="n"/>
      <c r="K39" s="63">
        <f>IF(I39&gt;0, J39/I39, "")</f>
        <v/>
      </c>
      <c r="L39" s="61" t="n"/>
      <c r="M39" s="61" t="n"/>
    </row>
    <row r="40" ht="20" customHeight="1">
      <c r="B40" s="60" t="n"/>
      <c r="C40" s="60" t="n"/>
      <c r="D40" s="61" t="n"/>
      <c r="E40" s="61" t="n"/>
      <c r="F40" s="61" t="n"/>
      <c r="G40" s="62" t="n"/>
      <c r="H40" s="62" t="n"/>
      <c r="I40" s="60" t="n"/>
      <c r="J40" s="60" t="n"/>
      <c r="K40" s="63">
        <f>IF(I40&gt;0, J40/I40, "")</f>
        <v/>
      </c>
      <c r="L40" s="61" t="n"/>
      <c r="M40" s="61" t="n"/>
    </row>
    <row r="41" ht="20" customHeight="1">
      <c r="B41" s="60" t="n"/>
      <c r="C41" s="60" t="n"/>
      <c r="D41" s="61" t="n"/>
      <c r="E41" s="61" t="n"/>
      <c r="F41" s="61" t="n"/>
      <c r="G41" s="62" t="n"/>
      <c r="H41" s="62" t="n"/>
      <c r="I41" s="60" t="n"/>
      <c r="J41" s="60" t="n"/>
      <c r="K41" s="63">
        <f>IF(I41&gt;0, J41/I41, "")</f>
        <v/>
      </c>
      <c r="L41" s="61" t="n"/>
      <c r="M41" s="61" t="n"/>
    </row>
    <row r="42" ht="20" customHeight="1">
      <c r="B42" s="60" t="n"/>
      <c r="C42" s="60" t="n"/>
      <c r="D42" s="61" t="n"/>
      <c r="E42" s="61" t="n"/>
      <c r="F42" s="61" t="n"/>
      <c r="G42" s="62" t="n"/>
      <c r="H42" s="62" t="n"/>
      <c r="I42" s="60" t="n"/>
      <c r="J42" s="60" t="n"/>
      <c r="K42" s="63">
        <f>IF(I42&gt;0, J42/I42, "")</f>
        <v/>
      </c>
      <c r="L42" s="61" t="n"/>
      <c r="M42" s="61" t="n"/>
    </row>
    <row r="43" ht="20" customHeight="1">
      <c r="B43" s="60" t="n"/>
      <c r="C43" s="60" t="n"/>
      <c r="D43" s="61" t="n"/>
      <c r="E43" s="61" t="n"/>
      <c r="F43" s="61" t="n"/>
      <c r="G43" s="62" t="n"/>
      <c r="H43" s="62" t="n"/>
      <c r="I43" s="60" t="n"/>
      <c r="J43" s="60" t="n"/>
      <c r="K43" s="63">
        <f>IF(I43&gt;0, J43/I43, "")</f>
        <v/>
      </c>
      <c r="L43" s="61" t="n"/>
      <c r="M43" s="61" t="n"/>
    </row>
    <row r="44" ht="20" customHeight="1">
      <c r="B44" s="60" t="n"/>
      <c r="C44" s="60" t="n"/>
      <c r="D44" s="61" t="n"/>
      <c r="E44" s="61" t="n"/>
      <c r="F44" s="61" t="n"/>
      <c r="G44" s="62" t="n"/>
      <c r="H44" s="62" t="n"/>
      <c r="I44" s="60" t="n"/>
      <c r="J44" s="60" t="n"/>
      <c r="K44" s="63">
        <f>IF(I44&gt;0, J44/I44, "")</f>
        <v/>
      </c>
      <c r="L44" s="61" t="n"/>
      <c r="M44" s="61" t="n"/>
    </row>
    <row r="45" ht="20" customHeight="1">
      <c r="B45" s="60" t="n"/>
      <c r="C45" s="60" t="n"/>
      <c r="D45" s="61" t="n"/>
      <c r="E45" s="61" t="n"/>
      <c r="F45" s="61" t="n"/>
      <c r="G45" s="62" t="n"/>
      <c r="H45" s="62" t="n"/>
      <c r="I45" s="60" t="n"/>
      <c r="J45" s="60" t="n"/>
      <c r="K45" s="63">
        <f>IF(I45&gt;0, J45/I45, "")</f>
        <v/>
      </c>
      <c r="L45" s="61" t="n"/>
      <c r="M45" s="61" t="n"/>
    </row>
    <row r="46" ht="20" customHeight="1">
      <c r="B46" s="60" t="n"/>
      <c r="C46" s="60" t="n"/>
      <c r="D46" s="61" t="n"/>
      <c r="E46" s="61" t="n"/>
      <c r="F46" s="61" t="n"/>
      <c r="G46" s="62" t="n"/>
      <c r="H46" s="62" t="n"/>
      <c r="I46" s="60" t="n"/>
      <c r="J46" s="60" t="n"/>
      <c r="K46" s="63">
        <f>IF(I46&gt;0, J46/I46, "")</f>
        <v/>
      </c>
      <c r="L46" s="61" t="n"/>
      <c r="M46" s="61" t="n"/>
    </row>
    <row r="47" ht="20" customHeight="1">
      <c r="B47" s="60" t="n"/>
      <c r="C47" s="60" t="n"/>
      <c r="D47" s="61" t="n"/>
      <c r="E47" s="61" t="n"/>
      <c r="F47" s="61" t="n"/>
      <c r="G47" s="62" t="n"/>
      <c r="H47" s="62" t="n"/>
      <c r="I47" s="60" t="n"/>
      <c r="J47" s="60" t="n"/>
      <c r="K47" s="63">
        <f>IF(I47&gt;0, J47/I47, "")</f>
        <v/>
      </c>
      <c r="L47" s="61" t="n"/>
      <c r="M47" s="61" t="n"/>
    </row>
    <row r="48" ht="20" customHeight="1">
      <c r="B48" s="60" t="n"/>
      <c r="C48" s="60" t="n"/>
      <c r="D48" s="61" t="n"/>
      <c r="E48" s="61" t="n"/>
      <c r="F48" s="61" t="n"/>
      <c r="G48" s="62" t="n"/>
      <c r="H48" s="62" t="n"/>
      <c r="I48" s="60" t="n"/>
      <c r="J48" s="60" t="n"/>
      <c r="K48" s="63">
        <f>IF(I48&gt;0, J48/I48, "")</f>
        <v/>
      </c>
      <c r="L48" s="61" t="n"/>
      <c r="M48" s="61" t="n"/>
    </row>
    <row r="49" ht="20" customHeight="1">
      <c r="B49" s="60" t="n"/>
      <c r="C49" s="60" t="n"/>
      <c r="D49" s="61" t="n"/>
      <c r="E49" s="61" t="n"/>
      <c r="F49" s="61" t="n"/>
      <c r="G49" s="62" t="n"/>
      <c r="H49" s="62" t="n"/>
      <c r="I49" s="60" t="n"/>
      <c r="J49" s="60" t="n"/>
      <c r="K49" s="63">
        <f>IF(I49&gt;0, J49/I49, "")</f>
        <v/>
      </c>
      <c r="L49" s="61" t="n"/>
      <c r="M49" s="61" t="n"/>
    </row>
    <row r="50" ht="20" customHeight="1">
      <c r="B50" s="60" t="n"/>
      <c r="C50" s="60" t="n"/>
      <c r="D50" s="61" t="n"/>
      <c r="E50" s="61" t="n"/>
      <c r="F50" s="61" t="n"/>
      <c r="G50" s="62" t="n"/>
      <c r="H50" s="62" t="n"/>
      <c r="I50" s="60" t="n"/>
      <c r="J50" s="60" t="n"/>
      <c r="K50" s="63">
        <f>IF(I50&gt;0, J50/I50, "")</f>
        <v/>
      </c>
      <c r="L50" s="61" t="n"/>
      <c r="M50" s="61" t="n"/>
    </row>
    <row r="51" ht="20" customHeight="1">
      <c r="B51" s="60" t="n"/>
      <c r="C51" s="60" t="n"/>
      <c r="D51" s="61" t="n"/>
      <c r="E51" s="61" t="n"/>
      <c r="F51" s="61" t="n"/>
      <c r="G51" s="62" t="n"/>
      <c r="H51" s="62" t="n"/>
      <c r="I51" s="60" t="n"/>
      <c r="J51" s="60" t="n"/>
      <c r="K51" s="63">
        <f>IF(I51&gt;0, J51/I51, "")</f>
        <v/>
      </c>
      <c r="L51" s="61" t="n"/>
      <c r="M51" s="61" t="n"/>
    </row>
    <row r="52" ht="20" customHeight="1">
      <c r="B52" s="60" t="n"/>
      <c r="C52" s="60" t="n"/>
      <c r="D52" s="61" t="n"/>
      <c r="E52" s="61" t="n"/>
      <c r="F52" s="61" t="n"/>
      <c r="G52" s="62" t="n"/>
      <c r="H52" s="62" t="n"/>
      <c r="I52" s="60" t="n"/>
      <c r="J52" s="60" t="n"/>
      <c r="K52" s="63">
        <f>IF(I52&gt;0, J52/I52, "")</f>
        <v/>
      </c>
      <c r="L52" s="61" t="n"/>
      <c r="M52" s="61" t="n"/>
    </row>
    <row r="53" ht="20" customHeight="1">
      <c r="B53" s="60" t="n"/>
      <c r="C53" s="60" t="n"/>
      <c r="D53" s="61" t="n"/>
      <c r="E53" s="61" t="n"/>
      <c r="F53" s="61" t="n"/>
      <c r="G53" s="62" t="n"/>
      <c r="H53" s="62" t="n"/>
      <c r="I53" s="60" t="n"/>
      <c r="J53" s="60" t="n"/>
      <c r="K53" s="63">
        <f>IF(I53&gt;0, J53/I53, "")</f>
        <v/>
      </c>
      <c r="L53" s="61" t="n"/>
      <c r="M53" s="61" t="n"/>
    </row>
    <row r="54" ht="20" customHeight="1">
      <c r="B54" s="60" t="n"/>
      <c r="C54" s="60" t="n"/>
      <c r="D54" s="61" t="n"/>
      <c r="E54" s="61" t="n"/>
      <c r="F54" s="61" t="n"/>
      <c r="G54" s="62" t="n"/>
      <c r="H54" s="62" t="n"/>
      <c r="I54" s="60" t="n"/>
      <c r="J54" s="60" t="n"/>
      <c r="K54" s="63">
        <f>IF(I54&gt;0, J54/I54, "")</f>
        <v/>
      </c>
      <c r="L54" s="61" t="n"/>
      <c r="M54" s="61" t="n"/>
    </row>
    <row r="55" ht="20" customHeight="1">
      <c r="B55" s="60" t="n"/>
      <c r="C55" s="60" t="n"/>
      <c r="D55" s="61" t="n"/>
      <c r="E55" s="61" t="n"/>
      <c r="F55" s="61" t="n"/>
      <c r="G55" s="62" t="n"/>
      <c r="H55" s="62" t="n"/>
      <c r="I55" s="60" t="n"/>
      <c r="J55" s="60" t="n"/>
      <c r="K55" s="63">
        <f>IF(I55&gt;0, J55/I55, "")</f>
        <v/>
      </c>
      <c r="L55" s="61" t="n"/>
      <c r="M55" s="61" t="n"/>
    </row>
    <row r="56" ht="20" customHeight="1">
      <c r="B56" s="60" t="n"/>
      <c r="C56" s="60" t="n"/>
      <c r="D56" s="61" t="n"/>
      <c r="E56" s="61" t="n"/>
      <c r="F56" s="61" t="n"/>
      <c r="G56" s="62" t="n"/>
      <c r="H56" s="62" t="n"/>
      <c r="I56" s="60" t="n"/>
      <c r="J56" s="60" t="n"/>
      <c r="K56" s="63">
        <f>IF(I56&gt;0, J56/I56, "")</f>
        <v/>
      </c>
      <c r="L56" s="61" t="n"/>
      <c r="M56" s="61" t="n"/>
    </row>
    <row r="57" ht="20" customHeight="1">
      <c r="B57" s="60" t="n"/>
      <c r="C57" s="60" t="n"/>
      <c r="D57" s="61" t="n"/>
      <c r="E57" s="61" t="n"/>
      <c r="F57" s="61" t="n"/>
      <c r="G57" s="62" t="n"/>
      <c r="H57" s="62" t="n"/>
      <c r="I57" s="60" t="n"/>
      <c r="J57" s="60" t="n"/>
      <c r="K57" s="63">
        <f>IF(I57&gt;0, J57/I57, "")</f>
        <v/>
      </c>
      <c r="L57" s="61" t="n"/>
      <c r="M57" s="61" t="n"/>
    </row>
    <row r="58" ht="20" customHeight="1">
      <c r="B58" s="60" t="n"/>
      <c r="C58" s="60" t="n"/>
      <c r="D58" s="61" t="n"/>
      <c r="E58" s="61" t="n"/>
      <c r="F58" s="61" t="n"/>
      <c r="G58" s="62" t="n"/>
      <c r="H58" s="62" t="n"/>
      <c r="I58" s="60" t="n"/>
      <c r="J58" s="60" t="n"/>
      <c r="K58" s="63">
        <f>IF(I58&gt;0, J58/I58, "")</f>
        <v/>
      </c>
      <c r="L58" s="61" t="n"/>
      <c r="M58" s="61" t="n"/>
    </row>
    <row r="59" ht="20" customHeight="1">
      <c r="B59" s="60" t="n"/>
      <c r="C59" s="60" t="n"/>
      <c r="D59" s="61" t="n"/>
      <c r="E59" s="61" t="n"/>
      <c r="F59" s="61" t="n"/>
      <c r="G59" s="62" t="n"/>
      <c r="H59" s="62" t="n"/>
      <c r="I59" s="60" t="n"/>
      <c r="J59" s="60" t="n"/>
      <c r="K59" s="63">
        <f>IF(I59&gt;0, J59/I59, "")</f>
        <v/>
      </c>
      <c r="L59" s="61" t="n"/>
      <c r="M59" s="61" t="n"/>
    </row>
    <row r="60" ht="20" customHeight="1">
      <c r="B60" s="60" t="n"/>
      <c r="C60" s="60" t="n"/>
      <c r="D60" s="61" t="n"/>
      <c r="E60" s="61" t="n"/>
      <c r="F60" s="61" t="n"/>
      <c r="G60" s="62" t="n"/>
      <c r="H60" s="62" t="n"/>
      <c r="I60" s="60" t="n"/>
      <c r="J60" s="60" t="n"/>
      <c r="K60" s="63">
        <f>IF(I60&gt;0, J60/I60, "")</f>
        <v/>
      </c>
      <c r="L60" s="61" t="n"/>
      <c r="M60" s="6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M6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16" customWidth="1" min="4" max="4"/>
    <col width="35" customWidth="1" min="5" max="5"/>
    <col width="25" customWidth="1" min="6" max="6"/>
    <col width="10" customWidth="1" min="7" max="7"/>
    <col width="16" customWidth="1" min="8" max="8"/>
    <col width="14" customWidth="1" min="9" max="9"/>
    <col width="16" customWidth="1" min="10" max="10"/>
    <col width="12" customWidth="1" min="11" max="11"/>
    <col width="24" customWidth="1" min="12" max="12"/>
    <col width="24" customWidth="1" min="13" max="13"/>
  </cols>
  <sheetData>
    <row r="2" ht="28" customHeight="1">
      <c r="B2" s="59" t="inlineStr">
        <is>
          <t>S.No</t>
        </is>
      </c>
      <c r="C2" s="59" t="inlineStr">
        <is>
          <t>Date</t>
        </is>
      </c>
      <c r="D2" s="59" t="inlineStr">
        <is>
          <t>Task worker</t>
        </is>
      </c>
      <c r="E2" s="59" t="inlineStr">
        <is>
          <t>Task</t>
        </is>
      </c>
      <c r="F2" s="59" t="inlineStr">
        <is>
          <t>Assets/Units/ISOs/PIDs</t>
        </is>
      </c>
      <c r="G2" s="59" t="inlineStr">
        <is>
          <t>Hrs/day</t>
        </is>
      </c>
      <c r="H2" s="59" t="inlineStr">
        <is>
          <t>metric/task in hrs</t>
        </is>
      </c>
      <c r="I2" s="59" t="inlineStr">
        <is>
          <t>count per day</t>
        </is>
      </c>
      <c r="J2" s="59" t="inlineStr">
        <is>
          <t>achieved on the day</t>
        </is>
      </c>
      <c r="K2" s="59" t="inlineStr">
        <is>
          <t>Efficiency</t>
        </is>
      </c>
      <c r="L2" s="59" t="inlineStr">
        <is>
          <t>Road blocks</t>
        </is>
      </c>
      <c r="M2" s="59" t="inlineStr">
        <is>
          <t>Notes</t>
        </is>
      </c>
    </row>
    <row r="3" ht="20" customHeight="1">
      <c r="B3" s="60" t="n"/>
      <c r="C3" s="60" t="n"/>
      <c r="D3" s="61" t="n"/>
      <c r="E3" s="61" t="n"/>
      <c r="F3" s="61" t="n"/>
      <c r="G3" s="62" t="n"/>
      <c r="H3" s="62" t="n"/>
      <c r="I3" s="60" t="n"/>
      <c r="J3" s="60" t="n"/>
      <c r="K3" s="63">
        <f>IF(I3&gt;0, J3/I3, "")</f>
        <v/>
      </c>
      <c r="L3" s="61" t="n"/>
      <c r="M3" s="61" t="n"/>
    </row>
    <row r="4" ht="20" customHeight="1">
      <c r="B4" s="60" t="n"/>
      <c r="C4" s="60" t="n"/>
      <c r="D4" s="61" t="n"/>
      <c r="E4" s="61" t="n"/>
      <c r="F4" s="61" t="n"/>
      <c r="G4" s="62" t="n"/>
      <c r="H4" s="62" t="n"/>
      <c r="I4" s="60" t="n"/>
      <c r="J4" s="60" t="n"/>
      <c r="K4" s="63">
        <f>IF(I4&gt;0, J4/I4, "")</f>
        <v/>
      </c>
      <c r="L4" s="61" t="n"/>
      <c r="M4" s="61" t="n"/>
    </row>
    <row r="5" ht="20" customHeight="1">
      <c r="B5" s="60" t="n"/>
      <c r="C5" s="60" t="n"/>
      <c r="D5" s="61" t="n"/>
      <c r="E5" s="61" t="n"/>
      <c r="F5" s="61" t="n"/>
      <c r="G5" s="62" t="n"/>
      <c r="H5" s="62" t="n"/>
      <c r="I5" s="60" t="n"/>
      <c r="J5" s="60" t="n"/>
      <c r="K5" s="63">
        <f>IF(I5&gt;0, J5/I5, "")</f>
        <v/>
      </c>
      <c r="L5" s="61" t="n"/>
      <c r="M5" s="61" t="n"/>
    </row>
    <row r="6" ht="20" customHeight="1">
      <c r="B6" s="60" t="n"/>
      <c r="C6" s="60" t="n"/>
      <c r="D6" s="61" t="n"/>
      <c r="E6" s="61" t="n"/>
      <c r="F6" s="61" t="n"/>
      <c r="G6" s="62" t="n"/>
      <c r="H6" s="62" t="n"/>
      <c r="I6" s="60" t="n"/>
      <c r="J6" s="60" t="n"/>
      <c r="K6" s="63">
        <f>IF(I6&gt;0, J6/I6, "")</f>
        <v/>
      </c>
      <c r="L6" s="61" t="n"/>
      <c r="M6" s="61" t="n"/>
    </row>
    <row r="7" ht="20" customHeight="1">
      <c r="B7" s="60" t="n"/>
      <c r="C7" s="60" t="n"/>
      <c r="D7" s="61" t="n"/>
      <c r="E7" s="61" t="n"/>
      <c r="F7" s="61" t="n"/>
      <c r="G7" s="62" t="n"/>
      <c r="H7" s="62" t="n"/>
      <c r="I7" s="60" t="n"/>
      <c r="J7" s="60" t="n"/>
      <c r="K7" s="63">
        <f>IF(I7&gt;0, J7/I7, "")</f>
        <v/>
      </c>
      <c r="L7" s="61" t="n"/>
      <c r="M7" s="61" t="n"/>
    </row>
    <row r="8" ht="20" customHeight="1">
      <c r="B8" s="60" t="n"/>
      <c r="C8" s="60" t="n"/>
      <c r="D8" s="61" t="n"/>
      <c r="E8" s="61" t="n"/>
      <c r="F8" s="61" t="n"/>
      <c r="G8" s="62" t="n"/>
      <c r="H8" s="62" t="n"/>
      <c r="I8" s="60" t="n"/>
      <c r="J8" s="60" t="n"/>
      <c r="K8" s="63">
        <f>IF(I8&gt;0, J8/I8, "")</f>
        <v/>
      </c>
      <c r="L8" s="61" t="n"/>
      <c r="M8" s="61" t="n"/>
    </row>
    <row r="9" ht="20" customHeight="1">
      <c r="B9" s="60" t="n"/>
      <c r="C9" s="60" t="n"/>
      <c r="D9" s="61" t="n"/>
      <c r="E9" s="61" t="n"/>
      <c r="F9" s="61" t="n"/>
      <c r="G9" s="62" t="n"/>
      <c r="H9" s="62" t="n"/>
      <c r="I9" s="60" t="n"/>
      <c r="J9" s="60" t="n"/>
      <c r="K9" s="63">
        <f>IF(I9&gt;0, J9/I9, "")</f>
        <v/>
      </c>
      <c r="L9" s="61" t="n"/>
      <c r="M9" s="61" t="n"/>
    </row>
    <row r="10" ht="20" customHeight="1">
      <c r="B10" s="60" t="n"/>
      <c r="C10" s="60" t="n"/>
      <c r="D10" s="61" t="n"/>
      <c r="E10" s="61" t="n"/>
      <c r="F10" s="61" t="n"/>
      <c r="G10" s="62" t="n"/>
      <c r="H10" s="62" t="n"/>
      <c r="I10" s="60" t="n"/>
      <c r="J10" s="60" t="n"/>
      <c r="K10" s="63">
        <f>IF(I10&gt;0, J10/I10, "")</f>
        <v/>
      </c>
      <c r="L10" s="61" t="n"/>
      <c r="M10" s="61" t="n"/>
    </row>
    <row r="11" ht="20" customHeight="1">
      <c r="B11" s="60" t="n"/>
      <c r="C11" s="60" t="n"/>
      <c r="D11" s="61" t="n"/>
      <c r="E11" s="61" t="n"/>
      <c r="F11" s="61" t="n"/>
      <c r="G11" s="62" t="n"/>
      <c r="H11" s="62" t="n"/>
      <c r="I11" s="60" t="n"/>
      <c r="J11" s="60" t="n"/>
      <c r="K11" s="63">
        <f>IF(I11&gt;0, J11/I11, "")</f>
        <v/>
      </c>
      <c r="L11" s="61" t="n"/>
      <c r="M11" s="61" t="n"/>
    </row>
    <row r="12" ht="20" customHeight="1">
      <c r="B12" s="60" t="n"/>
      <c r="C12" s="60" t="n"/>
      <c r="D12" s="61" t="n"/>
      <c r="E12" s="61" t="n"/>
      <c r="F12" s="61" t="n"/>
      <c r="G12" s="62" t="n"/>
      <c r="H12" s="62" t="n"/>
      <c r="I12" s="60" t="n"/>
      <c r="J12" s="60" t="n"/>
      <c r="K12" s="63">
        <f>IF(I12&gt;0, J12/I12, "")</f>
        <v/>
      </c>
      <c r="L12" s="61" t="n"/>
      <c r="M12" s="61" t="n"/>
    </row>
    <row r="13" ht="20" customHeight="1">
      <c r="B13" s="60" t="n"/>
      <c r="C13" s="60" t="n"/>
      <c r="D13" s="61" t="n"/>
      <c r="E13" s="61" t="n"/>
      <c r="F13" s="61" t="n"/>
      <c r="G13" s="62" t="n"/>
      <c r="H13" s="62" t="n"/>
      <c r="I13" s="60" t="n"/>
      <c r="J13" s="60" t="n"/>
      <c r="K13" s="63">
        <f>IF(I13&gt;0, J13/I13, "")</f>
        <v/>
      </c>
      <c r="L13" s="61" t="n"/>
      <c r="M13" s="61" t="n"/>
    </row>
    <row r="14" ht="20" customHeight="1">
      <c r="B14" s="60" t="n"/>
      <c r="C14" s="60" t="n"/>
      <c r="D14" s="61" t="n"/>
      <c r="E14" s="61" t="n"/>
      <c r="F14" s="61" t="n"/>
      <c r="G14" s="62" t="n"/>
      <c r="H14" s="62" t="n"/>
      <c r="I14" s="60" t="n"/>
      <c r="J14" s="60" t="n"/>
      <c r="K14" s="63">
        <f>IF(I14&gt;0, J14/I14, "")</f>
        <v/>
      </c>
      <c r="L14" s="61" t="n"/>
      <c r="M14" s="61" t="n"/>
    </row>
    <row r="15" ht="20" customHeight="1">
      <c r="B15" s="60" t="n"/>
      <c r="C15" s="60" t="n"/>
      <c r="D15" s="61" t="n"/>
      <c r="E15" s="61" t="n"/>
      <c r="F15" s="61" t="n"/>
      <c r="G15" s="62" t="n"/>
      <c r="H15" s="62" t="n"/>
      <c r="I15" s="60" t="n"/>
      <c r="J15" s="60" t="n"/>
      <c r="K15" s="63">
        <f>IF(I15&gt;0, J15/I15, "")</f>
        <v/>
      </c>
      <c r="L15" s="61" t="n"/>
      <c r="M15" s="61" t="n"/>
    </row>
    <row r="16" ht="20" customHeight="1">
      <c r="B16" s="60" t="n"/>
      <c r="C16" s="60" t="n"/>
      <c r="D16" s="61" t="n"/>
      <c r="E16" s="61" t="n"/>
      <c r="F16" s="61" t="n"/>
      <c r="G16" s="62" t="n"/>
      <c r="H16" s="62" t="n"/>
      <c r="I16" s="60" t="n"/>
      <c r="J16" s="60" t="n"/>
      <c r="K16" s="63">
        <f>IF(I16&gt;0, J16/I16, "")</f>
        <v/>
      </c>
      <c r="L16" s="61" t="n"/>
      <c r="M16" s="61" t="n"/>
    </row>
    <row r="17" ht="20" customHeight="1">
      <c r="B17" s="60" t="n"/>
      <c r="C17" s="60" t="n"/>
      <c r="D17" s="61" t="n"/>
      <c r="E17" s="61" t="n"/>
      <c r="F17" s="61" t="n"/>
      <c r="G17" s="62" t="n"/>
      <c r="H17" s="62" t="n"/>
      <c r="I17" s="60" t="n"/>
      <c r="J17" s="60" t="n"/>
      <c r="K17" s="63">
        <f>IF(I17&gt;0, J17/I17, "")</f>
        <v/>
      </c>
      <c r="L17" s="61" t="n"/>
      <c r="M17" s="61" t="n"/>
    </row>
    <row r="18" ht="20" customHeight="1">
      <c r="B18" s="60" t="n"/>
      <c r="C18" s="60" t="n"/>
      <c r="D18" s="61" t="n"/>
      <c r="E18" s="61" t="n"/>
      <c r="F18" s="61" t="n"/>
      <c r="G18" s="62" t="n"/>
      <c r="H18" s="62" t="n"/>
      <c r="I18" s="60" t="n"/>
      <c r="J18" s="60" t="n"/>
      <c r="K18" s="63">
        <f>IF(I18&gt;0, J18/I18, "")</f>
        <v/>
      </c>
      <c r="L18" s="61" t="n"/>
      <c r="M18" s="61" t="n"/>
    </row>
    <row r="19" ht="20" customHeight="1">
      <c r="B19" s="60" t="n"/>
      <c r="C19" s="60" t="n"/>
      <c r="D19" s="61" t="n"/>
      <c r="E19" s="61" t="n"/>
      <c r="F19" s="61" t="n"/>
      <c r="G19" s="62" t="n"/>
      <c r="H19" s="62" t="n"/>
      <c r="I19" s="60" t="n"/>
      <c r="J19" s="60" t="n"/>
      <c r="K19" s="63">
        <f>IF(I19&gt;0, J19/I19, "")</f>
        <v/>
      </c>
      <c r="L19" s="61" t="n"/>
      <c r="M19" s="61" t="n"/>
    </row>
    <row r="20" ht="20" customHeight="1">
      <c r="B20" s="60" t="n"/>
      <c r="C20" s="60" t="n"/>
      <c r="D20" s="61" t="n"/>
      <c r="E20" s="61" t="n"/>
      <c r="F20" s="61" t="n"/>
      <c r="G20" s="62" t="n"/>
      <c r="H20" s="62" t="n"/>
      <c r="I20" s="60" t="n"/>
      <c r="J20" s="60" t="n"/>
      <c r="K20" s="63">
        <f>IF(I20&gt;0, J20/I20, "")</f>
        <v/>
      </c>
      <c r="L20" s="61" t="n"/>
      <c r="M20" s="61" t="n"/>
    </row>
    <row r="21" ht="20" customHeight="1">
      <c r="B21" s="60" t="n"/>
      <c r="C21" s="60" t="n"/>
      <c r="D21" s="61" t="n"/>
      <c r="E21" s="61" t="n"/>
      <c r="F21" s="61" t="n"/>
      <c r="G21" s="62" t="n"/>
      <c r="H21" s="62" t="n"/>
      <c r="I21" s="60" t="n"/>
      <c r="J21" s="60" t="n"/>
      <c r="K21" s="63">
        <f>IF(I21&gt;0, J21/I21, "")</f>
        <v/>
      </c>
      <c r="L21" s="61" t="n"/>
      <c r="M21" s="61" t="n"/>
    </row>
    <row r="22" ht="20" customHeight="1">
      <c r="B22" s="60" t="n"/>
      <c r="C22" s="60" t="n"/>
      <c r="D22" s="61" t="n"/>
      <c r="E22" s="61" t="n"/>
      <c r="F22" s="61" t="n"/>
      <c r="G22" s="62" t="n"/>
      <c r="H22" s="62" t="n"/>
      <c r="I22" s="60" t="n"/>
      <c r="J22" s="60" t="n"/>
      <c r="K22" s="63">
        <f>IF(I22&gt;0, J22/I22, "")</f>
        <v/>
      </c>
      <c r="L22" s="61" t="n"/>
      <c r="M22" s="61" t="n"/>
    </row>
    <row r="23" ht="20" customHeight="1">
      <c r="B23" s="60" t="n"/>
      <c r="C23" s="60" t="n"/>
      <c r="D23" s="61" t="n"/>
      <c r="E23" s="61" t="n"/>
      <c r="F23" s="61" t="n"/>
      <c r="G23" s="62" t="n"/>
      <c r="H23" s="62" t="n"/>
      <c r="I23" s="60" t="n"/>
      <c r="J23" s="60" t="n"/>
      <c r="K23" s="63">
        <f>IF(I23&gt;0, J23/I23, "")</f>
        <v/>
      </c>
      <c r="L23" s="61" t="n"/>
      <c r="M23" s="61" t="n"/>
    </row>
    <row r="24" ht="20" customHeight="1">
      <c r="B24" s="60" t="n"/>
      <c r="C24" s="60" t="n"/>
      <c r="D24" s="61" t="n"/>
      <c r="E24" s="61" t="n"/>
      <c r="F24" s="61" t="n"/>
      <c r="G24" s="62" t="n"/>
      <c r="H24" s="62" t="n"/>
      <c r="I24" s="60" t="n"/>
      <c r="J24" s="60" t="n"/>
      <c r="K24" s="63">
        <f>IF(I24&gt;0, J24/I24, "")</f>
        <v/>
      </c>
      <c r="L24" s="61" t="n"/>
      <c r="M24" s="61" t="n"/>
    </row>
    <row r="25" ht="20" customHeight="1">
      <c r="B25" s="60" t="n"/>
      <c r="C25" s="60" t="n"/>
      <c r="D25" s="61" t="n"/>
      <c r="E25" s="61" t="n"/>
      <c r="F25" s="61" t="n"/>
      <c r="G25" s="62" t="n"/>
      <c r="H25" s="62" t="n"/>
      <c r="I25" s="60" t="n"/>
      <c r="J25" s="60" t="n"/>
      <c r="K25" s="63">
        <f>IF(I25&gt;0, J25/I25, "")</f>
        <v/>
      </c>
      <c r="L25" s="61" t="n"/>
      <c r="M25" s="61" t="n"/>
    </row>
    <row r="26" ht="20" customHeight="1">
      <c r="B26" s="60" t="n"/>
      <c r="C26" s="60" t="n"/>
      <c r="D26" s="61" t="n"/>
      <c r="E26" s="61" t="n"/>
      <c r="F26" s="61" t="n"/>
      <c r="G26" s="62" t="n"/>
      <c r="H26" s="62" t="n"/>
      <c r="I26" s="60" t="n"/>
      <c r="J26" s="60" t="n"/>
      <c r="K26" s="63">
        <f>IF(I26&gt;0, J26/I26, "")</f>
        <v/>
      </c>
      <c r="L26" s="61" t="n"/>
      <c r="M26" s="61" t="n"/>
    </row>
    <row r="27" ht="20" customHeight="1">
      <c r="B27" s="60" t="n"/>
      <c r="C27" s="60" t="n"/>
      <c r="D27" s="61" t="n"/>
      <c r="E27" s="61" t="n"/>
      <c r="F27" s="61" t="n"/>
      <c r="G27" s="62" t="n"/>
      <c r="H27" s="62" t="n"/>
      <c r="I27" s="60" t="n"/>
      <c r="J27" s="60" t="n"/>
      <c r="K27" s="63">
        <f>IF(I27&gt;0, J27/I27, "")</f>
        <v/>
      </c>
      <c r="L27" s="61" t="n"/>
      <c r="M27" s="61" t="n"/>
    </row>
    <row r="28" ht="20" customHeight="1">
      <c r="B28" s="60" t="n"/>
      <c r="C28" s="60" t="n"/>
      <c r="D28" s="61" t="n"/>
      <c r="E28" s="61" t="n"/>
      <c r="F28" s="61" t="n"/>
      <c r="G28" s="62" t="n"/>
      <c r="H28" s="62" t="n"/>
      <c r="I28" s="60" t="n"/>
      <c r="J28" s="60" t="n"/>
      <c r="K28" s="63">
        <f>IF(I28&gt;0, J28/I28, "")</f>
        <v/>
      </c>
      <c r="L28" s="61" t="n"/>
      <c r="M28" s="61" t="n"/>
    </row>
    <row r="29" ht="20" customHeight="1">
      <c r="B29" s="60" t="n"/>
      <c r="C29" s="60" t="n"/>
      <c r="D29" s="61" t="n"/>
      <c r="E29" s="61" t="n"/>
      <c r="F29" s="61" t="n"/>
      <c r="G29" s="62" t="n"/>
      <c r="H29" s="62" t="n"/>
      <c r="I29" s="60" t="n"/>
      <c r="J29" s="60" t="n"/>
      <c r="K29" s="63">
        <f>IF(I29&gt;0, J29/I29, "")</f>
        <v/>
      </c>
      <c r="L29" s="61" t="n"/>
      <c r="M29" s="61" t="n"/>
    </row>
    <row r="30" ht="20" customHeight="1">
      <c r="B30" s="60" t="n"/>
      <c r="C30" s="60" t="n"/>
      <c r="D30" s="61" t="n"/>
      <c r="E30" s="61" t="n"/>
      <c r="F30" s="61" t="n"/>
      <c r="G30" s="62" t="n"/>
      <c r="H30" s="62" t="n"/>
      <c r="I30" s="60" t="n"/>
      <c r="J30" s="60" t="n"/>
      <c r="K30" s="63">
        <f>IF(I30&gt;0, J30/I30, "")</f>
        <v/>
      </c>
      <c r="L30" s="61" t="n"/>
      <c r="M30" s="61" t="n"/>
    </row>
    <row r="31" ht="20" customHeight="1">
      <c r="B31" s="60" t="n"/>
      <c r="C31" s="60" t="n"/>
      <c r="D31" s="61" t="n"/>
      <c r="E31" s="61" t="n"/>
      <c r="F31" s="61" t="n"/>
      <c r="G31" s="62" t="n"/>
      <c r="H31" s="62" t="n"/>
      <c r="I31" s="60" t="n"/>
      <c r="J31" s="60" t="n"/>
      <c r="K31" s="63">
        <f>IF(I31&gt;0, J31/I31, "")</f>
        <v/>
      </c>
      <c r="L31" s="61" t="n"/>
      <c r="M31" s="61" t="n"/>
    </row>
    <row r="32" ht="20" customHeight="1">
      <c r="B32" s="60" t="n"/>
      <c r="C32" s="60" t="n"/>
      <c r="D32" s="61" t="n"/>
      <c r="E32" s="61" t="n"/>
      <c r="F32" s="61" t="n"/>
      <c r="G32" s="62" t="n"/>
      <c r="H32" s="62" t="n"/>
      <c r="I32" s="60" t="n"/>
      <c r="J32" s="60" t="n"/>
      <c r="K32" s="63">
        <f>IF(I32&gt;0, J32/I32, "")</f>
        <v/>
      </c>
      <c r="L32" s="61" t="n"/>
      <c r="M32" s="61" t="n"/>
    </row>
    <row r="33" ht="20" customHeight="1">
      <c r="B33" s="60" t="n"/>
      <c r="C33" s="60" t="n"/>
      <c r="D33" s="61" t="n"/>
      <c r="E33" s="61" t="n"/>
      <c r="F33" s="61" t="n"/>
      <c r="G33" s="62" t="n"/>
      <c r="H33" s="62" t="n"/>
      <c r="I33" s="60" t="n"/>
      <c r="J33" s="60" t="n"/>
      <c r="K33" s="63">
        <f>IF(I33&gt;0, J33/I33, "")</f>
        <v/>
      </c>
      <c r="L33" s="61" t="n"/>
      <c r="M33" s="61" t="n"/>
    </row>
    <row r="34" ht="20" customHeight="1">
      <c r="B34" s="60" t="n"/>
      <c r="C34" s="60" t="n"/>
      <c r="D34" s="61" t="n"/>
      <c r="E34" s="61" t="n"/>
      <c r="F34" s="61" t="n"/>
      <c r="G34" s="62" t="n"/>
      <c r="H34" s="62" t="n"/>
      <c r="I34" s="60" t="n"/>
      <c r="J34" s="60" t="n"/>
      <c r="K34" s="63">
        <f>IF(I34&gt;0, J34/I34, "")</f>
        <v/>
      </c>
      <c r="L34" s="61" t="n"/>
      <c r="M34" s="61" t="n"/>
    </row>
    <row r="35" ht="20" customHeight="1">
      <c r="B35" s="60" t="n"/>
      <c r="C35" s="60" t="n"/>
      <c r="D35" s="61" t="n"/>
      <c r="E35" s="61" t="n"/>
      <c r="F35" s="61" t="n"/>
      <c r="G35" s="62" t="n"/>
      <c r="H35" s="62" t="n"/>
      <c r="I35" s="60" t="n"/>
      <c r="J35" s="60" t="n"/>
      <c r="K35" s="63">
        <f>IF(I35&gt;0, J35/I35, "")</f>
        <v/>
      </c>
      <c r="L35" s="61" t="n"/>
      <c r="M35" s="61" t="n"/>
    </row>
    <row r="36" ht="20" customHeight="1">
      <c r="B36" s="60" t="n"/>
      <c r="C36" s="60" t="n"/>
      <c r="D36" s="61" t="n"/>
      <c r="E36" s="61" t="n"/>
      <c r="F36" s="61" t="n"/>
      <c r="G36" s="62" t="n"/>
      <c r="H36" s="62" t="n"/>
      <c r="I36" s="60" t="n"/>
      <c r="J36" s="60" t="n"/>
      <c r="K36" s="63">
        <f>IF(I36&gt;0, J36/I36, "")</f>
        <v/>
      </c>
      <c r="L36" s="61" t="n"/>
      <c r="M36" s="61" t="n"/>
    </row>
    <row r="37" ht="20" customHeight="1">
      <c r="B37" s="60" t="n"/>
      <c r="C37" s="60" t="n"/>
      <c r="D37" s="61" t="n"/>
      <c r="E37" s="61" t="n"/>
      <c r="F37" s="61" t="n"/>
      <c r="G37" s="62" t="n"/>
      <c r="H37" s="62" t="n"/>
      <c r="I37" s="60" t="n"/>
      <c r="J37" s="60" t="n"/>
      <c r="K37" s="63">
        <f>IF(I37&gt;0, J37/I37, "")</f>
        <v/>
      </c>
      <c r="L37" s="61" t="n"/>
      <c r="M37" s="61" t="n"/>
    </row>
    <row r="38" ht="20" customHeight="1">
      <c r="B38" s="60" t="n"/>
      <c r="C38" s="60" t="n"/>
      <c r="D38" s="61" t="n"/>
      <c r="E38" s="61" t="n"/>
      <c r="F38" s="61" t="n"/>
      <c r="G38" s="62" t="n"/>
      <c r="H38" s="62" t="n"/>
      <c r="I38" s="60" t="n"/>
      <c r="J38" s="60" t="n"/>
      <c r="K38" s="63">
        <f>IF(I38&gt;0, J38/I38, "")</f>
        <v/>
      </c>
      <c r="L38" s="61" t="n"/>
      <c r="M38" s="61" t="n"/>
    </row>
    <row r="39" ht="20" customHeight="1">
      <c r="B39" s="60" t="n"/>
      <c r="C39" s="60" t="n"/>
      <c r="D39" s="61" t="n"/>
      <c r="E39" s="61" t="n"/>
      <c r="F39" s="61" t="n"/>
      <c r="G39" s="62" t="n"/>
      <c r="H39" s="62" t="n"/>
      <c r="I39" s="60" t="n"/>
      <c r="J39" s="60" t="n"/>
      <c r="K39" s="63">
        <f>IF(I39&gt;0, J39/I39, "")</f>
        <v/>
      </c>
      <c r="L39" s="61" t="n"/>
      <c r="M39" s="61" t="n"/>
    </row>
    <row r="40" ht="20" customHeight="1">
      <c r="B40" s="60" t="n"/>
      <c r="C40" s="60" t="n"/>
      <c r="D40" s="61" t="n"/>
      <c r="E40" s="61" t="n"/>
      <c r="F40" s="61" t="n"/>
      <c r="G40" s="62" t="n"/>
      <c r="H40" s="62" t="n"/>
      <c r="I40" s="60" t="n"/>
      <c r="J40" s="60" t="n"/>
      <c r="K40" s="63">
        <f>IF(I40&gt;0, J40/I40, "")</f>
        <v/>
      </c>
      <c r="L40" s="61" t="n"/>
      <c r="M40" s="61" t="n"/>
    </row>
    <row r="41" ht="20" customHeight="1">
      <c r="B41" s="60" t="n"/>
      <c r="C41" s="60" t="n"/>
      <c r="D41" s="61" t="n"/>
      <c r="E41" s="61" t="n"/>
      <c r="F41" s="61" t="n"/>
      <c r="G41" s="62" t="n"/>
      <c r="H41" s="62" t="n"/>
      <c r="I41" s="60" t="n"/>
      <c r="J41" s="60" t="n"/>
      <c r="K41" s="63">
        <f>IF(I41&gt;0, J41/I41, "")</f>
        <v/>
      </c>
      <c r="L41" s="61" t="n"/>
      <c r="M41" s="61" t="n"/>
    </row>
    <row r="42" ht="20" customHeight="1">
      <c r="B42" s="60" t="n"/>
      <c r="C42" s="60" t="n"/>
      <c r="D42" s="61" t="n"/>
      <c r="E42" s="61" t="n"/>
      <c r="F42" s="61" t="n"/>
      <c r="G42" s="62" t="n"/>
      <c r="H42" s="62" t="n"/>
      <c r="I42" s="60" t="n"/>
      <c r="J42" s="60" t="n"/>
      <c r="K42" s="63">
        <f>IF(I42&gt;0, J42/I42, "")</f>
        <v/>
      </c>
      <c r="L42" s="61" t="n"/>
      <c r="M42" s="61" t="n"/>
    </row>
    <row r="43" ht="20" customHeight="1">
      <c r="B43" s="60" t="n"/>
      <c r="C43" s="60" t="n"/>
      <c r="D43" s="61" t="n"/>
      <c r="E43" s="61" t="n"/>
      <c r="F43" s="61" t="n"/>
      <c r="G43" s="62" t="n"/>
      <c r="H43" s="62" t="n"/>
      <c r="I43" s="60" t="n"/>
      <c r="J43" s="60" t="n"/>
      <c r="K43" s="63">
        <f>IF(I43&gt;0, J43/I43, "")</f>
        <v/>
      </c>
      <c r="L43" s="61" t="n"/>
      <c r="M43" s="61" t="n"/>
    </row>
    <row r="44" ht="20" customHeight="1">
      <c r="B44" s="60" t="n"/>
      <c r="C44" s="60" t="n"/>
      <c r="D44" s="61" t="n"/>
      <c r="E44" s="61" t="n"/>
      <c r="F44" s="61" t="n"/>
      <c r="G44" s="62" t="n"/>
      <c r="H44" s="62" t="n"/>
      <c r="I44" s="60" t="n"/>
      <c r="J44" s="60" t="n"/>
      <c r="K44" s="63">
        <f>IF(I44&gt;0, J44/I44, "")</f>
        <v/>
      </c>
      <c r="L44" s="61" t="n"/>
      <c r="M44" s="61" t="n"/>
    </row>
    <row r="45" ht="20" customHeight="1">
      <c r="B45" s="60" t="n"/>
      <c r="C45" s="60" t="n"/>
      <c r="D45" s="61" t="n"/>
      <c r="E45" s="61" t="n"/>
      <c r="F45" s="61" t="n"/>
      <c r="G45" s="62" t="n"/>
      <c r="H45" s="62" t="n"/>
      <c r="I45" s="60" t="n"/>
      <c r="J45" s="60" t="n"/>
      <c r="K45" s="63">
        <f>IF(I45&gt;0, J45/I45, "")</f>
        <v/>
      </c>
      <c r="L45" s="61" t="n"/>
      <c r="M45" s="61" t="n"/>
    </row>
    <row r="46" ht="20" customHeight="1">
      <c r="B46" s="60" t="n"/>
      <c r="C46" s="60" t="n"/>
      <c r="D46" s="61" t="n"/>
      <c r="E46" s="61" t="n"/>
      <c r="F46" s="61" t="n"/>
      <c r="G46" s="62" t="n"/>
      <c r="H46" s="62" t="n"/>
      <c r="I46" s="60" t="n"/>
      <c r="J46" s="60" t="n"/>
      <c r="K46" s="63">
        <f>IF(I46&gt;0, J46/I46, "")</f>
        <v/>
      </c>
      <c r="L46" s="61" t="n"/>
      <c r="M46" s="61" t="n"/>
    </row>
    <row r="47" ht="20" customHeight="1">
      <c r="B47" s="60" t="n"/>
      <c r="C47" s="60" t="n"/>
      <c r="D47" s="61" t="n"/>
      <c r="E47" s="61" t="n"/>
      <c r="F47" s="61" t="n"/>
      <c r="G47" s="62" t="n"/>
      <c r="H47" s="62" t="n"/>
      <c r="I47" s="60" t="n"/>
      <c r="J47" s="60" t="n"/>
      <c r="K47" s="63">
        <f>IF(I47&gt;0, J47/I47, "")</f>
        <v/>
      </c>
      <c r="L47" s="61" t="n"/>
      <c r="M47" s="61" t="n"/>
    </row>
    <row r="48" ht="20" customHeight="1">
      <c r="B48" s="60" t="n"/>
      <c r="C48" s="60" t="n"/>
      <c r="D48" s="61" t="n"/>
      <c r="E48" s="61" t="n"/>
      <c r="F48" s="61" t="n"/>
      <c r="G48" s="62" t="n"/>
      <c r="H48" s="62" t="n"/>
      <c r="I48" s="60" t="n"/>
      <c r="J48" s="60" t="n"/>
      <c r="K48" s="63">
        <f>IF(I48&gt;0, J48/I48, "")</f>
        <v/>
      </c>
      <c r="L48" s="61" t="n"/>
      <c r="M48" s="61" t="n"/>
    </row>
    <row r="49" ht="20" customHeight="1">
      <c r="B49" s="60" t="n"/>
      <c r="C49" s="60" t="n"/>
      <c r="D49" s="61" t="n"/>
      <c r="E49" s="61" t="n"/>
      <c r="F49" s="61" t="n"/>
      <c r="G49" s="62" t="n"/>
      <c r="H49" s="62" t="n"/>
      <c r="I49" s="60" t="n"/>
      <c r="J49" s="60" t="n"/>
      <c r="K49" s="63">
        <f>IF(I49&gt;0, J49/I49, "")</f>
        <v/>
      </c>
      <c r="L49" s="61" t="n"/>
      <c r="M49" s="61" t="n"/>
    </row>
    <row r="50" ht="20" customHeight="1">
      <c r="B50" s="60" t="n"/>
      <c r="C50" s="60" t="n"/>
      <c r="D50" s="61" t="n"/>
      <c r="E50" s="61" t="n"/>
      <c r="F50" s="61" t="n"/>
      <c r="G50" s="62" t="n"/>
      <c r="H50" s="62" t="n"/>
      <c r="I50" s="60" t="n"/>
      <c r="J50" s="60" t="n"/>
      <c r="K50" s="63">
        <f>IF(I50&gt;0, J50/I50, "")</f>
        <v/>
      </c>
      <c r="L50" s="61" t="n"/>
      <c r="M50" s="61" t="n"/>
    </row>
    <row r="51" ht="20" customHeight="1">
      <c r="B51" s="60" t="n"/>
      <c r="C51" s="60" t="n"/>
      <c r="D51" s="61" t="n"/>
      <c r="E51" s="61" t="n"/>
      <c r="F51" s="61" t="n"/>
      <c r="G51" s="62" t="n"/>
      <c r="H51" s="62" t="n"/>
      <c r="I51" s="60" t="n"/>
      <c r="J51" s="60" t="n"/>
      <c r="K51" s="63">
        <f>IF(I51&gt;0, J51/I51, "")</f>
        <v/>
      </c>
      <c r="L51" s="61" t="n"/>
      <c r="M51" s="61" t="n"/>
    </row>
    <row r="52" ht="20" customHeight="1">
      <c r="B52" s="60" t="n"/>
      <c r="C52" s="60" t="n"/>
      <c r="D52" s="61" t="n"/>
      <c r="E52" s="61" t="n"/>
      <c r="F52" s="61" t="n"/>
      <c r="G52" s="62" t="n"/>
      <c r="H52" s="62" t="n"/>
      <c r="I52" s="60" t="n"/>
      <c r="J52" s="60" t="n"/>
      <c r="K52" s="63">
        <f>IF(I52&gt;0, J52/I52, "")</f>
        <v/>
      </c>
      <c r="L52" s="61" t="n"/>
      <c r="M52" s="61" t="n"/>
    </row>
    <row r="53" ht="20" customHeight="1">
      <c r="B53" s="60" t="n"/>
      <c r="C53" s="60" t="n"/>
      <c r="D53" s="61" t="n"/>
      <c r="E53" s="61" t="n"/>
      <c r="F53" s="61" t="n"/>
      <c r="G53" s="62" t="n"/>
      <c r="H53" s="62" t="n"/>
      <c r="I53" s="60" t="n"/>
      <c r="J53" s="60" t="n"/>
      <c r="K53" s="63">
        <f>IF(I53&gt;0, J53/I53, "")</f>
        <v/>
      </c>
      <c r="L53" s="61" t="n"/>
      <c r="M53" s="61" t="n"/>
    </row>
    <row r="54" ht="20" customHeight="1">
      <c r="B54" s="60" t="n"/>
      <c r="C54" s="60" t="n"/>
      <c r="D54" s="61" t="n"/>
      <c r="E54" s="61" t="n"/>
      <c r="F54" s="61" t="n"/>
      <c r="G54" s="62" t="n"/>
      <c r="H54" s="62" t="n"/>
      <c r="I54" s="60" t="n"/>
      <c r="J54" s="60" t="n"/>
      <c r="K54" s="63">
        <f>IF(I54&gt;0, J54/I54, "")</f>
        <v/>
      </c>
      <c r="L54" s="61" t="n"/>
      <c r="M54" s="61" t="n"/>
    </row>
    <row r="55" ht="20" customHeight="1">
      <c r="B55" s="60" t="n"/>
      <c r="C55" s="60" t="n"/>
      <c r="D55" s="61" t="n"/>
      <c r="E55" s="61" t="n"/>
      <c r="F55" s="61" t="n"/>
      <c r="G55" s="62" t="n"/>
      <c r="H55" s="62" t="n"/>
      <c r="I55" s="60" t="n"/>
      <c r="J55" s="60" t="n"/>
      <c r="K55" s="63">
        <f>IF(I55&gt;0, J55/I55, "")</f>
        <v/>
      </c>
      <c r="L55" s="61" t="n"/>
      <c r="M55" s="61" t="n"/>
    </row>
    <row r="56" ht="20" customHeight="1">
      <c r="B56" s="60" t="n"/>
      <c r="C56" s="60" t="n"/>
      <c r="D56" s="61" t="n"/>
      <c r="E56" s="61" t="n"/>
      <c r="F56" s="61" t="n"/>
      <c r="G56" s="62" t="n"/>
      <c r="H56" s="62" t="n"/>
      <c r="I56" s="60" t="n"/>
      <c r="J56" s="60" t="n"/>
      <c r="K56" s="63">
        <f>IF(I56&gt;0, J56/I56, "")</f>
        <v/>
      </c>
      <c r="L56" s="61" t="n"/>
      <c r="M56" s="61" t="n"/>
    </row>
    <row r="57" ht="20" customHeight="1">
      <c r="B57" s="60" t="n"/>
      <c r="C57" s="60" t="n"/>
      <c r="D57" s="61" t="n"/>
      <c r="E57" s="61" t="n"/>
      <c r="F57" s="61" t="n"/>
      <c r="G57" s="62" t="n"/>
      <c r="H57" s="62" t="n"/>
      <c r="I57" s="60" t="n"/>
      <c r="J57" s="60" t="n"/>
      <c r="K57" s="63">
        <f>IF(I57&gt;0, J57/I57, "")</f>
        <v/>
      </c>
      <c r="L57" s="61" t="n"/>
      <c r="M57" s="61" t="n"/>
    </row>
    <row r="58" ht="20" customHeight="1">
      <c r="B58" s="60" t="n"/>
      <c r="C58" s="60" t="n"/>
      <c r="D58" s="61" t="n"/>
      <c r="E58" s="61" t="n"/>
      <c r="F58" s="61" t="n"/>
      <c r="G58" s="62" t="n"/>
      <c r="H58" s="62" t="n"/>
      <c r="I58" s="60" t="n"/>
      <c r="J58" s="60" t="n"/>
      <c r="K58" s="63">
        <f>IF(I58&gt;0, J58/I58, "")</f>
        <v/>
      </c>
      <c r="L58" s="61" t="n"/>
      <c r="M58" s="61" t="n"/>
    </row>
    <row r="59" ht="20" customHeight="1">
      <c r="B59" s="60" t="n"/>
      <c r="C59" s="60" t="n"/>
      <c r="D59" s="61" t="n"/>
      <c r="E59" s="61" t="n"/>
      <c r="F59" s="61" t="n"/>
      <c r="G59" s="62" t="n"/>
      <c r="H59" s="62" t="n"/>
      <c r="I59" s="60" t="n"/>
      <c r="J59" s="60" t="n"/>
      <c r="K59" s="63">
        <f>IF(I59&gt;0, J59/I59, "")</f>
        <v/>
      </c>
      <c r="L59" s="61" t="n"/>
      <c r="M59" s="61" t="n"/>
    </row>
    <row r="60" ht="20" customHeight="1">
      <c r="B60" s="60" t="n"/>
      <c r="C60" s="60" t="n"/>
      <c r="D60" s="61" t="n"/>
      <c r="E60" s="61" t="n"/>
      <c r="F60" s="61" t="n"/>
      <c r="G60" s="62" t="n"/>
      <c r="H60" s="62" t="n"/>
      <c r="I60" s="60" t="n"/>
      <c r="J60" s="60" t="n"/>
      <c r="K60" s="63">
        <f>IF(I60&gt;0, J60/I60, "")</f>
        <v/>
      </c>
      <c r="L60" s="61" t="n"/>
      <c r="M60" s="6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M6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16" customWidth="1" min="4" max="4"/>
    <col width="35" customWidth="1" min="5" max="5"/>
    <col width="25" customWidth="1" min="6" max="6"/>
    <col width="10" customWidth="1" min="7" max="7"/>
    <col width="16" customWidth="1" min="8" max="8"/>
    <col width="14" customWidth="1" min="9" max="9"/>
    <col width="16" customWidth="1" min="10" max="10"/>
    <col width="12" customWidth="1" min="11" max="11"/>
    <col width="24" customWidth="1" min="12" max="12"/>
    <col width="24" customWidth="1" min="13" max="13"/>
  </cols>
  <sheetData>
    <row r="2" ht="28" customHeight="1">
      <c r="B2" s="59" t="inlineStr">
        <is>
          <t>S.No</t>
        </is>
      </c>
      <c r="C2" s="59" t="inlineStr">
        <is>
          <t>Date</t>
        </is>
      </c>
      <c r="D2" s="59" t="inlineStr">
        <is>
          <t>Task worker</t>
        </is>
      </c>
      <c r="E2" s="59" t="inlineStr">
        <is>
          <t>Task</t>
        </is>
      </c>
      <c r="F2" s="59" t="inlineStr">
        <is>
          <t>Assets/Units/ISOs/PIDs</t>
        </is>
      </c>
      <c r="G2" s="59" t="inlineStr">
        <is>
          <t>Hrs/day</t>
        </is>
      </c>
      <c r="H2" s="59" t="inlineStr">
        <is>
          <t>metric/task in hrs</t>
        </is>
      </c>
      <c r="I2" s="59" t="inlineStr">
        <is>
          <t>count per day</t>
        </is>
      </c>
      <c r="J2" s="59" t="inlineStr">
        <is>
          <t>achieved on the day</t>
        </is>
      </c>
      <c r="K2" s="59" t="inlineStr">
        <is>
          <t>Efficiency</t>
        </is>
      </c>
      <c r="L2" s="59" t="inlineStr">
        <is>
          <t>Road blocks</t>
        </is>
      </c>
      <c r="M2" s="59" t="inlineStr">
        <is>
          <t>Notes</t>
        </is>
      </c>
    </row>
    <row r="3" ht="20" customHeight="1">
      <c r="B3" s="60" t="n"/>
      <c r="C3" s="60" t="n"/>
      <c r="D3" s="61" t="n"/>
      <c r="E3" s="61" t="n"/>
      <c r="F3" s="61" t="n"/>
      <c r="G3" s="62" t="n"/>
      <c r="H3" s="62" t="n"/>
      <c r="I3" s="60" t="n"/>
      <c r="J3" s="60" t="n"/>
      <c r="K3" s="63">
        <f>IF(I3&gt;0, J3/I3, "")</f>
        <v/>
      </c>
      <c r="L3" s="61" t="n"/>
      <c r="M3" s="61" t="n"/>
    </row>
    <row r="4" ht="20" customHeight="1">
      <c r="B4" s="60" t="n"/>
      <c r="C4" s="60" t="n"/>
      <c r="D4" s="61" t="n"/>
      <c r="E4" s="61" t="n"/>
      <c r="F4" s="61" t="n"/>
      <c r="G4" s="62" t="n"/>
      <c r="H4" s="62" t="n"/>
      <c r="I4" s="60" t="n"/>
      <c r="J4" s="60" t="n"/>
      <c r="K4" s="63">
        <f>IF(I4&gt;0, J4/I4, "")</f>
        <v/>
      </c>
      <c r="L4" s="61" t="n"/>
      <c r="M4" s="61" t="n"/>
    </row>
    <row r="5" ht="20" customHeight="1">
      <c r="B5" s="60" t="n"/>
      <c r="C5" s="60" t="n"/>
      <c r="D5" s="61" t="n"/>
      <c r="E5" s="61" t="n"/>
      <c r="F5" s="61" t="n"/>
      <c r="G5" s="62" t="n"/>
      <c r="H5" s="62" t="n"/>
      <c r="I5" s="60" t="n"/>
      <c r="J5" s="60" t="n"/>
      <c r="K5" s="63">
        <f>IF(I5&gt;0, J5/I5, "")</f>
        <v/>
      </c>
      <c r="L5" s="61" t="n"/>
      <c r="M5" s="61" t="n"/>
    </row>
    <row r="6" ht="20" customHeight="1">
      <c r="B6" s="60" t="n"/>
      <c r="C6" s="60" t="n"/>
      <c r="D6" s="61" t="n"/>
      <c r="E6" s="61" t="n"/>
      <c r="F6" s="61" t="n"/>
      <c r="G6" s="62" t="n"/>
      <c r="H6" s="62" t="n"/>
      <c r="I6" s="60" t="n"/>
      <c r="J6" s="60" t="n"/>
      <c r="K6" s="63">
        <f>IF(I6&gt;0, J6/I6, "")</f>
        <v/>
      </c>
      <c r="L6" s="61" t="n"/>
      <c r="M6" s="61" t="n"/>
    </row>
    <row r="7" ht="20" customHeight="1">
      <c r="B7" s="60" t="n"/>
      <c r="C7" s="60" t="n"/>
      <c r="D7" s="61" t="n"/>
      <c r="E7" s="61" t="n"/>
      <c r="F7" s="61" t="n"/>
      <c r="G7" s="62" t="n"/>
      <c r="H7" s="62" t="n"/>
      <c r="I7" s="60" t="n"/>
      <c r="J7" s="60" t="n"/>
      <c r="K7" s="63">
        <f>IF(I7&gt;0, J7/I7, "")</f>
        <v/>
      </c>
      <c r="L7" s="61" t="n"/>
      <c r="M7" s="61" t="n"/>
    </row>
    <row r="8" ht="20" customHeight="1">
      <c r="B8" s="60" t="n"/>
      <c r="C8" s="60" t="n"/>
      <c r="D8" s="61" t="n"/>
      <c r="E8" s="61" t="n"/>
      <c r="F8" s="61" t="n"/>
      <c r="G8" s="62" t="n"/>
      <c r="H8" s="62" t="n"/>
      <c r="I8" s="60" t="n"/>
      <c r="J8" s="60" t="n"/>
      <c r="K8" s="63">
        <f>IF(I8&gt;0, J8/I8, "")</f>
        <v/>
      </c>
      <c r="L8" s="61" t="n"/>
      <c r="M8" s="61" t="n"/>
    </row>
    <row r="9" ht="20" customHeight="1">
      <c r="B9" s="60" t="n"/>
      <c r="C9" s="60" t="n"/>
      <c r="D9" s="61" t="n"/>
      <c r="E9" s="61" t="n"/>
      <c r="F9" s="61" t="n"/>
      <c r="G9" s="62" t="n"/>
      <c r="H9" s="62" t="n"/>
      <c r="I9" s="60" t="n"/>
      <c r="J9" s="60" t="n"/>
      <c r="K9" s="63">
        <f>IF(I9&gt;0, J9/I9, "")</f>
        <v/>
      </c>
      <c r="L9" s="61" t="n"/>
      <c r="M9" s="61" t="n"/>
    </row>
    <row r="10" ht="20" customHeight="1">
      <c r="B10" s="60" t="n"/>
      <c r="C10" s="60" t="n"/>
      <c r="D10" s="61" t="n"/>
      <c r="E10" s="61" t="n"/>
      <c r="F10" s="61" t="n"/>
      <c r="G10" s="62" t="n"/>
      <c r="H10" s="62" t="n"/>
      <c r="I10" s="60" t="n"/>
      <c r="J10" s="60" t="n"/>
      <c r="K10" s="63">
        <f>IF(I10&gt;0, J10/I10, "")</f>
        <v/>
      </c>
      <c r="L10" s="61" t="n"/>
      <c r="M10" s="61" t="n"/>
    </row>
    <row r="11" ht="20" customHeight="1">
      <c r="B11" s="60" t="n"/>
      <c r="C11" s="60" t="n"/>
      <c r="D11" s="61" t="n"/>
      <c r="E11" s="61" t="n"/>
      <c r="F11" s="61" t="n"/>
      <c r="G11" s="62" t="n"/>
      <c r="H11" s="62" t="n"/>
      <c r="I11" s="60" t="n"/>
      <c r="J11" s="60" t="n"/>
      <c r="K11" s="63">
        <f>IF(I11&gt;0, J11/I11, "")</f>
        <v/>
      </c>
      <c r="L11" s="61" t="n"/>
      <c r="M11" s="61" t="n"/>
    </row>
    <row r="12" ht="20" customHeight="1">
      <c r="B12" s="60" t="n"/>
      <c r="C12" s="60" t="n"/>
      <c r="D12" s="61" t="n"/>
      <c r="E12" s="61" t="n"/>
      <c r="F12" s="61" t="n"/>
      <c r="G12" s="62" t="n"/>
      <c r="H12" s="62" t="n"/>
      <c r="I12" s="60" t="n"/>
      <c r="J12" s="60" t="n"/>
      <c r="K12" s="63">
        <f>IF(I12&gt;0, J12/I12, "")</f>
        <v/>
      </c>
      <c r="L12" s="61" t="n"/>
      <c r="M12" s="61" t="n"/>
    </row>
    <row r="13" ht="20" customHeight="1">
      <c r="B13" s="60" t="n"/>
      <c r="C13" s="60" t="n"/>
      <c r="D13" s="61" t="n"/>
      <c r="E13" s="61" t="n"/>
      <c r="F13" s="61" t="n"/>
      <c r="G13" s="62" t="n"/>
      <c r="H13" s="62" t="n"/>
      <c r="I13" s="60" t="n"/>
      <c r="J13" s="60" t="n"/>
      <c r="K13" s="63">
        <f>IF(I13&gt;0, J13/I13, "")</f>
        <v/>
      </c>
      <c r="L13" s="61" t="n"/>
      <c r="M13" s="61" t="n"/>
    </row>
    <row r="14" ht="20" customHeight="1">
      <c r="B14" s="60" t="n"/>
      <c r="C14" s="60" t="n"/>
      <c r="D14" s="61" t="n"/>
      <c r="E14" s="61" t="n"/>
      <c r="F14" s="61" t="n"/>
      <c r="G14" s="62" t="n"/>
      <c r="H14" s="62" t="n"/>
      <c r="I14" s="60" t="n"/>
      <c r="J14" s="60" t="n"/>
      <c r="K14" s="63">
        <f>IF(I14&gt;0, J14/I14, "")</f>
        <v/>
      </c>
      <c r="L14" s="61" t="n"/>
      <c r="M14" s="61" t="n"/>
    </row>
    <row r="15" ht="20" customHeight="1">
      <c r="B15" s="60" t="n"/>
      <c r="C15" s="60" t="n"/>
      <c r="D15" s="61" t="n"/>
      <c r="E15" s="61" t="n"/>
      <c r="F15" s="61" t="n"/>
      <c r="G15" s="62" t="n"/>
      <c r="H15" s="62" t="n"/>
      <c r="I15" s="60" t="n"/>
      <c r="J15" s="60" t="n"/>
      <c r="K15" s="63">
        <f>IF(I15&gt;0, J15/I15, "")</f>
        <v/>
      </c>
      <c r="L15" s="61" t="n"/>
      <c r="M15" s="61" t="n"/>
    </row>
    <row r="16" ht="20" customHeight="1">
      <c r="B16" s="60" t="n"/>
      <c r="C16" s="60" t="n"/>
      <c r="D16" s="61" t="n"/>
      <c r="E16" s="61" t="n"/>
      <c r="F16" s="61" t="n"/>
      <c r="G16" s="62" t="n"/>
      <c r="H16" s="62" t="n"/>
      <c r="I16" s="60" t="n"/>
      <c r="J16" s="60" t="n"/>
      <c r="K16" s="63">
        <f>IF(I16&gt;0, J16/I16, "")</f>
        <v/>
      </c>
      <c r="L16" s="61" t="n"/>
      <c r="M16" s="61" t="n"/>
    </row>
    <row r="17" ht="20" customHeight="1">
      <c r="B17" s="60" t="n"/>
      <c r="C17" s="60" t="n"/>
      <c r="D17" s="61" t="n"/>
      <c r="E17" s="61" t="n"/>
      <c r="F17" s="61" t="n"/>
      <c r="G17" s="62" t="n"/>
      <c r="H17" s="62" t="n"/>
      <c r="I17" s="60" t="n"/>
      <c r="J17" s="60" t="n"/>
      <c r="K17" s="63">
        <f>IF(I17&gt;0, J17/I17, "")</f>
        <v/>
      </c>
      <c r="L17" s="61" t="n"/>
      <c r="M17" s="61" t="n"/>
    </row>
    <row r="18" ht="20" customHeight="1">
      <c r="B18" s="60" t="n"/>
      <c r="C18" s="60" t="n"/>
      <c r="D18" s="61" t="n"/>
      <c r="E18" s="61" t="n"/>
      <c r="F18" s="61" t="n"/>
      <c r="G18" s="62" t="n"/>
      <c r="H18" s="62" t="n"/>
      <c r="I18" s="60" t="n"/>
      <c r="J18" s="60" t="n"/>
      <c r="K18" s="63">
        <f>IF(I18&gt;0, J18/I18, "")</f>
        <v/>
      </c>
      <c r="L18" s="61" t="n"/>
      <c r="M18" s="61" t="n"/>
    </row>
    <row r="19" ht="20" customHeight="1">
      <c r="B19" s="60" t="n"/>
      <c r="C19" s="60" t="n"/>
      <c r="D19" s="61" t="n"/>
      <c r="E19" s="61" t="n"/>
      <c r="F19" s="61" t="n"/>
      <c r="G19" s="62" t="n"/>
      <c r="H19" s="62" t="n"/>
      <c r="I19" s="60" t="n"/>
      <c r="J19" s="60" t="n"/>
      <c r="K19" s="63">
        <f>IF(I19&gt;0, J19/I19, "")</f>
        <v/>
      </c>
      <c r="L19" s="61" t="n"/>
      <c r="M19" s="61" t="n"/>
    </row>
    <row r="20" ht="20" customHeight="1">
      <c r="B20" s="60" t="n"/>
      <c r="C20" s="60" t="n"/>
      <c r="D20" s="61" t="n"/>
      <c r="E20" s="61" t="n"/>
      <c r="F20" s="61" t="n"/>
      <c r="G20" s="62" t="n"/>
      <c r="H20" s="62" t="n"/>
      <c r="I20" s="60" t="n"/>
      <c r="J20" s="60" t="n"/>
      <c r="K20" s="63">
        <f>IF(I20&gt;0, J20/I20, "")</f>
        <v/>
      </c>
      <c r="L20" s="61" t="n"/>
      <c r="M20" s="61" t="n"/>
    </row>
    <row r="21" ht="20" customHeight="1">
      <c r="B21" s="60" t="n"/>
      <c r="C21" s="60" t="n"/>
      <c r="D21" s="61" t="n"/>
      <c r="E21" s="61" t="n"/>
      <c r="F21" s="61" t="n"/>
      <c r="G21" s="62" t="n"/>
      <c r="H21" s="62" t="n"/>
      <c r="I21" s="60" t="n"/>
      <c r="J21" s="60" t="n"/>
      <c r="K21" s="63">
        <f>IF(I21&gt;0, J21/I21, "")</f>
        <v/>
      </c>
      <c r="L21" s="61" t="n"/>
      <c r="M21" s="61" t="n"/>
    </row>
    <row r="22" ht="20" customHeight="1">
      <c r="B22" s="60" t="n"/>
      <c r="C22" s="60" t="n"/>
      <c r="D22" s="61" t="n"/>
      <c r="E22" s="61" t="n"/>
      <c r="F22" s="61" t="n"/>
      <c r="G22" s="62" t="n"/>
      <c r="H22" s="62" t="n"/>
      <c r="I22" s="60" t="n"/>
      <c r="J22" s="60" t="n"/>
      <c r="K22" s="63">
        <f>IF(I22&gt;0, J22/I22, "")</f>
        <v/>
      </c>
      <c r="L22" s="61" t="n"/>
      <c r="M22" s="61" t="n"/>
    </row>
    <row r="23" ht="20" customHeight="1">
      <c r="B23" s="60" t="n"/>
      <c r="C23" s="60" t="n"/>
      <c r="D23" s="61" t="n"/>
      <c r="E23" s="61" t="n"/>
      <c r="F23" s="61" t="n"/>
      <c r="G23" s="62" t="n"/>
      <c r="H23" s="62" t="n"/>
      <c r="I23" s="60" t="n"/>
      <c r="J23" s="60" t="n"/>
      <c r="K23" s="63">
        <f>IF(I23&gt;0, J23/I23, "")</f>
        <v/>
      </c>
      <c r="L23" s="61" t="n"/>
      <c r="M23" s="61" t="n"/>
    </row>
    <row r="24" ht="20" customHeight="1">
      <c r="B24" s="60" t="n"/>
      <c r="C24" s="60" t="n"/>
      <c r="D24" s="61" t="n"/>
      <c r="E24" s="61" t="n"/>
      <c r="F24" s="61" t="n"/>
      <c r="G24" s="62" t="n"/>
      <c r="H24" s="62" t="n"/>
      <c r="I24" s="60" t="n"/>
      <c r="J24" s="60" t="n"/>
      <c r="K24" s="63">
        <f>IF(I24&gt;0, J24/I24, "")</f>
        <v/>
      </c>
      <c r="L24" s="61" t="n"/>
      <c r="M24" s="61" t="n"/>
    </row>
    <row r="25" ht="20" customHeight="1">
      <c r="B25" s="60" t="n"/>
      <c r="C25" s="60" t="n"/>
      <c r="D25" s="61" t="n"/>
      <c r="E25" s="61" t="n"/>
      <c r="F25" s="61" t="n"/>
      <c r="G25" s="62" t="n"/>
      <c r="H25" s="62" t="n"/>
      <c r="I25" s="60" t="n"/>
      <c r="J25" s="60" t="n"/>
      <c r="K25" s="63">
        <f>IF(I25&gt;0, J25/I25, "")</f>
        <v/>
      </c>
      <c r="L25" s="61" t="n"/>
      <c r="M25" s="61" t="n"/>
    </row>
    <row r="26" ht="20" customHeight="1">
      <c r="B26" s="60" t="n"/>
      <c r="C26" s="60" t="n"/>
      <c r="D26" s="61" t="n"/>
      <c r="E26" s="61" t="n"/>
      <c r="F26" s="61" t="n"/>
      <c r="G26" s="62" t="n"/>
      <c r="H26" s="62" t="n"/>
      <c r="I26" s="60" t="n"/>
      <c r="J26" s="60" t="n"/>
      <c r="K26" s="63">
        <f>IF(I26&gt;0, J26/I26, "")</f>
        <v/>
      </c>
      <c r="L26" s="61" t="n"/>
      <c r="M26" s="61" t="n"/>
    </row>
    <row r="27" ht="20" customHeight="1">
      <c r="B27" s="60" t="n"/>
      <c r="C27" s="60" t="n"/>
      <c r="D27" s="61" t="n"/>
      <c r="E27" s="61" t="n"/>
      <c r="F27" s="61" t="n"/>
      <c r="G27" s="62" t="n"/>
      <c r="H27" s="62" t="n"/>
      <c r="I27" s="60" t="n"/>
      <c r="J27" s="60" t="n"/>
      <c r="K27" s="63">
        <f>IF(I27&gt;0, J27/I27, "")</f>
        <v/>
      </c>
      <c r="L27" s="61" t="n"/>
      <c r="M27" s="61" t="n"/>
    </row>
    <row r="28" ht="20" customHeight="1">
      <c r="B28" s="60" t="n"/>
      <c r="C28" s="60" t="n"/>
      <c r="D28" s="61" t="n"/>
      <c r="E28" s="61" t="n"/>
      <c r="F28" s="61" t="n"/>
      <c r="G28" s="62" t="n"/>
      <c r="H28" s="62" t="n"/>
      <c r="I28" s="60" t="n"/>
      <c r="J28" s="60" t="n"/>
      <c r="K28" s="63">
        <f>IF(I28&gt;0, J28/I28, "")</f>
        <v/>
      </c>
      <c r="L28" s="61" t="n"/>
      <c r="M28" s="61" t="n"/>
    </row>
    <row r="29" ht="20" customHeight="1">
      <c r="B29" s="60" t="n"/>
      <c r="C29" s="60" t="n"/>
      <c r="D29" s="61" t="n"/>
      <c r="E29" s="61" t="n"/>
      <c r="F29" s="61" t="n"/>
      <c r="G29" s="62" t="n"/>
      <c r="H29" s="62" t="n"/>
      <c r="I29" s="60" t="n"/>
      <c r="J29" s="60" t="n"/>
      <c r="K29" s="63">
        <f>IF(I29&gt;0, J29/I29, "")</f>
        <v/>
      </c>
      <c r="L29" s="61" t="n"/>
      <c r="M29" s="61" t="n"/>
    </row>
    <row r="30" ht="20" customHeight="1">
      <c r="B30" s="60" t="n"/>
      <c r="C30" s="60" t="n"/>
      <c r="D30" s="61" t="n"/>
      <c r="E30" s="61" t="n"/>
      <c r="F30" s="61" t="n"/>
      <c r="G30" s="62" t="n"/>
      <c r="H30" s="62" t="n"/>
      <c r="I30" s="60" t="n"/>
      <c r="J30" s="60" t="n"/>
      <c r="K30" s="63">
        <f>IF(I30&gt;0, J30/I30, "")</f>
        <v/>
      </c>
      <c r="L30" s="61" t="n"/>
      <c r="M30" s="61" t="n"/>
    </row>
    <row r="31" ht="20" customHeight="1">
      <c r="B31" s="60" t="n"/>
      <c r="C31" s="60" t="n"/>
      <c r="D31" s="61" t="n"/>
      <c r="E31" s="61" t="n"/>
      <c r="F31" s="61" t="n"/>
      <c r="G31" s="62" t="n"/>
      <c r="H31" s="62" t="n"/>
      <c r="I31" s="60" t="n"/>
      <c r="J31" s="60" t="n"/>
      <c r="K31" s="63">
        <f>IF(I31&gt;0, J31/I31, "")</f>
        <v/>
      </c>
      <c r="L31" s="61" t="n"/>
      <c r="M31" s="61" t="n"/>
    </row>
    <row r="32" ht="20" customHeight="1">
      <c r="B32" s="60" t="n"/>
      <c r="C32" s="60" t="n"/>
      <c r="D32" s="61" t="n"/>
      <c r="E32" s="61" t="n"/>
      <c r="F32" s="61" t="n"/>
      <c r="G32" s="62" t="n"/>
      <c r="H32" s="62" t="n"/>
      <c r="I32" s="60" t="n"/>
      <c r="J32" s="60" t="n"/>
      <c r="K32" s="63">
        <f>IF(I32&gt;0, J32/I32, "")</f>
        <v/>
      </c>
      <c r="L32" s="61" t="n"/>
      <c r="M32" s="61" t="n"/>
    </row>
    <row r="33" ht="20" customHeight="1">
      <c r="B33" s="60" t="n"/>
      <c r="C33" s="60" t="n"/>
      <c r="D33" s="61" t="n"/>
      <c r="E33" s="61" t="n"/>
      <c r="F33" s="61" t="n"/>
      <c r="G33" s="62" t="n"/>
      <c r="H33" s="62" t="n"/>
      <c r="I33" s="60" t="n"/>
      <c r="J33" s="60" t="n"/>
      <c r="K33" s="63">
        <f>IF(I33&gt;0, J33/I33, "")</f>
        <v/>
      </c>
      <c r="L33" s="61" t="n"/>
      <c r="M33" s="61" t="n"/>
    </row>
    <row r="34" ht="20" customHeight="1">
      <c r="B34" s="60" t="n"/>
      <c r="C34" s="60" t="n"/>
      <c r="D34" s="61" t="n"/>
      <c r="E34" s="61" t="n"/>
      <c r="F34" s="61" t="n"/>
      <c r="G34" s="62" t="n"/>
      <c r="H34" s="62" t="n"/>
      <c r="I34" s="60" t="n"/>
      <c r="J34" s="60" t="n"/>
      <c r="K34" s="63">
        <f>IF(I34&gt;0, J34/I34, "")</f>
        <v/>
      </c>
      <c r="L34" s="61" t="n"/>
      <c r="M34" s="61" t="n"/>
    </row>
    <row r="35" ht="20" customHeight="1">
      <c r="B35" s="60" t="n"/>
      <c r="C35" s="60" t="n"/>
      <c r="D35" s="61" t="n"/>
      <c r="E35" s="61" t="n"/>
      <c r="F35" s="61" t="n"/>
      <c r="G35" s="62" t="n"/>
      <c r="H35" s="62" t="n"/>
      <c r="I35" s="60" t="n"/>
      <c r="J35" s="60" t="n"/>
      <c r="K35" s="63">
        <f>IF(I35&gt;0, J35/I35, "")</f>
        <v/>
      </c>
      <c r="L35" s="61" t="n"/>
      <c r="M35" s="61" t="n"/>
    </row>
    <row r="36" ht="20" customHeight="1">
      <c r="B36" s="60" t="n"/>
      <c r="C36" s="60" t="n"/>
      <c r="D36" s="61" t="n"/>
      <c r="E36" s="61" t="n"/>
      <c r="F36" s="61" t="n"/>
      <c r="G36" s="62" t="n"/>
      <c r="H36" s="62" t="n"/>
      <c r="I36" s="60" t="n"/>
      <c r="J36" s="60" t="n"/>
      <c r="K36" s="63">
        <f>IF(I36&gt;0, J36/I36, "")</f>
        <v/>
      </c>
      <c r="L36" s="61" t="n"/>
      <c r="M36" s="61" t="n"/>
    </row>
    <row r="37" ht="20" customHeight="1">
      <c r="B37" s="60" t="n"/>
      <c r="C37" s="60" t="n"/>
      <c r="D37" s="61" t="n"/>
      <c r="E37" s="61" t="n"/>
      <c r="F37" s="61" t="n"/>
      <c r="G37" s="62" t="n"/>
      <c r="H37" s="62" t="n"/>
      <c r="I37" s="60" t="n"/>
      <c r="J37" s="60" t="n"/>
      <c r="K37" s="63">
        <f>IF(I37&gt;0, J37/I37, "")</f>
        <v/>
      </c>
      <c r="L37" s="61" t="n"/>
      <c r="M37" s="61" t="n"/>
    </row>
    <row r="38" ht="20" customHeight="1">
      <c r="B38" s="60" t="n"/>
      <c r="C38" s="60" t="n"/>
      <c r="D38" s="61" t="n"/>
      <c r="E38" s="61" t="n"/>
      <c r="F38" s="61" t="n"/>
      <c r="G38" s="62" t="n"/>
      <c r="H38" s="62" t="n"/>
      <c r="I38" s="60" t="n"/>
      <c r="J38" s="60" t="n"/>
      <c r="K38" s="63">
        <f>IF(I38&gt;0, J38/I38, "")</f>
        <v/>
      </c>
      <c r="L38" s="61" t="n"/>
      <c r="M38" s="61" t="n"/>
    </row>
    <row r="39" ht="20" customHeight="1">
      <c r="B39" s="60" t="n"/>
      <c r="C39" s="60" t="n"/>
      <c r="D39" s="61" t="n"/>
      <c r="E39" s="61" t="n"/>
      <c r="F39" s="61" t="n"/>
      <c r="G39" s="62" t="n"/>
      <c r="H39" s="62" t="n"/>
      <c r="I39" s="60" t="n"/>
      <c r="J39" s="60" t="n"/>
      <c r="K39" s="63">
        <f>IF(I39&gt;0, J39/I39, "")</f>
        <v/>
      </c>
      <c r="L39" s="61" t="n"/>
      <c r="M39" s="61" t="n"/>
    </row>
    <row r="40" ht="20" customHeight="1">
      <c r="B40" s="60" t="n"/>
      <c r="C40" s="60" t="n"/>
      <c r="D40" s="61" t="n"/>
      <c r="E40" s="61" t="n"/>
      <c r="F40" s="61" t="n"/>
      <c r="G40" s="62" t="n"/>
      <c r="H40" s="62" t="n"/>
      <c r="I40" s="60" t="n"/>
      <c r="J40" s="60" t="n"/>
      <c r="K40" s="63">
        <f>IF(I40&gt;0, J40/I40, "")</f>
        <v/>
      </c>
      <c r="L40" s="61" t="n"/>
      <c r="M40" s="61" t="n"/>
    </row>
    <row r="41" ht="20" customHeight="1">
      <c r="B41" s="60" t="n"/>
      <c r="C41" s="60" t="n"/>
      <c r="D41" s="61" t="n"/>
      <c r="E41" s="61" t="n"/>
      <c r="F41" s="61" t="n"/>
      <c r="G41" s="62" t="n"/>
      <c r="H41" s="62" t="n"/>
      <c r="I41" s="60" t="n"/>
      <c r="J41" s="60" t="n"/>
      <c r="K41" s="63">
        <f>IF(I41&gt;0, J41/I41, "")</f>
        <v/>
      </c>
      <c r="L41" s="61" t="n"/>
      <c r="M41" s="61" t="n"/>
    </row>
    <row r="42" ht="20" customHeight="1">
      <c r="B42" s="60" t="n"/>
      <c r="C42" s="60" t="n"/>
      <c r="D42" s="61" t="n"/>
      <c r="E42" s="61" t="n"/>
      <c r="F42" s="61" t="n"/>
      <c r="G42" s="62" t="n"/>
      <c r="H42" s="62" t="n"/>
      <c r="I42" s="60" t="n"/>
      <c r="J42" s="60" t="n"/>
      <c r="K42" s="63">
        <f>IF(I42&gt;0, J42/I42, "")</f>
        <v/>
      </c>
      <c r="L42" s="61" t="n"/>
      <c r="M42" s="61" t="n"/>
    </row>
    <row r="43" ht="20" customHeight="1">
      <c r="B43" s="60" t="n"/>
      <c r="C43" s="60" t="n"/>
      <c r="D43" s="61" t="n"/>
      <c r="E43" s="61" t="n"/>
      <c r="F43" s="61" t="n"/>
      <c r="G43" s="62" t="n"/>
      <c r="H43" s="62" t="n"/>
      <c r="I43" s="60" t="n"/>
      <c r="J43" s="60" t="n"/>
      <c r="K43" s="63">
        <f>IF(I43&gt;0, J43/I43, "")</f>
        <v/>
      </c>
      <c r="L43" s="61" t="n"/>
      <c r="M43" s="61" t="n"/>
    </row>
    <row r="44" ht="20" customHeight="1">
      <c r="B44" s="60" t="n"/>
      <c r="C44" s="60" t="n"/>
      <c r="D44" s="61" t="n"/>
      <c r="E44" s="61" t="n"/>
      <c r="F44" s="61" t="n"/>
      <c r="G44" s="62" t="n"/>
      <c r="H44" s="62" t="n"/>
      <c r="I44" s="60" t="n"/>
      <c r="J44" s="60" t="n"/>
      <c r="K44" s="63">
        <f>IF(I44&gt;0, J44/I44, "")</f>
        <v/>
      </c>
      <c r="L44" s="61" t="n"/>
      <c r="M44" s="61" t="n"/>
    </row>
    <row r="45" ht="20" customHeight="1">
      <c r="B45" s="60" t="n"/>
      <c r="C45" s="60" t="n"/>
      <c r="D45" s="61" t="n"/>
      <c r="E45" s="61" t="n"/>
      <c r="F45" s="61" t="n"/>
      <c r="G45" s="62" t="n"/>
      <c r="H45" s="62" t="n"/>
      <c r="I45" s="60" t="n"/>
      <c r="J45" s="60" t="n"/>
      <c r="K45" s="63">
        <f>IF(I45&gt;0, J45/I45, "")</f>
        <v/>
      </c>
      <c r="L45" s="61" t="n"/>
      <c r="M45" s="61" t="n"/>
    </row>
    <row r="46" ht="20" customHeight="1">
      <c r="B46" s="60" t="n"/>
      <c r="C46" s="60" t="n"/>
      <c r="D46" s="61" t="n"/>
      <c r="E46" s="61" t="n"/>
      <c r="F46" s="61" t="n"/>
      <c r="G46" s="62" t="n"/>
      <c r="H46" s="62" t="n"/>
      <c r="I46" s="60" t="n"/>
      <c r="J46" s="60" t="n"/>
      <c r="K46" s="63">
        <f>IF(I46&gt;0, J46/I46, "")</f>
        <v/>
      </c>
      <c r="L46" s="61" t="n"/>
      <c r="M46" s="61" t="n"/>
    </row>
    <row r="47" ht="20" customHeight="1">
      <c r="B47" s="60" t="n"/>
      <c r="C47" s="60" t="n"/>
      <c r="D47" s="61" t="n"/>
      <c r="E47" s="61" t="n"/>
      <c r="F47" s="61" t="n"/>
      <c r="G47" s="62" t="n"/>
      <c r="H47" s="62" t="n"/>
      <c r="I47" s="60" t="n"/>
      <c r="J47" s="60" t="n"/>
      <c r="K47" s="63">
        <f>IF(I47&gt;0, J47/I47, "")</f>
        <v/>
      </c>
      <c r="L47" s="61" t="n"/>
      <c r="M47" s="61" t="n"/>
    </row>
    <row r="48" ht="20" customHeight="1">
      <c r="B48" s="60" t="n"/>
      <c r="C48" s="60" t="n"/>
      <c r="D48" s="61" t="n"/>
      <c r="E48" s="61" t="n"/>
      <c r="F48" s="61" t="n"/>
      <c r="G48" s="62" t="n"/>
      <c r="H48" s="62" t="n"/>
      <c r="I48" s="60" t="n"/>
      <c r="J48" s="60" t="n"/>
      <c r="K48" s="63">
        <f>IF(I48&gt;0, J48/I48, "")</f>
        <v/>
      </c>
      <c r="L48" s="61" t="n"/>
      <c r="M48" s="61" t="n"/>
    </row>
    <row r="49" ht="20" customHeight="1">
      <c r="B49" s="60" t="n"/>
      <c r="C49" s="60" t="n"/>
      <c r="D49" s="61" t="n"/>
      <c r="E49" s="61" t="n"/>
      <c r="F49" s="61" t="n"/>
      <c r="G49" s="62" t="n"/>
      <c r="H49" s="62" t="n"/>
      <c r="I49" s="60" t="n"/>
      <c r="J49" s="60" t="n"/>
      <c r="K49" s="63">
        <f>IF(I49&gt;0, J49/I49, "")</f>
        <v/>
      </c>
      <c r="L49" s="61" t="n"/>
      <c r="M49" s="61" t="n"/>
    </row>
    <row r="50" ht="20" customHeight="1">
      <c r="B50" s="60" t="n"/>
      <c r="C50" s="60" t="n"/>
      <c r="D50" s="61" t="n"/>
      <c r="E50" s="61" t="n"/>
      <c r="F50" s="61" t="n"/>
      <c r="G50" s="62" t="n"/>
      <c r="H50" s="62" t="n"/>
      <c r="I50" s="60" t="n"/>
      <c r="J50" s="60" t="n"/>
      <c r="K50" s="63">
        <f>IF(I50&gt;0, J50/I50, "")</f>
        <v/>
      </c>
      <c r="L50" s="61" t="n"/>
      <c r="M50" s="61" t="n"/>
    </row>
    <row r="51" ht="20" customHeight="1">
      <c r="B51" s="60" t="n"/>
      <c r="C51" s="60" t="n"/>
      <c r="D51" s="61" t="n"/>
      <c r="E51" s="61" t="n"/>
      <c r="F51" s="61" t="n"/>
      <c r="G51" s="62" t="n"/>
      <c r="H51" s="62" t="n"/>
      <c r="I51" s="60" t="n"/>
      <c r="J51" s="60" t="n"/>
      <c r="K51" s="63">
        <f>IF(I51&gt;0, J51/I51, "")</f>
        <v/>
      </c>
      <c r="L51" s="61" t="n"/>
      <c r="M51" s="61" t="n"/>
    </row>
    <row r="52" ht="20" customHeight="1">
      <c r="B52" s="60" t="n"/>
      <c r="C52" s="60" t="n"/>
      <c r="D52" s="61" t="n"/>
      <c r="E52" s="61" t="n"/>
      <c r="F52" s="61" t="n"/>
      <c r="G52" s="62" t="n"/>
      <c r="H52" s="62" t="n"/>
      <c r="I52" s="60" t="n"/>
      <c r="J52" s="60" t="n"/>
      <c r="K52" s="63">
        <f>IF(I52&gt;0, J52/I52, "")</f>
        <v/>
      </c>
      <c r="L52" s="61" t="n"/>
      <c r="M52" s="61" t="n"/>
    </row>
    <row r="53" ht="20" customHeight="1">
      <c r="B53" s="60" t="n"/>
      <c r="C53" s="60" t="n"/>
      <c r="D53" s="61" t="n"/>
      <c r="E53" s="61" t="n"/>
      <c r="F53" s="61" t="n"/>
      <c r="G53" s="62" t="n"/>
      <c r="H53" s="62" t="n"/>
      <c r="I53" s="60" t="n"/>
      <c r="J53" s="60" t="n"/>
      <c r="K53" s="63">
        <f>IF(I53&gt;0, J53/I53, "")</f>
        <v/>
      </c>
      <c r="L53" s="61" t="n"/>
      <c r="M53" s="61" t="n"/>
    </row>
    <row r="54" ht="20" customHeight="1">
      <c r="B54" s="60" t="n"/>
      <c r="C54" s="60" t="n"/>
      <c r="D54" s="61" t="n"/>
      <c r="E54" s="61" t="n"/>
      <c r="F54" s="61" t="n"/>
      <c r="G54" s="62" t="n"/>
      <c r="H54" s="62" t="n"/>
      <c r="I54" s="60" t="n"/>
      <c r="J54" s="60" t="n"/>
      <c r="K54" s="63">
        <f>IF(I54&gt;0, J54/I54, "")</f>
        <v/>
      </c>
      <c r="L54" s="61" t="n"/>
      <c r="M54" s="61" t="n"/>
    </row>
    <row r="55" ht="20" customHeight="1">
      <c r="B55" s="60" t="n"/>
      <c r="C55" s="60" t="n"/>
      <c r="D55" s="61" t="n"/>
      <c r="E55" s="61" t="n"/>
      <c r="F55" s="61" t="n"/>
      <c r="G55" s="62" t="n"/>
      <c r="H55" s="62" t="n"/>
      <c r="I55" s="60" t="n"/>
      <c r="J55" s="60" t="n"/>
      <c r="K55" s="63">
        <f>IF(I55&gt;0, J55/I55, "")</f>
        <v/>
      </c>
      <c r="L55" s="61" t="n"/>
      <c r="M55" s="61" t="n"/>
    </row>
    <row r="56" ht="20" customHeight="1">
      <c r="B56" s="60" t="n"/>
      <c r="C56" s="60" t="n"/>
      <c r="D56" s="61" t="n"/>
      <c r="E56" s="61" t="n"/>
      <c r="F56" s="61" t="n"/>
      <c r="G56" s="62" t="n"/>
      <c r="H56" s="62" t="n"/>
      <c r="I56" s="60" t="n"/>
      <c r="J56" s="60" t="n"/>
      <c r="K56" s="63">
        <f>IF(I56&gt;0, J56/I56, "")</f>
        <v/>
      </c>
      <c r="L56" s="61" t="n"/>
      <c r="M56" s="61" t="n"/>
    </row>
    <row r="57" ht="20" customHeight="1">
      <c r="B57" s="60" t="n"/>
      <c r="C57" s="60" t="n"/>
      <c r="D57" s="61" t="n"/>
      <c r="E57" s="61" t="n"/>
      <c r="F57" s="61" t="n"/>
      <c r="G57" s="62" t="n"/>
      <c r="H57" s="62" t="n"/>
      <c r="I57" s="60" t="n"/>
      <c r="J57" s="60" t="n"/>
      <c r="K57" s="63">
        <f>IF(I57&gt;0, J57/I57, "")</f>
        <v/>
      </c>
      <c r="L57" s="61" t="n"/>
      <c r="M57" s="61" t="n"/>
    </row>
    <row r="58" ht="20" customHeight="1">
      <c r="B58" s="60" t="n"/>
      <c r="C58" s="60" t="n"/>
      <c r="D58" s="61" t="n"/>
      <c r="E58" s="61" t="n"/>
      <c r="F58" s="61" t="n"/>
      <c r="G58" s="62" t="n"/>
      <c r="H58" s="62" t="n"/>
      <c r="I58" s="60" t="n"/>
      <c r="J58" s="60" t="n"/>
      <c r="K58" s="63">
        <f>IF(I58&gt;0, J58/I58, "")</f>
        <v/>
      </c>
      <c r="L58" s="61" t="n"/>
      <c r="M58" s="61" t="n"/>
    </row>
    <row r="59" ht="20" customHeight="1">
      <c r="B59" s="60" t="n"/>
      <c r="C59" s="60" t="n"/>
      <c r="D59" s="61" t="n"/>
      <c r="E59" s="61" t="n"/>
      <c r="F59" s="61" t="n"/>
      <c r="G59" s="62" t="n"/>
      <c r="H59" s="62" t="n"/>
      <c r="I59" s="60" t="n"/>
      <c r="J59" s="60" t="n"/>
      <c r="K59" s="63">
        <f>IF(I59&gt;0, J59/I59, "")</f>
        <v/>
      </c>
      <c r="L59" s="61" t="n"/>
      <c r="M59" s="61" t="n"/>
    </row>
    <row r="60" ht="20" customHeight="1">
      <c r="B60" s="60" t="n"/>
      <c r="C60" s="60" t="n"/>
      <c r="D60" s="61" t="n"/>
      <c r="E60" s="61" t="n"/>
      <c r="F60" s="61" t="n"/>
      <c r="G60" s="62" t="n"/>
      <c r="H60" s="62" t="n"/>
      <c r="I60" s="60" t="n"/>
      <c r="J60" s="60" t="n"/>
      <c r="K60" s="63">
        <f>IF(I60&gt;0, J60/I60, "")</f>
        <v/>
      </c>
      <c r="L60" s="61" t="n"/>
      <c r="M60" s="6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2026-08-19T20:30:46Z</dcterms:created>
  <dcterms:modified xmlns:dcterms="http://purl.org/dc/terms/" xmlns:xsi="http://www.w3.org/2001/XMLSchema-instance" xsi:type="dcterms:W3CDTF">2026-09-11T11:38:44Z</dcterms:modified>
</cp:coreProperties>
</file>