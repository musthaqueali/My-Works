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⚡ Chevron Live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 &quot;h&quot;"/>
    <numFmt numFmtId="165" formatCode="0 &quot;active&quot;"/>
    <numFmt numFmtId="166" formatCode="0 &quot;tasks&quot;"/>
    <numFmt numFmtId="167" formatCode="0.0"/>
    <numFmt numFmtId="168" formatCode="0.0 &quot;hrs&quot;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3594"/>
      <sz val="13"/>
    </font>
    <font>
      <name val="Segoe UI"/>
      <i val="1"/>
      <color rgb="0064748B"/>
      <sz val="9"/>
    </font>
    <font>
      <name val="Segoe UI"/>
      <b val="1"/>
      <color rgb="0064748B"/>
      <sz val="9"/>
    </font>
    <font>
      <name val="Segoe UI"/>
      <b val="1"/>
      <color rgb="00003594"/>
      <sz val="20"/>
    </font>
    <font>
      <name val="Segoe UI"/>
      <i val="1"/>
      <color rgb="0064748B"/>
      <sz val="8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003594"/>
      <sz val="11"/>
    </font>
    <font>
      <name val="Segoe UI"/>
      <color rgb="0064748B"/>
      <sz val="8"/>
    </font>
  </fonts>
  <fills count="11">
    <fill>
      <patternFill/>
    </fill>
    <fill>
      <patternFill patternType="gray125"/>
    </fill>
    <fill>
      <patternFill patternType="solid">
        <fgColor rgb="00003594"/>
        <bgColor rgb="00003594"/>
      </patternFill>
    </fill>
    <fill>
      <patternFill patternType="solid">
        <fgColor rgb="00FEF08A"/>
        <bgColor rgb="00FEF08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1E293B"/>
        <bgColor rgb="001E293B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003594"/>
      </left>
      <right style="medium">
        <color rgb="00003594"/>
      </right>
      <top style="medium">
        <color rgb="00003594"/>
      </top>
      <bottom style="medium">
        <color rgb="0000359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0359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11" fillId="0" borderId="0" pivotButton="0" quotePrefix="0" xfId="0"/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167" fontId="8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9" borderId="3" pivotButton="0" quotePrefix="0" xfId="0"/>
    <xf numFmtId="0" fontId="0" fillId="9" borderId="3" pivotButton="0" quotePrefix="0" xfId="0"/>
    <xf numFmtId="168" fontId="10" fillId="9" borderId="3" applyAlignment="1" pivotButton="0" quotePrefix="0" xfId="0">
      <alignment horizontal="right" vertical="center"/>
    </xf>
    <xf numFmtId="0" fontId="8" fillId="9" borderId="3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7" fontId="9" fillId="7" borderId="1" applyAlignment="1" pivotButton="0" quotePrefix="0" xfId="0">
      <alignment horizontal="right" vertical="center"/>
    </xf>
    <xf numFmtId="167" fontId="9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81050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N30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2" customWidth="1" min="4" max="4"/>
    <col width="46" customWidth="1" min="5" max="5"/>
    <col width="28" customWidth="1" min="6" max="6"/>
    <col width="15" customWidth="1" min="7" max="7"/>
    <col width="13" customWidth="1" min="8" max="8"/>
    <col width="13" customWidth="1" min="9" max="9"/>
    <col width="24" customWidth="1" min="10" max="10"/>
    <col width="25" customWidth="1" min="11" max="11"/>
    <col width="12" customWidth="1" min="12" max="12"/>
    <col width="8" customWidth="1" min="13" max="13"/>
    <col width="25" customWidth="1" min="14" max="14"/>
  </cols>
  <sheetData>
    <row r="7" ht="28" customHeight="1">
      <c r="B7" s="1" t="inlineStr">
        <is>
          <t>📅 ACTIVE TRACKER DATE:</t>
        </is>
      </c>
      <c r="C7" s="2" t="n"/>
      <c r="D7" s="3" t="inlineStr">
        <is>
          <t>2026-08-08</t>
        </is>
      </c>
      <c r="E7" s="4" t="n"/>
      <c r="F7" s="5" t="inlineStr">
        <is>
          <t>💡 Change date to 2026-08-08, 2026-08-06 or type any date — all Dashboard KPIs &amp; Analytics update live!</t>
        </is>
      </c>
      <c r="L7" s="6" t="inlineStr">
        <is>
          <t>Lookup Dates</t>
        </is>
      </c>
      <c r="M7" s="6" t="inlineStr">
        <is>
          <t>Yes/No</t>
        </is>
      </c>
      <c r="N7" s="6" t="inlineStr">
        <is>
          <t>Categories</t>
        </is>
      </c>
    </row>
    <row r="8">
      <c r="L8" s="7" t="inlineStr">
        <is>
          <t>2026-08-01</t>
        </is>
      </c>
      <c r="M8" s="7" t="inlineStr">
        <is>
          <t>Yes</t>
        </is>
      </c>
      <c r="N8" s="7" t="inlineStr">
        <is>
          <t>Tank Datamining</t>
        </is>
      </c>
    </row>
    <row r="9">
      <c r="B9" s="8" t="inlineStr">
        <is>
          <t>TOTAL TEAM HOURS</t>
        </is>
      </c>
      <c r="C9" s="2" t="n"/>
      <c r="D9" s="8" t="inlineStr">
        <is>
          <t>MEMBERS LOGGED</t>
        </is>
      </c>
      <c r="E9" s="2" t="n"/>
      <c r="F9" s="8" t="inlineStr">
        <is>
          <t>HIGHLIGHTED TASKS</t>
        </is>
      </c>
      <c r="G9" s="2" t="n"/>
      <c r="H9" s="8" t="inlineStr">
        <is>
          <t>LABOR TASKS LOGGED</t>
        </is>
      </c>
      <c r="I9" s="2" t="n"/>
      <c r="L9" s="7" t="inlineStr">
        <is>
          <t>2026-08-02</t>
        </is>
      </c>
      <c r="M9" s="7" t="inlineStr">
        <is>
          <t>No</t>
        </is>
      </c>
      <c r="N9" s="7" t="inlineStr">
        <is>
          <t>Visual Inspection Analysis</t>
        </is>
      </c>
    </row>
    <row r="10">
      <c r="B10" s="9">
        <f>SUMIFS(H36:H500, B36:B500, D7)</f>
        <v/>
      </c>
      <c r="C10" s="2" t="n"/>
      <c r="D10" s="10">
        <f>COUNTIFS(B36:B500, D7, H36:H500, "&gt;0")</f>
        <v/>
      </c>
      <c r="E10" s="2" t="n"/>
      <c r="F10" s="11">
        <f>COUNTIFS(B36:B500, D7, I36:I500, "Yes")</f>
        <v/>
      </c>
      <c r="G10" s="2" t="n"/>
      <c r="H10" s="9">
        <f>SUMIFS(H36:H500, B36:B500, D7, J36:J500, "Yes")</f>
        <v/>
      </c>
      <c r="I10" s="2" t="n"/>
      <c r="L10" s="7" t="inlineStr">
        <is>
          <t>2026-08-03</t>
        </is>
      </c>
      <c r="N10" s="7" t="inlineStr">
        <is>
          <t>Calculations &amp; Thickness Review</t>
        </is>
      </c>
    </row>
    <row r="11">
      <c r="B11" s="2" t="n"/>
      <c r="C11" s="2" t="n"/>
      <c r="D11" s="2" t="n"/>
      <c r="E11" s="2" t="n"/>
      <c r="F11" s="2" t="n"/>
      <c r="G11" s="2" t="n"/>
      <c r="H11" s="2" t="n"/>
      <c r="I11" s="2" t="n"/>
      <c r="L11" s="7" t="inlineStr">
        <is>
          <t>2026-08-04</t>
        </is>
      </c>
      <c r="N11" s="7" t="inlineStr">
        <is>
          <t>Drawings &amp; Traceability</t>
        </is>
      </c>
    </row>
    <row r="12">
      <c r="B12" s="12" t="inlineStr">
        <is>
          <t>hours on selected date</t>
        </is>
      </c>
      <c r="C12" s="2" t="n"/>
      <c r="D12" s="12" t="inlineStr">
        <is>
          <t>of 12 analysts active</t>
        </is>
      </c>
      <c r="E12" s="2" t="n"/>
      <c r="F12" s="12" t="inlineStr">
        <is>
          <t>key project milestones</t>
        </is>
      </c>
      <c r="G12" s="2" t="n"/>
      <c r="H12" s="12" t="inlineStr">
        <is>
          <t>operational labor hours</t>
        </is>
      </c>
      <c r="I12" s="2" t="n"/>
      <c r="L12" s="7" t="inlineStr">
        <is>
          <t>2026-08-05</t>
        </is>
      </c>
      <c r="N12" s="7" t="inlineStr">
        <is>
          <t>Damage Mechanism Review</t>
        </is>
      </c>
    </row>
    <row r="13">
      <c r="L13" s="7" t="inlineStr">
        <is>
          <t>2026-08-06</t>
        </is>
      </c>
      <c r="N13" s="7" t="inlineStr">
        <is>
          <t>QA / QC Verification</t>
        </is>
      </c>
    </row>
    <row r="14" ht="22" customHeight="1">
      <c r="B14" s="13" t="inlineStr">
        <is>
          <t>⚡ DAILY TASK &amp; TIME ENTRY BOARD (ACTIVE DATE)</t>
        </is>
      </c>
      <c r="L14" s="7" t="inlineStr">
        <is>
          <t>2026-08-07</t>
        </is>
      </c>
      <c r="N14" s="7" t="inlineStr">
        <is>
          <t>Reporting &amp; Deliverables</t>
        </is>
      </c>
    </row>
    <row r="15">
      <c r="B15" s="14" t="inlineStr">
        <is>
          <t>Each team member can fill their Task Description and Amount of Time below. Status &amp; Top KPIs recalculate live.</t>
        </is>
      </c>
      <c r="L15" s="7" t="inlineStr">
        <is>
          <t>2026-08-08</t>
        </is>
      </c>
      <c r="N15" s="7" t="inlineStr">
        <is>
          <t>Team Standup &amp; Coordination</t>
        </is>
      </c>
    </row>
    <row r="16" ht="24" customHeight="1">
      <c r="B16" s="15" t="inlineStr">
        <is>
          <t>Member Name</t>
        </is>
      </c>
      <c r="C16" s="15" t="inlineStr">
        <is>
          <t>Official Designation</t>
        </is>
      </c>
      <c r="D16" s="15" t="inlineStr">
        <is>
          <t>Loc</t>
        </is>
      </c>
      <c r="E16" s="15" t="inlineStr">
        <is>
          <t>Task Description &amp; Deliverables (What you worked on)</t>
        </is>
      </c>
      <c r="F16" s="15" t="inlineStr">
        <is>
          <t>Task Category</t>
        </is>
      </c>
      <c r="G16" s="15" t="inlineStr">
        <is>
          <t>Time Invested (Hours)</t>
        </is>
      </c>
      <c r="H16" s="15" t="inlineStr">
        <is>
          <t>Highlight?</t>
        </is>
      </c>
      <c r="I16" s="15" t="inlineStr">
        <is>
          <t>Labor?</t>
        </is>
      </c>
      <c r="J16" s="15" t="inlineStr">
        <is>
          <t>Live Status</t>
        </is>
      </c>
      <c r="L16" s="7" t="inlineStr">
        <is>
          <t>2026-08-09</t>
        </is>
      </c>
    </row>
    <row r="17" ht="22" customHeight="1">
      <c r="B17" s="16" t="inlineStr">
        <is>
          <t>Musthaque Ali</t>
        </is>
      </c>
      <c r="C17" s="17" t="inlineStr">
        <is>
          <t>Reliability Data Analyst</t>
        </is>
      </c>
      <c r="D17" s="18" t="inlineStr">
        <is>
          <t>Global</t>
        </is>
      </c>
      <c r="E17" s="17" t="inlineStr">
        <is>
          <t>Verified flange calculations and SK1 drawing traceability</t>
        </is>
      </c>
      <c r="F17" s="17" t="inlineStr">
        <is>
          <t>Calculations &amp; Thickness Review</t>
        </is>
      </c>
      <c r="G17" s="19" t="n">
        <v>4.5</v>
      </c>
      <c r="H17" s="20" t="inlineStr">
        <is>
          <t>Yes</t>
        </is>
      </c>
      <c r="I17" s="18" t="inlineStr">
        <is>
          <t>No</t>
        </is>
      </c>
      <c r="J17" s="21">
        <f>IF(G17&gt;0, "✅ Logged", "⏳ Pending")</f>
        <v/>
      </c>
      <c r="L17" s="7" t="inlineStr">
        <is>
          <t>2026-08-10</t>
        </is>
      </c>
    </row>
    <row r="18" ht="22" customHeight="1">
      <c r="B18" s="22" t="inlineStr">
        <is>
          <t>Anjani Dara</t>
        </is>
      </c>
      <c r="C18" s="23" t="inlineStr">
        <is>
          <t>Reliability Data Analyst</t>
        </is>
      </c>
      <c r="D18" s="24" t="inlineStr">
        <is>
          <t>Global</t>
        </is>
      </c>
      <c r="E18" s="23" t="inlineStr">
        <is>
          <t>Reviewed external visual inspection reports 04-21-2008 &amp; 12-19-2017</t>
        </is>
      </c>
      <c r="F18" s="23" t="inlineStr">
        <is>
          <t>Visual Inspection Analysis</t>
        </is>
      </c>
      <c r="G18" s="25" t="n">
        <v>5</v>
      </c>
      <c r="H18" s="24" t="inlineStr">
        <is>
          <t>No</t>
        </is>
      </c>
      <c r="I18" s="26" t="inlineStr">
        <is>
          <t>Yes</t>
        </is>
      </c>
      <c r="J18" s="27">
        <f>IF(G18&gt;0, "✅ Logged", "⏳ Pending")</f>
        <v/>
      </c>
      <c r="L18" s="7" t="inlineStr">
        <is>
          <t>2026-08-11</t>
        </is>
      </c>
    </row>
    <row r="19" ht="22" customHeight="1">
      <c r="B19" s="16" t="inlineStr">
        <is>
          <t>Hana Sayed</t>
        </is>
      </c>
      <c r="C19" s="17" t="inlineStr">
        <is>
          <t>Reliability Data Analyst - India</t>
        </is>
      </c>
      <c r="D19" s="18" t="inlineStr">
        <is>
          <t>India</t>
        </is>
      </c>
      <c r="E19" s="17" t="inlineStr">
        <is>
          <t>Completed component makeup breakdown and corrosion mapping</t>
        </is>
      </c>
      <c r="F19" s="17" t="inlineStr">
        <is>
          <t>Damage Mechanism Review</t>
        </is>
      </c>
      <c r="G19" s="19" t="n">
        <v>4</v>
      </c>
      <c r="H19" s="20" t="inlineStr">
        <is>
          <t>Yes</t>
        </is>
      </c>
      <c r="I19" s="18" t="inlineStr">
        <is>
          <t>No</t>
        </is>
      </c>
      <c r="J19" s="21">
        <f>IF(G19&gt;0, "✅ Logged", "⏳ Pending")</f>
        <v/>
      </c>
      <c r="L19" s="7" t="inlineStr">
        <is>
          <t>2026-08-12</t>
        </is>
      </c>
    </row>
    <row r="20" ht="22" customHeight="1">
      <c r="B20" s="22" t="inlineStr">
        <is>
          <t>Mounika Pasunuti</t>
        </is>
      </c>
      <c r="C20" s="23" t="inlineStr">
        <is>
          <t>Reliability Data Analyst</t>
        </is>
      </c>
      <c r="D20" s="24" t="inlineStr">
        <is>
          <t>Global</t>
        </is>
      </c>
      <c r="E20" s="23" t="inlineStr">
        <is>
          <t>Conducted Tank Datamining procedures for X-3109 unit</t>
        </is>
      </c>
      <c r="F20" s="23" t="inlineStr">
        <is>
          <t>Tank Datamining</t>
        </is>
      </c>
      <c r="G20" s="25" t="n">
        <v>2</v>
      </c>
      <c r="H20" s="24" t="inlineStr">
        <is>
          <t>No</t>
        </is>
      </c>
      <c r="I20" s="24" t="inlineStr">
        <is>
          <t>No</t>
        </is>
      </c>
      <c r="J20" s="27">
        <f>IF(G20&gt;0, "✅ Logged", "⏳ Pending")</f>
        <v/>
      </c>
      <c r="L20" s="7" t="inlineStr">
        <is>
          <t>2026-08-13</t>
        </is>
      </c>
    </row>
    <row r="21" ht="22" customHeight="1">
      <c r="B21" s="16" t="inlineStr">
        <is>
          <t>Piyush Gupta</t>
        </is>
      </c>
      <c r="C21" s="17" t="inlineStr">
        <is>
          <t>Reliability Data Analyst - India</t>
        </is>
      </c>
      <c r="D21" s="18" t="inlineStr">
        <is>
          <t>India</t>
        </is>
      </c>
      <c r="E21" s="17" t="inlineStr">
        <is>
          <t>Verified Metalforms bundle repair drawings p1-p10 and calculations</t>
        </is>
      </c>
      <c r="F21" s="17" t="inlineStr">
        <is>
          <t>Drawings &amp; Traceability</t>
        </is>
      </c>
      <c r="G21" s="19" t="n">
        <v>3.5</v>
      </c>
      <c r="H21" s="18" t="inlineStr">
        <is>
          <t>No</t>
        </is>
      </c>
      <c r="I21" s="18" t="inlineStr">
        <is>
          <t>No</t>
        </is>
      </c>
      <c r="J21" s="21">
        <f>IF(G21&gt;0, "✅ Logged", "⏳ Pending")</f>
        <v/>
      </c>
      <c r="L21" s="7" t="inlineStr">
        <is>
          <t>2026-08-14</t>
        </is>
      </c>
    </row>
    <row r="22" ht="22" customHeight="1">
      <c r="B22" s="22" t="inlineStr">
        <is>
          <t>Priti Barman</t>
        </is>
      </c>
      <c r="C22" s="23" t="inlineStr">
        <is>
          <t>Reliability Data Analyst - India</t>
        </is>
      </c>
      <c r="D22" s="24" t="inlineStr">
        <is>
          <t>India</t>
        </is>
      </c>
      <c r="E22" s="23" t="inlineStr">
        <is>
          <t>Reviewed inspection isometric drawings and thickness data</t>
        </is>
      </c>
      <c r="F22" s="23" t="inlineStr">
        <is>
          <t>Visual Inspection Analysis</t>
        </is>
      </c>
      <c r="G22" s="25" t="n">
        <v>3</v>
      </c>
      <c r="H22" s="24" t="inlineStr">
        <is>
          <t>No</t>
        </is>
      </c>
      <c r="I22" s="24" t="inlineStr">
        <is>
          <t>No</t>
        </is>
      </c>
      <c r="J22" s="27">
        <f>IF(G22&gt;0, "✅ Logged", "⏳ Pending")</f>
        <v/>
      </c>
      <c r="L22" s="7" t="inlineStr">
        <is>
          <t>2026-08-15</t>
        </is>
      </c>
    </row>
    <row r="23" ht="22" customHeight="1">
      <c r="B23" s="16" t="inlineStr">
        <is>
          <t>Sandip Dey</t>
        </is>
      </c>
      <c r="C23" s="17" t="inlineStr">
        <is>
          <t>Reliability Data Analyst - India</t>
        </is>
      </c>
      <c r="D23" s="18" t="inlineStr">
        <is>
          <t>India</t>
        </is>
      </c>
      <c r="E23" s="17" t="inlineStr">
        <is>
          <t>Cross-checked material test certificates and flange specs</t>
        </is>
      </c>
      <c r="F23" s="17" t="inlineStr">
        <is>
          <t>QA / QC Verification</t>
        </is>
      </c>
      <c r="G23" s="19" t="n">
        <v>4</v>
      </c>
      <c r="H23" s="18" t="inlineStr">
        <is>
          <t>No</t>
        </is>
      </c>
      <c r="I23" s="18" t="inlineStr">
        <is>
          <t>No</t>
        </is>
      </c>
      <c r="J23" s="21">
        <f>IF(G23&gt;0, "✅ Logged", "⏳ Pending")</f>
        <v/>
      </c>
    </row>
    <row r="24" ht="22" customHeight="1">
      <c r="B24" s="22" t="inlineStr">
        <is>
          <t>Sayan Adhikary</t>
        </is>
      </c>
      <c r="C24" s="23" t="inlineStr">
        <is>
          <t>Reliability Data Analyst - India</t>
        </is>
      </c>
      <c r="D24" s="24" t="inlineStr">
        <is>
          <t>India</t>
        </is>
      </c>
      <c r="E24" s="23" t="inlineStr">
        <is>
          <t>Extracted API 580 damage mechanism damage tables</t>
        </is>
      </c>
      <c r="F24" s="23" t="inlineStr">
        <is>
          <t>Damage Mechanism Review</t>
        </is>
      </c>
      <c r="G24" s="25" t="n">
        <v>3.5</v>
      </c>
      <c r="H24" s="24" t="inlineStr">
        <is>
          <t>No</t>
        </is>
      </c>
      <c r="I24" s="24" t="inlineStr">
        <is>
          <t>No</t>
        </is>
      </c>
      <c r="J24" s="27">
        <f>IF(G24&gt;0, "✅ Logged", "⏳ Pending")</f>
        <v/>
      </c>
    </row>
    <row r="25" ht="22" customHeight="1">
      <c r="B25" s="16" t="inlineStr">
        <is>
          <t>Shivakumar Sunkari</t>
        </is>
      </c>
      <c r="C25" s="17" t="inlineStr">
        <is>
          <t>Reliability Data Analyst</t>
        </is>
      </c>
      <c r="D25" s="18" t="inlineStr">
        <is>
          <t>Global</t>
        </is>
      </c>
      <c r="E25" s="17" t="inlineStr">
        <is>
          <t>Analyzed shell thickness readings and minimum required thickness</t>
        </is>
      </c>
      <c r="F25" s="17" t="inlineStr">
        <is>
          <t>Calculations &amp; Thickness Review</t>
        </is>
      </c>
      <c r="G25" s="19" t="n">
        <v>4</v>
      </c>
      <c r="H25" s="18" t="inlineStr">
        <is>
          <t>No</t>
        </is>
      </c>
      <c r="I25" s="18" t="inlineStr">
        <is>
          <t>No</t>
        </is>
      </c>
      <c r="J25" s="21">
        <f>IF(G25&gt;0, "✅ Logged", "⏳ Pending")</f>
        <v/>
      </c>
    </row>
    <row r="26" ht="22" customHeight="1">
      <c r="B26" s="22" t="inlineStr">
        <is>
          <t>Soumen Jit</t>
        </is>
      </c>
      <c r="C26" s="23" t="inlineStr">
        <is>
          <t>Reliability Data Analyst - India</t>
        </is>
      </c>
      <c r="D26" s="24" t="inlineStr">
        <is>
          <t>India</t>
        </is>
      </c>
      <c r="E26" s="23" t="inlineStr">
        <is>
          <t>Validated U-1 form records and manufacturer data reports</t>
        </is>
      </c>
      <c r="F26" s="23" t="inlineStr">
        <is>
          <t>QA / QC Verification</t>
        </is>
      </c>
      <c r="G26" s="25" t="n">
        <v>3.5</v>
      </c>
      <c r="H26" s="24" t="inlineStr">
        <is>
          <t>No</t>
        </is>
      </c>
      <c r="I26" s="24" t="inlineStr">
        <is>
          <t>No</t>
        </is>
      </c>
      <c r="J26" s="27">
        <f>IF(G26&gt;0, "✅ Logged", "⏳ Pending")</f>
        <v/>
      </c>
    </row>
    <row r="27" ht="22" customHeight="1">
      <c r="B27" s="16" t="inlineStr">
        <is>
          <t>Srivalli Sunkari</t>
        </is>
      </c>
      <c r="C27" s="17" t="inlineStr">
        <is>
          <t>Reliability Data Analyst</t>
        </is>
      </c>
      <c r="D27" s="18" t="inlineStr">
        <is>
          <t>Global</t>
        </is>
      </c>
      <c r="E27" s="17" t="inlineStr">
        <is>
          <t>Updated reliability equipment hierarchy and component tags</t>
        </is>
      </c>
      <c r="F27" s="17" t="inlineStr">
        <is>
          <t>Reporting &amp; Deliverables</t>
        </is>
      </c>
      <c r="G27" s="19" t="n">
        <v>3</v>
      </c>
      <c r="H27" s="18" t="inlineStr">
        <is>
          <t>No</t>
        </is>
      </c>
      <c r="I27" s="18" t="inlineStr">
        <is>
          <t>No</t>
        </is>
      </c>
      <c r="J27" s="21">
        <f>IF(G27&gt;0, "✅ Logged", "⏳ Pending")</f>
        <v/>
      </c>
    </row>
    <row r="28" ht="22" customHeight="1">
      <c r="B28" s="22" t="inlineStr">
        <is>
          <t>Swapna Santhapuram</t>
        </is>
      </c>
      <c r="C28" s="23" t="inlineStr">
        <is>
          <t>Lead (Services) - India</t>
        </is>
      </c>
      <c r="D28" s="24" t="inlineStr">
        <is>
          <t>India</t>
        </is>
      </c>
      <c r="E28" s="23" t="inlineStr">
        <is>
          <t>Led Chevron deliverables sprint review and QA sign-offs</t>
        </is>
      </c>
      <c r="F28" s="23" t="inlineStr">
        <is>
          <t>Team Standup &amp; Coordination</t>
        </is>
      </c>
      <c r="G28" s="25" t="n">
        <v>2.5</v>
      </c>
      <c r="H28" s="20" t="inlineStr">
        <is>
          <t>Yes</t>
        </is>
      </c>
      <c r="I28" s="24" t="inlineStr">
        <is>
          <t>No</t>
        </is>
      </c>
      <c r="J28" s="27">
        <f>IF(G28&gt;0, "✅ Logged", "⏳ Pending")</f>
        <v/>
      </c>
    </row>
    <row r="29" ht="24" customHeight="1">
      <c r="B29" s="28" t="inlineStr">
        <is>
          <t>TODAY'S TEAM TOTALS</t>
        </is>
      </c>
      <c r="C29" s="29" t="inlineStr"/>
      <c r="D29" s="29" t="inlineStr"/>
      <c r="E29" s="29" t="inlineStr"/>
      <c r="F29" s="29" t="inlineStr"/>
      <c r="G29" s="30">
        <f>SUM(G17:G28)</f>
        <v/>
      </c>
      <c r="H29" s="31">
        <f>COUNTIF(H17:H28, "Yes")</f>
        <v/>
      </c>
      <c r="I29" s="31">
        <f>COUNTIF(I17:I28, "Yes")</f>
        <v/>
      </c>
      <c r="J29" s="31">
        <f>COUNTIF(G17:G28, "&gt;0") &amp; " / 12 Logged"</f>
        <v/>
      </c>
    </row>
    <row r="32" ht="22" customHeight="1">
      <c r="B32" s="13" t="inlineStr">
        <is>
          <t>📚 CONTINUOUS MASTER LOG REPOSITORY (ALL DATES ON SAME SHEET)</t>
        </is>
      </c>
    </row>
    <row r="33">
      <c r="B33" s="14" t="inlineStr">
        <is>
          <t>All daily records across all dates are recorded here. Changing Active Date in cell D7 filters the Top Dashboard automatically.</t>
        </is>
      </c>
    </row>
    <row r="35" ht="24" customHeight="1">
      <c r="A35" s="32" t="inlineStr">
        <is>
          <t>Log ID</t>
        </is>
      </c>
      <c r="B35" s="32" t="inlineStr">
        <is>
          <t>Date (YYYY-MM-DD)</t>
        </is>
      </c>
      <c r="C35" s="32" t="inlineStr">
        <is>
          <t>Team Member Name</t>
        </is>
      </c>
      <c r="D35" s="32" t="inlineStr">
        <is>
          <t>Official Designation</t>
        </is>
      </c>
      <c r="E35" s="32" t="inlineStr">
        <is>
          <t>Task Description &amp; Deliverables</t>
        </is>
      </c>
      <c r="F35" s="32" t="inlineStr">
        <is>
          <t>Task Category</t>
        </is>
      </c>
      <c r="G35" s="32" t="inlineStr">
        <is>
          <t>Time Invested (Hours)</t>
        </is>
      </c>
      <c r="H35" s="32" t="inlineStr">
        <is>
          <t>Highlight?</t>
        </is>
      </c>
      <c r="I35" s="32" t="inlineStr">
        <is>
          <t>Labor?</t>
        </is>
      </c>
      <c r="J35" s="32" t="inlineStr">
        <is>
          <t>Timestamp / Notes</t>
        </is>
      </c>
    </row>
    <row r="36" ht="20" customHeight="1">
      <c r="A36" s="24" t="inlineStr">
        <is>
          <t>LOG-001</t>
        </is>
      </c>
      <c r="B36" s="24" t="inlineStr">
        <is>
          <t>2026-08-06</t>
        </is>
      </c>
      <c r="C36" s="23" t="inlineStr">
        <is>
          <t>Mounika Pasunuti</t>
        </is>
      </c>
      <c r="D36" s="23">
        <f>IFERROR(VLOOKUP(C36, $B$17:$C$28, 2, FALSE), "")</f>
        <v/>
      </c>
      <c r="E36" s="23" t="inlineStr">
        <is>
          <t>Did Tank Datamining for X-3109 unit</t>
        </is>
      </c>
      <c r="F36" s="23" t="inlineStr">
        <is>
          <t>Tank Datamining</t>
        </is>
      </c>
      <c r="G36" s="33" t="n">
        <v>2</v>
      </c>
      <c r="H36" s="24" t="inlineStr">
        <is>
          <t>No</t>
        </is>
      </c>
      <c r="I36" s="24" t="inlineStr">
        <is>
          <t>No</t>
        </is>
      </c>
      <c r="J36" s="23" t="inlineStr">
        <is>
          <t>Baseline initial log</t>
        </is>
      </c>
    </row>
    <row r="37" ht="20" customHeight="1">
      <c r="A37" s="18" t="inlineStr">
        <is>
          <t>LOG-002</t>
        </is>
      </c>
      <c r="B37" s="18" t="inlineStr">
        <is>
          <t>2026-08-06</t>
        </is>
      </c>
      <c r="C37" s="17" t="inlineStr">
        <is>
          <t>Musthaque Ali</t>
        </is>
      </c>
      <c r="D37" s="17">
        <f>IFERROR(VLOOKUP(C37, $B$17:$C$28, 2, FALSE), "")</f>
        <v/>
      </c>
      <c r="E37" s="17" t="inlineStr">
        <is>
          <t>Initial review of equipment data sheets</t>
        </is>
      </c>
      <c r="F37" s="17" t="inlineStr">
        <is>
          <t>Calculations &amp; Thickness Review</t>
        </is>
      </c>
      <c r="G37" s="34" t="n">
        <v>3</v>
      </c>
      <c r="H37" s="18" t="inlineStr">
        <is>
          <t>No</t>
        </is>
      </c>
      <c r="I37" s="18" t="inlineStr">
        <is>
          <t>No</t>
        </is>
      </c>
      <c r="J37" s="17" t="inlineStr"/>
    </row>
    <row r="38" ht="20" customHeight="1">
      <c r="A38" s="24" t="inlineStr">
        <is>
          <t>LOG-003</t>
        </is>
      </c>
      <c r="B38" s="24" t="inlineStr">
        <is>
          <t>2026-08-08</t>
        </is>
      </c>
      <c r="C38" s="23" t="inlineStr">
        <is>
          <t>Musthaque Ali</t>
        </is>
      </c>
      <c r="D38" s="23">
        <f>IFERROR(VLOOKUP(C38, $B$17:$C$28, 2, FALSE), "")</f>
        <v/>
      </c>
      <c r="E38" s="23" t="inlineStr">
        <is>
          <t>Verified flange calculations &amp; SK1 drawing traceability</t>
        </is>
      </c>
      <c r="F38" s="23" t="inlineStr">
        <is>
          <t>Calculations &amp; Thickness Review</t>
        </is>
      </c>
      <c r="G38" s="33" t="n">
        <v>4.5</v>
      </c>
      <c r="H38" s="20" t="inlineStr">
        <is>
          <t>Yes</t>
        </is>
      </c>
      <c r="I38" s="24" t="inlineStr">
        <is>
          <t>No</t>
        </is>
      </c>
      <c r="J38" s="23" t="inlineStr">
        <is>
          <t>Key project milestone</t>
        </is>
      </c>
    </row>
    <row r="39" ht="20" customHeight="1">
      <c r="A39" s="18" t="inlineStr">
        <is>
          <t>LOG-004</t>
        </is>
      </c>
      <c r="B39" s="18" t="inlineStr">
        <is>
          <t>2026-08-08</t>
        </is>
      </c>
      <c r="C39" s="17" t="inlineStr">
        <is>
          <t>Anjani Dara</t>
        </is>
      </c>
      <c r="D39" s="17">
        <f>IFERROR(VLOOKUP(C39, $B$17:$C$28, 2, FALSE), "")</f>
        <v/>
      </c>
      <c r="E39" s="17" t="inlineStr">
        <is>
          <t>Reviewed visual inspection reports 04-21-2008 and 12-19-2017</t>
        </is>
      </c>
      <c r="F39" s="17" t="inlineStr">
        <is>
          <t>Visual Inspection Analysis</t>
        </is>
      </c>
      <c r="G39" s="34" t="n">
        <v>5</v>
      </c>
      <c r="H39" s="18" t="inlineStr">
        <is>
          <t>No</t>
        </is>
      </c>
      <c r="I39" s="26" t="inlineStr">
        <is>
          <t>Yes</t>
        </is>
      </c>
      <c r="J39" s="17" t="inlineStr">
        <is>
          <t>Labor verification</t>
        </is>
      </c>
    </row>
    <row r="40" ht="20" customHeight="1">
      <c r="A40" s="24" t="inlineStr">
        <is>
          <t>LOG-005</t>
        </is>
      </c>
      <c r="B40" s="24" t="inlineStr">
        <is>
          <t>2026-08-08</t>
        </is>
      </c>
      <c r="C40" s="23" t="inlineStr">
        <is>
          <t>Hana Sayed</t>
        </is>
      </c>
      <c r="D40" s="23">
        <f>IFERROR(VLOOKUP(C40, $B$17:$C$28, 2, FALSE), "")</f>
        <v/>
      </c>
      <c r="E40" s="23" t="inlineStr">
        <is>
          <t>Completed component makeup breakdown &amp; corrosion mapping</t>
        </is>
      </c>
      <c r="F40" s="23" t="inlineStr">
        <is>
          <t>Damage Mechanism Review</t>
        </is>
      </c>
      <c r="G40" s="33" t="n">
        <v>4</v>
      </c>
      <c r="H40" s="20" t="inlineStr">
        <is>
          <t>Yes</t>
        </is>
      </c>
      <c r="I40" s="24" t="inlineStr">
        <is>
          <t>No</t>
        </is>
      </c>
      <c r="J40" s="23" t="inlineStr">
        <is>
          <t>Corrosion table finalized</t>
        </is>
      </c>
    </row>
    <row r="41" ht="20" customHeight="1">
      <c r="A41" s="18" t="inlineStr">
        <is>
          <t>LOG-006</t>
        </is>
      </c>
      <c r="B41" s="18" t="inlineStr">
        <is>
          <t>2026-08-08</t>
        </is>
      </c>
      <c r="C41" s="17" t="inlineStr">
        <is>
          <t>Mounika Pasunuti</t>
        </is>
      </c>
      <c r="D41" s="17">
        <f>IFERROR(VLOOKUP(C41, $B$17:$C$28, 2, FALSE), "")</f>
        <v/>
      </c>
      <c r="E41" s="17" t="inlineStr">
        <is>
          <t>Conducted Tank Datamining procedures for X-3109 unit</t>
        </is>
      </c>
      <c r="F41" s="17" t="inlineStr">
        <is>
          <t>Tank Datamining</t>
        </is>
      </c>
      <c r="G41" s="34" t="n">
        <v>2</v>
      </c>
      <c r="H41" s="18" t="inlineStr">
        <is>
          <t>No</t>
        </is>
      </c>
      <c r="I41" s="18" t="inlineStr">
        <is>
          <t>No</t>
        </is>
      </c>
      <c r="J41" s="17" t="inlineStr"/>
    </row>
    <row r="42" ht="20" customHeight="1">
      <c r="A42" s="24" t="inlineStr">
        <is>
          <t>LOG-007</t>
        </is>
      </c>
      <c r="B42" s="24" t="inlineStr">
        <is>
          <t>2026-08-08</t>
        </is>
      </c>
      <c r="C42" s="23" t="inlineStr">
        <is>
          <t>Piyush Gupta</t>
        </is>
      </c>
      <c r="D42" s="23">
        <f>IFERROR(VLOOKUP(C42, $B$17:$C$28, 2, FALSE), "")</f>
        <v/>
      </c>
      <c r="E42" s="23" t="inlineStr">
        <is>
          <t>Verified Metalforms bundle repair drawings p1-p10 and calculations</t>
        </is>
      </c>
      <c r="F42" s="23" t="inlineStr">
        <is>
          <t>Drawings &amp; Traceability</t>
        </is>
      </c>
      <c r="G42" s="33" t="n">
        <v>3.5</v>
      </c>
      <c r="H42" s="24" t="inlineStr">
        <is>
          <t>No</t>
        </is>
      </c>
      <c r="I42" s="24" t="inlineStr">
        <is>
          <t>No</t>
        </is>
      </c>
      <c r="J42" s="23" t="inlineStr"/>
    </row>
    <row r="43" ht="20" customHeight="1">
      <c r="A43" s="18" t="inlineStr">
        <is>
          <t>LOG-008</t>
        </is>
      </c>
      <c r="B43" s="18" t="inlineStr">
        <is>
          <t>2026-08-08</t>
        </is>
      </c>
      <c r="C43" s="17" t="inlineStr">
        <is>
          <t>Swapna Santhapuram</t>
        </is>
      </c>
      <c r="D43" s="17">
        <f>IFERROR(VLOOKUP(C43, $B$17:$C$28, 2, FALSE), "")</f>
        <v/>
      </c>
      <c r="E43" s="17" t="inlineStr">
        <is>
          <t>Conducted Chevron deliverables review and team sprint alignment</t>
        </is>
      </c>
      <c r="F43" s="17" t="inlineStr">
        <is>
          <t>Team Standup &amp; Coordination</t>
        </is>
      </c>
      <c r="G43" s="34" t="n">
        <v>2.5</v>
      </c>
      <c r="H43" s="20" t="inlineStr">
        <is>
          <t>Yes</t>
        </is>
      </c>
      <c r="I43" s="18" t="inlineStr">
        <is>
          <t>No</t>
        </is>
      </c>
      <c r="J43" s="17" t="inlineStr">
        <is>
          <t>Lead alignment</t>
        </is>
      </c>
    </row>
    <row r="44">
      <c r="A44" s="24" t="inlineStr">
        <is>
          <t>LOG-009</t>
        </is>
      </c>
      <c r="B44" s="24" t="inlineStr"/>
      <c r="C44" s="23" t="inlineStr"/>
      <c r="D44" s="23">
        <f>IFERROR(VLOOKUP(C44, $B$17:$C$28, 2, FALSE), "")</f>
        <v/>
      </c>
      <c r="E44" s="23" t="inlineStr"/>
      <c r="F44" s="23" t="inlineStr"/>
      <c r="G44" s="33" t="inlineStr"/>
      <c r="H44" s="24" t="inlineStr">
        <is>
          <t>No</t>
        </is>
      </c>
      <c r="I44" s="24" t="inlineStr">
        <is>
          <t>No</t>
        </is>
      </c>
      <c r="J44" s="23" t="inlineStr"/>
    </row>
    <row r="45">
      <c r="A45" s="18" t="inlineStr">
        <is>
          <t>LOG-010</t>
        </is>
      </c>
      <c r="B45" s="18" t="inlineStr"/>
      <c r="C45" s="17" t="inlineStr"/>
      <c r="D45" s="17">
        <f>IFERROR(VLOOKUP(C45, $B$17:$C$28, 2, FALSE), "")</f>
        <v/>
      </c>
      <c r="E45" s="17" t="inlineStr"/>
      <c r="F45" s="17" t="inlineStr"/>
      <c r="G45" s="34" t="inlineStr"/>
      <c r="H45" s="18" t="inlineStr">
        <is>
          <t>No</t>
        </is>
      </c>
      <c r="I45" s="18" t="inlineStr">
        <is>
          <t>No</t>
        </is>
      </c>
      <c r="J45" s="17" t="inlineStr"/>
    </row>
    <row r="46">
      <c r="A46" s="24" t="inlineStr">
        <is>
          <t>LOG-011</t>
        </is>
      </c>
      <c r="B46" s="24" t="inlineStr"/>
      <c r="C46" s="23" t="inlineStr"/>
      <c r="D46" s="23">
        <f>IFERROR(VLOOKUP(C46, $B$17:$C$28, 2, FALSE), "")</f>
        <v/>
      </c>
      <c r="E46" s="23" t="inlineStr"/>
      <c r="F46" s="23" t="inlineStr"/>
      <c r="G46" s="33" t="inlineStr"/>
      <c r="H46" s="24" t="inlineStr">
        <is>
          <t>No</t>
        </is>
      </c>
      <c r="I46" s="24" t="inlineStr">
        <is>
          <t>No</t>
        </is>
      </c>
      <c r="J46" s="23" t="inlineStr"/>
    </row>
    <row r="47">
      <c r="A47" s="18" t="inlineStr">
        <is>
          <t>LOG-012</t>
        </is>
      </c>
      <c r="B47" s="18" t="inlineStr"/>
      <c r="C47" s="17" t="inlineStr"/>
      <c r="D47" s="17">
        <f>IFERROR(VLOOKUP(C47, $B$17:$C$28, 2, FALSE), "")</f>
        <v/>
      </c>
      <c r="E47" s="17" t="inlineStr"/>
      <c r="F47" s="17" t="inlineStr"/>
      <c r="G47" s="34" t="inlineStr"/>
      <c r="H47" s="18" t="inlineStr">
        <is>
          <t>No</t>
        </is>
      </c>
      <c r="I47" s="18" t="inlineStr">
        <is>
          <t>No</t>
        </is>
      </c>
      <c r="J47" s="17" t="inlineStr"/>
    </row>
    <row r="48">
      <c r="A48" s="24" t="inlineStr">
        <is>
          <t>LOG-013</t>
        </is>
      </c>
      <c r="B48" s="24" t="inlineStr"/>
      <c r="C48" s="23" t="inlineStr"/>
      <c r="D48" s="23">
        <f>IFERROR(VLOOKUP(C48, $B$17:$C$28, 2, FALSE), "")</f>
        <v/>
      </c>
      <c r="E48" s="23" t="inlineStr"/>
      <c r="F48" s="23" t="inlineStr"/>
      <c r="G48" s="33" t="inlineStr"/>
      <c r="H48" s="24" t="inlineStr">
        <is>
          <t>No</t>
        </is>
      </c>
      <c r="I48" s="24" t="inlineStr">
        <is>
          <t>No</t>
        </is>
      </c>
      <c r="J48" s="23" t="inlineStr"/>
    </row>
    <row r="49">
      <c r="A49" s="18" t="inlineStr">
        <is>
          <t>LOG-014</t>
        </is>
      </c>
      <c r="B49" s="18" t="inlineStr"/>
      <c r="C49" s="17" t="inlineStr"/>
      <c r="D49" s="17">
        <f>IFERROR(VLOOKUP(C49, $B$17:$C$28, 2, FALSE), "")</f>
        <v/>
      </c>
      <c r="E49" s="17" t="inlineStr"/>
      <c r="F49" s="17" t="inlineStr"/>
      <c r="G49" s="34" t="inlineStr"/>
      <c r="H49" s="18" t="inlineStr">
        <is>
          <t>No</t>
        </is>
      </c>
      <c r="I49" s="18" t="inlineStr">
        <is>
          <t>No</t>
        </is>
      </c>
      <c r="J49" s="17" t="inlineStr"/>
    </row>
    <row r="50">
      <c r="A50" s="24" t="inlineStr">
        <is>
          <t>LOG-015</t>
        </is>
      </c>
      <c r="B50" s="24" t="inlineStr"/>
      <c r="C50" s="23" t="inlineStr"/>
      <c r="D50" s="23">
        <f>IFERROR(VLOOKUP(C50, $B$17:$C$28, 2, FALSE), "")</f>
        <v/>
      </c>
      <c r="E50" s="23" t="inlineStr"/>
      <c r="F50" s="23" t="inlineStr"/>
      <c r="G50" s="33" t="inlineStr"/>
      <c r="H50" s="24" t="inlineStr">
        <is>
          <t>No</t>
        </is>
      </c>
      <c r="I50" s="24" t="inlineStr">
        <is>
          <t>No</t>
        </is>
      </c>
      <c r="J50" s="23" t="inlineStr"/>
    </row>
    <row r="51">
      <c r="A51" s="18" t="inlineStr">
        <is>
          <t>LOG-016</t>
        </is>
      </c>
      <c r="B51" s="18" t="inlineStr"/>
      <c r="C51" s="17" t="inlineStr"/>
      <c r="D51" s="17">
        <f>IFERROR(VLOOKUP(C51, $B$17:$C$28, 2, FALSE), "")</f>
        <v/>
      </c>
      <c r="E51" s="17" t="inlineStr"/>
      <c r="F51" s="17" t="inlineStr"/>
      <c r="G51" s="34" t="inlineStr"/>
      <c r="H51" s="18" t="inlineStr">
        <is>
          <t>No</t>
        </is>
      </c>
      <c r="I51" s="18" t="inlineStr">
        <is>
          <t>No</t>
        </is>
      </c>
      <c r="J51" s="17" t="inlineStr"/>
    </row>
    <row r="52">
      <c r="A52" s="24" t="inlineStr">
        <is>
          <t>LOG-017</t>
        </is>
      </c>
      <c r="B52" s="24" t="inlineStr"/>
      <c r="C52" s="23" t="inlineStr"/>
      <c r="D52" s="23">
        <f>IFERROR(VLOOKUP(C52, $B$17:$C$28, 2, FALSE), "")</f>
        <v/>
      </c>
      <c r="E52" s="23" t="inlineStr"/>
      <c r="F52" s="23" t="inlineStr"/>
      <c r="G52" s="33" t="inlineStr"/>
      <c r="H52" s="24" t="inlineStr">
        <is>
          <t>No</t>
        </is>
      </c>
      <c r="I52" s="24" t="inlineStr">
        <is>
          <t>No</t>
        </is>
      </c>
      <c r="J52" s="23" t="inlineStr"/>
    </row>
    <row r="53">
      <c r="A53" s="18" t="inlineStr">
        <is>
          <t>LOG-018</t>
        </is>
      </c>
      <c r="B53" s="18" t="inlineStr"/>
      <c r="C53" s="17" t="inlineStr"/>
      <c r="D53" s="17">
        <f>IFERROR(VLOOKUP(C53, $B$17:$C$28, 2, FALSE), "")</f>
        <v/>
      </c>
      <c r="E53" s="17" t="inlineStr"/>
      <c r="F53" s="17" t="inlineStr"/>
      <c r="G53" s="34" t="inlineStr"/>
      <c r="H53" s="18" t="inlineStr">
        <is>
          <t>No</t>
        </is>
      </c>
      <c r="I53" s="18" t="inlineStr">
        <is>
          <t>No</t>
        </is>
      </c>
      <c r="J53" s="17" t="inlineStr"/>
    </row>
    <row r="54">
      <c r="A54" s="24" t="inlineStr">
        <is>
          <t>LOG-019</t>
        </is>
      </c>
      <c r="B54" s="24" t="inlineStr"/>
      <c r="C54" s="23" t="inlineStr"/>
      <c r="D54" s="23">
        <f>IFERROR(VLOOKUP(C54, $B$17:$C$28, 2, FALSE), "")</f>
        <v/>
      </c>
      <c r="E54" s="23" t="inlineStr"/>
      <c r="F54" s="23" t="inlineStr"/>
      <c r="G54" s="33" t="inlineStr"/>
      <c r="H54" s="24" t="inlineStr">
        <is>
          <t>No</t>
        </is>
      </c>
      <c r="I54" s="24" t="inlineStr">
        <is>
          <t>No</t>
        </is>
      </c>
      <c r="J54" s="23" t="inlineStr"/>
    </row>
    <row r="55">
      <c r="A55" s="18" t="inlineStr">
        <is>
          <t>LOG-020</t>
        </is>
      </c>
      <c r="B55" s="18" t="inlineStr"/>
      <c r="C55" s="17" t="inlineStr"/>
      <c r="D55" s="17">
        <f>IFERROR(VLOOKUP(C55, $B$17:$C$28, 2, FALSE), "")</f>
        <v/>
      </c>
      <c r="E55" s="17" t="inlineStr"/>
      <c r="F55" s="17" t="inlineStr"/>
      <c r="G55" s="34" t="inlineStr"/>
      <c r="H55" s="18" t="inlineStr">
        <is>
          <t>No</t>
        </is>
      </c>
      <c r="I55" s="18" t="inlineStr">
        <is>
          <t>No</t>
        </is>
      </c>
      <c r="J55" s="17" t="inlineStr"/>
    </row>
    <row r="56">
      <c r="A56" s="24" t="inlineStr">
        <is>
          <t>LOG-021</t>
        </is>
      </c>
      <c r="B56" s="24" t="inlineStr"/>
      <c r="C56" s="23" t="inlineStr"/>
      <c r="D56" s="23">
        <f>IFERROR(VLOOKUP(C56, $B$17:$C$28, 2, FALSE), "")</f>
        <v/>
      </c>
      <c r="E56" s="23" t="inlineStr"/>
      <c r="F56" s="23" t="inlineStr"/>
      <c r="G56" s="33" t="inlineStr"/>
      <c r="H56" s="24" t="inlineStr">
        <is>
          <t>No</t>
        </is>
      </c>
      <c r="I56" s="24" t="inlineStr">
        <is>
          <t>No</t>
        </is>
      </c>
      <c r="J56" s="23" t="inlineStr"/>
    </row>
    <row r="57">
      <c r="A57" s="18" t="inlineStr">
        <is>
          <t>LOG-022</t>
        </is>
      </c>
      <c r="B57" s="18" t="inlineStr"/>
      <c r="C57" s="17" t="inlineStr"/>
      <c r="D57" s="17">
        <f>IFERROR(VLOOKUP(C57, $B$17:$C$28, 2, FALSE), "")</f>
        <v/>
      </c>
      <c r="E57" s="17" t="inlineStr"/>
      <c r="F57" s="17" t="inlineStr"/>
      <c r="G57" s="34" t="inlineStr"/>
      <c r="H57" s="18" t="inlineStr">
        <is>
          <t>No</t>
        </is>
      </c>
      <c r="I57" s="18" t="inlineStr">
        <is>
          <t>No</t>
        </is>
      </c>
      <c r="J57" s="17" t="inlineStr"/>
    </row>
    <row r="58">
      <c r="A58" s="24" t="inlineStr">
        <is>
          <t>LOG-023</t>
        </is>
      </c>
      <c r="B58" s="24" t="inlineStr"/>
      <c r="C58" s="23" t="inlineStr"/>
      <c r="D58" s="23">
        <f>IFERROR(VLOOKUP(C58, $B$17:$C$28, 2, FALSE), "")</f>
        <v/>
      </c>
      <c r="E58" s="23" t="inlineStr"/>
      <c r="F58" s="23" t="inlineStr"/>
      <c r="G58" s="33" t="inlineStr"/>
      <c r="H58" s="24" t="inlineStr">
        <is>
          <t>No</t>
        </is>
      </c>
      <c r="I58" s="24" t="inlineStr">
        <is>
          <t>No</t>
        </is>
      </c>
      <c r="J58" s="23" t="inlineStr"/>
    </row>
    <row r="59">
      <c r="A59" s="18" t="inlineStr">
        <is>
          <t>LOG-024</t>
        </is>
      </c>
      <c r="B59" s="18" t="inlineStr"/>
      <c r="C59" s="17" t="inlineStr"/>
      <c r="D59" s="17">
        <f>IFERROR(VLOOKUP(C59, $B$17:$C$28, 2, FALSE), "")</f>
        <v/>
      </c>
      <c r="E59" s="17" t="inlineStr"/>
      <c r="F59" s="17" t="inlineStr"/>
      <c r="G59" s="34" t="inlineStr"/>
      <c r="H59" s="18" t="inlineStr">
        <is>
          <t>No</t>
        </is>
      </c>
      <c r="I59" s="18" t="inlineStr">
        <is>
          <t>No</t>
        </is>
      </c>
      <c r="J59" s="17" t="inlineStr"/>
    </row>
    <row r="60">
      <c r="A60" s="24" t="inlineStr">
        <is>
          <t>LOG-025</t>
        </is>
      </c>
      <c r="B60" s="24" t="inlineStr"/>
      <c r="C60" s="23" t="inlineStr"/>
      <c r="D60" s="23">
        <f>IFERROR(VLOOKUP(C60, $B$17:$C$28, 2, FALSE), "")</f>
        <v/>
      </c>
      <c r="E60" s="23" t="inlineStr"/>
      <c r="F60" s="23" t="inlineStr"/>
      <c r="G60" s="33" t="inlineStr"/>
      <c r="H60" s="24" t="inlineStr">
        <is>
          <t>No</t>
        </is>
      </c>
      <c r="I60" s="24" t="inlineStr">
        <is>
          <t>No</t>
        </is>
      </c>
      <c r="J60" s="23" t="inlineStr"/>
    </row>
    <row r="61">
      <c r="A61" s="18" t="inlineStr">
        <is>
          <t>LOG-026</t>
        </is>
      </c>
      <c r="B61" s="18" t="inlineStr"/>
      <c r="C61" s="17" t="inlineStr"/>
      <c r="D61" s="17">
        <f>IFERROR(VLOOKUP(C61, $B$17:$C$28, 2, FALSE), "")</f>
        <v/>
      </c>
      <c r="E61" s="17" t="inlineStr"/>
      <c r="F61" s="17" t="inlineStr"/>
      <c r="G61" s="34" t="inlineStr"/>
      <c r="H61" s="18" t="inlineStr">
        <is>
          <t>No</t>
        </is>
      </c>
      <c r="I61" s="18" t="inlineStr">
        <is>
          <t>No</t>
        </is>
      </c>
      <c r="J61" s="17" t="inlineStr"/>
    </row>
    <row r="62">
      <c r="A62" s="24" t="inlineStr">
        <is>
          <t>LOG-027</t>
        </is>
      </c>
      <c r="B62" s="24" t="inlineStr"/>
      <c r="C62" s="23" t="inlineStr"/>
      <c r="D62" s="23">
        <f>IFERROR(VLOOKUP(C62, $B$17:$C$28, 2, FALSE), "")</f>
        <v/>
      </c>
      <c r="E62" s="23" t="inlineStr"/>
      <c r="F62" s="23" t="inlineStr"/>
      <c r="G62" s="33" t="inlineStr"/>
      <c r="H62" s="24" t="inlineStr">
        <is>
          <t>No</t>
        </is>
      </c>
      <c r="I62" s="24" t="inlineStr">
        <is>
          <t>No</t>
        </is>
      </c>
      <c r="J62" s="23" t="inlineStr"/>
    </row>
    <row r="63">
      <c r="A63" s="18" t="inlineStr">
        <is>
          <t>LOG-028</t>
        </is>
      </c>
      <c r="B63" s="18" t="inlineStr"/>
      <c r="C63" s="17" t="inlineStr"/>
      <c r="D63" s="17">
        <f>IFERROR(VLOOKUP(C63, $B$17:$C$28, 2, FALSE), "")</f>
        <v/>
      </c>
      <c r="E63" s="17" t="inlineStr"/>
      <c r="F63" s="17" t="inlineStr"/>
      <c r="G63" s="34" t="inlineStr"/>
      <c r="H63" s="18" t="inlineStr">
        <is>
          <t>No</t>
        </is>
      </c>
      <c r="I63" s="18" t="inlineStr">
        <is>
          <t>No</t>
        </is>
      </c>
      <c r="J63" s="17" t="inlineStr"/>
    </row>
    <row r="64">
      <c r="A64" s="24" t="inlineStr">
        <is>
          <t>LOG-029</t>
        </is>
      </c>
      <c r="B64" s="24" t="inlineStr"/>
      <c r="C64" s="23" t="inlineStr"/>
      <c r="D64" s="23">
        <f>IFERROR(VLOOKUP(C64, $B$17:$C$28, 2, FALSE), "")</f>
        <v/>
      </c>
      <c r="E64" s="23" t="inlineStr"/>
      <c r="F64" s="23" t="inlineStr"/>
      <c r="G64" s="33" t="inlineStr"/>
      <c r="H64" s="24" t="inlineStr">
        <is>
          <t>No</t>
        </is>
      </c>
      <c r="I64" s="24" t="inlineStr">
        <is>
          <t>No</t>
        </is>
      </c>
      <c r="J64" s="23" t="inlineStr"/>
    </row>
    <row r="65">
      <c r="A65" s="18" t="inlineStr">
        <is>
          <t>LOG-030</t>
        </is>
      </c>
      <c r="B65" s="18" t="inlineStr"/>
      <c r="C65" s="17" t="inlineStr"/>
      <c r="D65" s="17">
        <f>IFERROR(VLOOKUP(C65, $B$17:$C$28, 2, FALSE), "")</f>
        <v/>
      </c>
      <c r="E65" s="17" t="inlineStr"/>
      <c r="F65" s="17" t="inlineStr"/>
      <c r="G65" s="34" t="inlineStr"/>
      <c r="H65" s="18" t="inlineStr">
        <is>
          <t>No</t>
        </is>
      </c>
      <c r="I65" s="18" t="inlineStr">
        <is>
          <t>No</t>
        </is>
      </c>
      <c r="J65" s="17" t="inlineStr"/>
    </row>
    <row r="66">
      <c r="A66" s="24" t="inlineStr">
        <is>
          <t>LOG-031</t>
        </is>
      </c>
      <c r="B66" s="24" t="inlineStr"/>
      <c r="C66" s="23" t="inlineStr"/>
      <c r="D66" s="23">
        <f>IFERROR(VLOOKUP(C66, $B$17:$C$28, 2, FALSE), "")</f>
        <v/>
      </c>
      <c r="E66" s="23" t="inlineStr"/>
      <c r="F66" s="23" t="inlineStr"/>
      <c r="G66" s="33" t="inlineStr"/>
      <c r="H66" s="24" t="inlineStr">
        <is>
          <t>No</t>
        </is>
      </c>
      <c r="I66" s="24" t="inlineStr">
        <is>
          <t>No</t>
        </is>
      </c>
      <c r="J66" s="23" t="inlineStr"/>
    </row>
    <row r="67">
      <c r="A67" s="18" t="inlineStr">
        <is>
          <t>LOG-032</t>
        </is>
      </c>
      <c r="B67" s="18" t="inlineStr"/>
      <c r="C67" s="17" t="inlineStr"/>
      <c r="D67" s="17">
        <f>IFERROR(VLOOKUP(C67, $B$17:$C$28, 2, FALSE), "")</f>
        <v/>
      </c>
      <c r="E67" s="17" t="inlineStr"/>
      <c r="F67" s="17" t="inlineStr"/>
      <c r="G67" s="34" t="inlineStr"/>
      <c r="H67" s="18" t="inlineStr">
        <is>
          <t>No</t>
        </is>
      </c>
      <c r="I67" s="18" t="inlineStr">
        <is>
          <t>No</t>
        </is>
      </c>
      <c r="J67" s="17" t="inlineStr"/>
    </row>
    <row r="68">
      <c r="A68" s="24" t="inlineStr">
        <is>
          <t>LOG-033</t>
        </is>
      </c>
      <c r="B68" s="24" t="inlineStr"/>
      <c r="C68" s="23" t="inlineStr"/>
      <c r="D68" s="23">
        <f>IFERROR(VLOOKUP(C68, $B$17:$C$28, 2, FALSE), "")</f>
        <v/>
      </c>
      <c r="E68" s="23" t="inlineStr"/>
      <c r="F68" s="23" t="inlineStr"/>
      <c r="G68" s="33" t="inlineStr"/>
      <c r="H68" s="24" t="inlineStr">
        <is>
          <t>No</t>
        </is>
      </c>
      <c r="I68" s="24" t="inlineStr">
        <is>
          <t>No</t>
        </is>
      </c>
      <c r="J68" s="23" t="inlineStr"/>
    </row>
    <row r="69">
      <c r="A69" s="18" t="inlineStr">
        <is>
          <t>LOG-034</t>
        </is>
      </c>
      <c r="B69" s="18" t="inlineStr"/>
      <c r="C69" s="17" t="inlineStr"/>
      <c r="D69" s="17">
        <f>IFERROR(VLOOKUP(C69, $B$17:$C$28, 2, FALSE), "")</f>
        <v/>
      </c>
      <c r="E69" s="17" t="inlineStr"/>
      <c r="F69" s="17" t="inlineStr"/>
      <c r="G69" s="34" t="inlineStr"/>
      <c r="H69" s="18" t="inlineStr">
        <is>
          <t>No</t>
        </is>
      </c>
      <c r="I69" s="18" t="inlineStr">
        <is>
          <t>No</t>
        </is>
      </c>
      <c r="J69" s="17" t="inlineStr"/>
    </row>
    <row r="70">
      <c r="A70" s="24" t="inlineStr">
        <is>
          <t>LOG-035</t>
        </is>
      </c>
      <c r="B70" s="24" t="inlineStr"/>
      <c r="C70" s="23" t="inlineStr"/>
      <c r="D70" s="23">
        <f>IFERROR(VLOOKUP(C70, $B$17:$C$28, 2, FALSE), "")</f>
        <v/>
      </c>
      <c r="E70" s="23" t="inlineStr"/>
      <c r="F70" s="23" t="inlineStr"/>
      <c r="G70" s="33" t="inlineStr"/>
      <c r="H70" s="24" t="inlineStr">
        <is>
          <t>No</t>
        </is>
      </c>
      <c r="I70" s="24" t="inlineStr">
        <is>
          <t>No</t>
        </is>
      </c>
      <c r="J70" s="23" t="inlineStr"/>
    </row>
    <row r="71">
      <c r="A71" s="18" t="inlineStr">
        <is>
          <t>LOG-036</t>
        </is>
      </c>
      <c r="B71" s="18" t="inlineStr"/>
      <c r="C71" s="17" t="inlineStr"/>
      <c r="D71" s="17">
        <f>IFERROR(VLOOKUP(C71, $B$17:$C$28, 2, FALSE), "")</f>
        <v/>
      </c>
      <c r="E71" s="17" t="inlineStr"/>
      <c r="F71" s="17" t="inlineStr"/>
      <c r="G71" s="34" t="inlineStr"/>
      <c r="H71" s="18" t="inlineStr">
        <is>
          <t>No</t>
        </is>
      </c>
      <c r="I71" s="18" t="inlineStr">
        <is>
          <t>No</t>
        </is>
      </c>
      <c r="J71" s="17" t="inlineStr"/>
    </row>
    <row r="72">
      <c r="A72" s="24" t="inlineStr">
        <is>
          <t>LOG-037</t>
        </is>
      </c>
      <c r="B72" s="24" t="inlineStr"/>
      <c r="C72" s="23" t="inlineStr"/>
      <c r="D72" s="23">
        <f>IFERROR(VLOOKUP(C72, $B$17:$C$28, 2, FALSE), "")</f>
        <v/>
      </c>
      <c r="E72" s="23" t="inlineStr"/>
      <c r="F72" s="23" t="inlineStr"/>
      <c r="G72" s="33" t="inlineStr"/>
      <c r="H72" s="24" t="inlineStr">
        <is>
          <t>No</t>
        </is>
      </c>
      <c r="I72" s="24" t="inlineStr">
        <is>
          <t>No</t>
        </is>
      </c>
      <c r="J72" s="23" t="inlineStr"/>
    </row>
    <row r="73">
      <c r="A73" s="18" t="inlineStr">
        <is>
          <t>LOG-038</t>
        </is>
      </c>
      <c r="B73" s="18" t="inlineStr"/>
      <c r="C73" s="17" t="inlineStr"/>
      <c r="D73" s="17">
        <f>IFERROR(VLOOKUP(C73, $B$17:$C$28, 2, FALSE), "")</f>
        <v/>
      </c>
      <c r="E73" s="17" t="inlineStr"/>
      <c r="F73" s="17" t="inlineStr"/>
      <c r="G73" s="34" t="inlineStr"/>
      <c r="H73" s="18" t="inlineStr">
        <is>
          <t>No</t>
        </is>
      </c>
      <c r="I73" s="18" t="inlineStr">
        <is>
          <t>No</t>
        </is>
      </c>
      <c r="J73" s="17" t="inlineStr"/>
    </row>
    <row r="74">
      <c r="A74" s="24" t="inlineStr">
        <is>
          <t>LOG-039</t>
        </is>
      </c>
      <c r="B74" s="24" t="inlineStr"/>
      <c r="C74" s="23" t="inlineStr"/>
      <c r="D74" s="23">
        <f>IFERROR(VLOOKUP(C74, $B$17:$C$28, 2, FALSE), "")</f>
        <v/>
      </c>
      <c r="E74" s="23" t="inlineStr"/>
      <c r="F74" s="23" t="inlineStr"/>
      <c r="G74" s="33" t="inlineStr"/>
      <c r="H74" s="24" t="inlineStr">
        <is>
          <t>No</t>
        </is>
      </c>
      <c r="I74" s="24" t="inlineStr">
        <is>
          <t>No</t>
        </is>
      </c>
      <c r="J74" s="23" t="inlineStr"/>
    </row>
    <row r="75">
      <c r="A75" s="18" t="inlineStr">
        <is>
          <t>LOG-040</t>
        </is>
      </c>
      <c r="B75" s="18" t="inlineStr"/>
      <c r="C75" s="17" t="inlineStr"/>
      <c r="D75" s="17">
        <f>IFERROR(VLOOKUP(C75, $B$17:$C$28, 2, FALSE), "")</f>
        <v/>
      </c>
      <c r="E75" s="17" t="inlineStr"/>
      <c r="F75" s="17" t="inlineStr"/>
      <c r="G75" s="34" t="inlineStr"/>
      <c r="H75" s="18" t="inlineStr">
        <is>
          <t>No</t>
        </is>
      </c>
      <c r="I75" s="18" t="inlineStr">
        <is>
          <t>No</t>
        </is>
      </c>
      <c r="J75" s="17" t="inlineStr"/>
    </row>
    <row r="76">
      <c r="A76" s="24" t="inlineStr">
        <is>
          <t>LOG-041</t>
        </is>
      </c>
      <c r="B76" s="24" t="inlineStr"/>
      <c r="C76" s="23" t="inlineStr"/>
      <c r="D76" s="23">
        <f>IFERROR(VLOOKUP(C76, $B$17:$C$28, 2, FALSE), "")</f>
        <v/>
      </c>
      <c r="E76" s="23" t="inlineStr"/>
      <c r="F76" s="23" t="inlineStr"/>
      <c r="G76" s="33" t="inlineStr"/>
      <c r="H76" s="24" t="inlineStr">
        <is>
          <t>No</t>
        </is>
      </c>
      <c r="I76" s="24" t="inlineStr">
        <is>
          <t>No</t>
        </is>
      </c>
      <c r="J76" s="23" t="inlineStr"/>
    </row>
    <row r="77">
      <c r="A77" s="18" t="inlineStr">
        <is>
          <t>LOG-042</t>
        </is>
      </c>
      <c r="B77" s="18" t="inlineStr"/>
      <c r="C77" s="17" t="inlineStr"/>
      <c r="D77" s="17">
        <f>IFERROR(VLOOKUP(C77, $B$17:$C$28, 2, FALSE), "")</f>
        <v/>
      </c>
      <c r="E77" s="17" t="inlineStr"/>
      <c r="F77" s="17" t="inlineStr"/>
      <c r="G77" s="34" t="inlineStr"/>
      <c r="H77" s="18" t="inlineStr">
        <is>
          <t>No</t>
        </is>
      </c>
      <c r="I77" s="18" t="inlineStr">
        <is>
          <t>No</t>
        </is>
      </c>
      <c r="J77" s="17" t="inlineStr"/>
    </row>
    <row r="78">
      <c r="A78" s="24" t="inlineStr">
        <is>
          <t>LOG-043</t>
        </is>
      </c>
      <c r="B78" s="24" t="inlineStr"/>
      <c r="C78" s="23" t="inlineStr"/>
      <c r="D78" s="23">
        <f>IFERROR(VLOOKUP(C78, $B$17:$C$28, 2, FALSE), "")</f>
        <v/>
      </c>
      <c r="E78" s="23" t="inlineStr"/>
      <c r="F78" s="23" t="inlineStr"/>
      <c r="G78" s="33" t="inlineStr"/>
      <c r="H78" s="24" t="inlineStr">
        <is>
          <t>No</t>
        </is>
      </c>
      <c r="I78" s="24" t="inlineStr">
        <is>
          <t>No</t>
        </is>
      </c>
      <c r="J78" s="23" t="inlineStr"/>
    </row>
    <row r="79">
      <c r="A79" s="18" t="inlineStr">
        <is>
          <t>LOG-044</t>
        </is>
      </c>
      <c r="B79" s="18" t="inlineStr"/>
      <c r="C79" s="17" t="inlineStr"/>
      <c r="D79" s="17">
        <f>IFERROR(VLOOKUP(C79, $B$17:$C$28, 2, FALSE), "")</f>
        <v/>
      </c>
      <c r="E79" s="17" t="inlineStr"/>
      <c r="F79" s="17" t="inlineStr"/>
      <c r="G79" s="34" t="inlineStr"/>
      <c r="H79" s="18" t="inlineStr">
        <is>
          <t>No</t>
        </is>
      </c>
      <c r="I79" s="18" t="inlineStr">
        <is>
          <t>No</t>
        </is>
      </c>
      <c r="J79" s="17" t="inlineStr"/>
    </row>
    <row r="80">
      <c r="A80" s="24" t="inlineStr">
        <is>
          <t>LOG-045</t>
        </is>
      </c>
      <c r="B80" s="24" t="inlineStr"/>
      <c r="C80" s="23" t="inlineStr"/>
      <c r="D80" s="23">
        <f>IFERROR(VLOOKUP(C80, $B$17:$C$28, 2, FALSE), "")</f>
        <v/>
      </c>
      <c r="E80" s="23" t="inlineStr"/>
      <c r="F80" s="23" t="inlineStr"/>
      <c r="G80" s="33" t="inlineStr"/>
      <c r="H80" s="24" t="inlineStr">
        <is>
          <t>No</t>
        </is>
      </c>
      <c r="I80" s="24" t="inlineStr">
        <is>
          <t>No</t>
        </is>
      </c>
      <c r="J80" s="23" t="inlineStr"/>
    </row>
    <row r="81">
      <c r="A81" s="18" t="inlineStr">
        <is>
          <t>LOG-046</t>
        </is>
      </c>
      <c r="B81" s="18" t="inlineStr"/>
      <c r="C81" s="17" t="inlineStr"/>
      <c r="D81" s="17">
        <f>IFERROR(VLOOKUP(C81, $B$17:$C$28, 2, FALSE), "")</f>
        <v/>
      </c>
      <c r="E81" s="17" t="inlineStr"/>
      <c r="F81" s="17" t="inlineStr"/>
      <c r="G81" s="34" t="inlineStr"/>
      <c r="H81" s="18" t="inlineStr">
        <is>
          <t>No</t>
        </is>
      </c>
      <c r="I81" s="18" t="inlineStr">
        <is>
          <t>No</t>
        </is>
      </c>
      <c r="J81" s="17" t="inlineStr"/>
    </row>
    <row r="82">
      <c r="A82" s="24" t="inlineStr">
        <is>
          <t>LOG-047</t>
        </is>
      </c>
      <c r="B82" s="24" t="inlineStr"/>
      <c r="C82" s="23" t="inlineStr"/>
      <c r="D82" s="23">
        <f>IFERROR(VLOOKUP(C82, $B$17:$C$28, 2, FALSE), "")</f>
        <v/>
      </c>
      <c r="E82" s="23" t="inlineStr"/>
      <c r="F82" s="23" t="inlineStr"/>
      <c r="G82" s="33" t="inlineStr"/>
      <c r="H82" s="24" t="inlineStr">
        <is>
          <t>No</t>
        </is>
      </c>
      <c r="I82" s="24" t="inlineStr">
        <is>
          <t>No</t>
        </is>
      </c>
      <c r="J82" s="23" t="inlineStr"/>
    </row>
    <row r="83">
      <c r="A83" s="18" t="inlineStr">
        <is>
          <t>LOG-048</t>
        </is>
      </c>
      <c r="B83" s="18" t="inlineStr"/>
      <c r="C83" s="17" t="inlineStr"/>
      <c r="D83" s="17">
        <f>IFERROR(VLOOKUP(C83, $B$17:$C$28, 2, FALSE), "")</f>
        <v/>
      </c>
      <c r="E83" s="17" t="inlineStr"/>
      <c r="F83" s="17" t="inlineStr"/>
      <c r="G83" s="34" t="inlineStr"/>
      <c r="H83" s="18" t="inlineStr">
        <is>
          <t>No</t>
        </is>
      </c>
      <c r="I83" s="18" t="inlineStr">
        <is>
          <t>No</t>
        </is>
      </c>
      <c r="J83" s="17" t="inlineStr"/>
    </row>
    <row r="84">
      <c r="A84" s="24" t="inlineStr">
        <is>
          <t>LOG-049</t>
        </is>
      </c>
      <c r="B84" s="24" t="inlineStr"/>
      <c r="C84" s="23" t="inlineStr"/>
      <c r="D84" s="23">
        <f>IFERROR(VLOOKUP(C84, $B$17:$C$28, 2, FALSE), "")</f>
        <v/>
      </c>
      <c r="E84" s="23" t="inlineStr"/>
      <c r="F84" s="23" t="inlineStr"/>
      <c r="G84" s="33" t="inlineStr"/>
      <c r="H84" s="24" t="inlineStr">
        <is>
          <t>No</t>
        </is>
      </c>
      <c r="I84" s="24" t="inlineStr">
        <is>
          <t>No</t>
        </is>
      </c>
      <c r="J84" s="23" t="inlineStr"/>
    </row>
    <row r="85">
      <c r="A85" s="18" t="inlineStr">
        <is>
          <t>LOG-050</t>
        </is>
      </c>
      <c r="B85" s="18" t="inlineStr"/>
      <c r="C85" s="17" t="inlineStr"/>
      <c r="D85" s="17">
        <f>IFERROR(VLOOKUP(C85, $B$17:$C$28, 2, FALSE), "")</f>
        <v/>
      </c>
      <c r="E85" s="17" t="inlineStr"/>
      <c r="F85" s="17" t="inlineStr"/>
      <c r="G85" s="34" t="inlineStr"/>
      <c r="H85" s="18" t="inlineStr">
        <is>
          <t>No</t>
        </is>
      </c>
      <c r="I85" s="18" t="inlineStr">
        <is>
          <t>No</t>
        </is>
      </c>
      <c r="J85" s="17" t="inlineStr"/>
    </row>
    <row r="86">
      <c r="A86" s="24" t="inlineStr">
        <is>
          <t>LOG-051</t>
        </is>
      </c>
      <c r="B86" s="24" t="inlineStr"/>
      <c r="C86" s="23" t="inlineStr"/>
      <c r="D86" s="23">
        <f>IFERROR(VLOOKUP(C86, $B$17:$C$28, 2, FALSE), "")</f>
        <v/>
      </c>
      <c r="E86" s="23" t="inlineStr"/>
      <c r="F86" s="23" t="inlineStr"/>
      <c r="G86" s="33" t="inlineStr"/>
      <c r="H86" s="24" t="inlineStr">
        <is>
          <t>No</t>
        </is>
      </c>
      <c r="I86" s="24" t="inlineStr">
        <is>
          <t>No</t>
        </is>
      </c>
      <c r="J86" s="23" t="inlineStr"/>
    </row>
    <row r="87">
      <c r="A87" s="18" t="inlineStr">
        <is>
          <t>LOG-052</t>
        </is>
      </c>
      <c r="B87" s="18" t="inlineStr"/>
      <c r="C87" s="17" t="inlineStr"/>
      <c r="D87" s="17">
        <f>IFERROR(VLOOKUP(C87, $B$17:$C$28, 2, FALSE), "")</f>
        <v/>
      </c>
      <c r="E87" s="17" t="inlineStr"/>
      <c r="F87" s="17" t="inlineStr"/>
      <c r="G87" s="34" t="inlineStr"/>
      <c r="H87" s="18" t="inlineStr">
        <is>
          <t>No</t>
        </is>
      </c>
      <c r="I87" s="18" t="inlineStr">
        <is>
          <t>No</t>
        </is>
      </c>
      <c r="J87" s="17" t="inlineStr"/>
    </row>
    <row r="88">
      <c r="A88" s="24" t="inlineStr">
        <is>
          <t>LOG-053</t>
        </is>
      </c>
      <c r="B88" s="24" t="inlineStr"/>
      <c r="C88" s="23" t="inlineStr"/>
      <c r="D88" s="23">
        <f>IFERROR(VLOOKUP(C88, $B$17:$C$28, 2, FALSE), "")</f>
        <v/>
      </c>
      <c r="E88" s="23" t="inlineStr"/>
      <c r="F88" s="23" t="inlineStr"/>
      <c r="G88" s="33" t="inlineStr"/>
      <c r="H88" s="24" t="inlineStr">
        <is>
          <t>No</t>
        </is>
      </c>
      <c r="I88" s="24" t="inlineStr">
        <is>
          <t>No</t>
        </is>
      </c>
      <c r="J88" s="23" t="inlineStr"/>
    </row>
    <row r="89">
      <c r="A89" s="18" t="inlineStr">
        <is>
          <t>LOG-054</t>
        </is>
      </c>
      <c r="B89" s="18" t="inlineStr"/>
      <c r="C89" s="17" t="inlineStr"/>
      <c r="D89" s="17">
        <f>IFERROR(VLOOKUP(C89, $B$17:$C$28, 2, FALSE), "")</f>
        <v/>
      </c>
      <c r="E89" s="17" t="inlineStr"/>
      <c r="F89" s="17" t="inlineStr"/>
      <c r="G89" s="34" t="inlineStr"/>
      <c r="H89" s="18" t="inlineStr">
        <is>
          <t>No</t>
        </is>
      </c>
      <c r="I89" s="18" t="inlineStr">
        <is>
          <t>No</t>
        </is>
      </c>
      <c r="J89" s="17" t="inlineStr"/>
    </row>
    <row r="90">
      <c r="A90" s="24" t="inlineStr">
        <is>
          <t>LOG-055</t>
        </is>
      </c>
      <c r="B90" s="24" t="inlineStr"/>
      <c r="C90" s="23" t="inlineStr"/>
      <c r="D90" s="23">
        <f>IFERROR(VLOOKUP(C90, $B$17:$C$28, 2, FALSE), "")</f>
        <v/>
      </c>
      <c r="E90" s="23" t="inlineStr"/>
      <c r="F90" s="23" t="inlineStr"/>
      <c r="G90" s="33" t="inlineStr"/>
      <c r="H90" s="24" t="inlineStr">
        <is>
          <t>No</t>
        </is>
      </c>
      <c r="I90" s="24" t="inlineStr">
        <is>
          <t>No</t>
        </is>
      </c>
      <c r="J90" s="23" t="inlineStr"/>
    </row>
    <row r="91">
      <c r="A91" s="18" t="inlineStr">
        <is>
          <t>LOG-056</t>
        </is>
      </c>
      <c r="B91" s="18" t="inlineStr"/>
      <c r="C91" s="17" t="inlineStr"/>
      <c r="D91" s="17">
        <f>IFERROR(VLOOKUP(C91, $B$17:$C$28, 2, FALSE), "")</f>
        <v/>
      </c>
      <c r="E91" s="17" t="inlineStr"/>
      <c r="F91" s="17" t="inlineStr"/>
      <c r="G91" s="34" t="inlineStr"/>
      <c r="H91" s="18" t="inlineStr">
        <is>
          <t>No</t>
        </is>
      </c>
      <c r="I91" s="18" t="inlineStr">
        <is>
          <t>No</t>
        </is>
      </c>
      <c r="J91" s="17" t="inlineStr"/>
    </row>
    <row r="92">
      <c r="A92" s="24" t="inlineStr">
        <is>
          <t>LOG-057</t>
        </is>
      </c>
      <c r="B92" s="24" t="inlineStr"/>
      <c r="C92" s="23" t="inlineStr"/>
      <c r="D92" s="23">
        <f>IFERROR(VLOOKUP(C92, $B$17:$C$28, 2, FALSE), "")</f>
        <v/>
      </c>
      <c r="E92" s="23" t="inlineStr"/>
      <c r="F92" s="23" t="inlineStr"/>
      <c r="G92" s="33" t="inlineStr"/>
      <c r="H92" s="24" t="inlineStr">
        <is>
          <t>No</t>
        </is>
      </c>
      <c r="I92" s="24" t="inlineStr">
        <is>
          <t>No</t>
        </is>
      </c>
      <c r="J92" s="23" t="inlineStr"/>
    </row>
    <row r="93">
      <c r="A93" s="18" t="inlineStr">
        <is>
          <t>LOG-058</t>
        </is>
      </c>
      <c r="B93" s="18" t="inlineStr"/>
      <c r="C93" s="17" t="inlineStr"/>
      <c r="D93" s="17">
        <f>IFERROR(VLOOKUP(C93, $B$17:$C$28, 2, FALSE), "")</f>
        <v/>
      </c>
      <c r="E93" s="17" t="inlineStr"/>
      <c r="F93" s="17" t="inlineStr"/>
      <c r="G93" s="34" t="inlineStr"/>
      <c r="H93" s="18" t="inlineStr">
        <is>
          <t>No</t>
        </is>
      </c>
      <c r="I93" s="18" t="inlineStr">
        <is>
          <t>No</t>
        </is>
      </c>
      <c r="J93" s="17" t="inlineStr"/>
    </row>
    <row r="94">
      <c r="A94" s="24" t="inlineStr">
        <is>
          <t>LOG-059</t>
        </is>
      </c>
      <c r="B94" s="24" t="inlineStr"/>
      <c r="C94" s="23" t="inlineStr"/>
      <c r="D94" s="23">
        <f>IFERROR(VLOOKUP(C94, $B$17:$C$28, 2, FALSE), "")</f>
        <v/>
      </c>
      <c r="E94" s="23" t="inlineStr"/>
      <c r="F94" s="23" t="inlineStr"/>
      <c r="G94" s="33" t="inlineStr"/>
      <c r="H94" s="24" t="inlineStr">
        <is>
          <t>No</t>
        </is>
      </c>
      <c r="I94" s="24" t="inlineStr">
        <is>
          <t>No</t>
        </is>
      </c>
      <c r="J94" s="23" t="inlineStr"/>
    </row>
    <row r="95">
      <c r="A95" s="18" t="inlineStr">
        <is>
          <t>LOG-060</t>
        </is>
      </c>
      <c r="B95" s="18" t="inlineStr"/>
      <c r="C95" s="17" t="inlineStr"/>
      <c r="D95" s="17">
        <f>IFERROR(VLOOKUP(C95, $B$17:$C$28, 2, FALSE), "")</f>
        <v/>
      </c>
      <c r="E95" s="17" t="inlineStr"/>
      <c r="F95" s="17" t="inlineStr"/>
      <c r="G95" s="34" t="inlineStr"/>
      <c r="H95" s="18" t="inlineStr">
        <is>
          <t>No</t>
        </is>
      </c>
      <c r="I95" s="18" t="inlineStr">
        <is>
          <t>No</t>
        </is>
      </c>
      <c r="J95" s="17" t="inlineStr"/>
    </row>
    <row r="96">
      <c r="A96" s="24" t="inlineStr">
        <is>
          <t>LOG-061</t>
        </is>
      </c>
      <c r="B96" s="24" t="inlineStr"/>
      <c r="C96" s="23" t="inlineStr"/>
      <c r="D96" s="23">
        <f>IFERROR(VLOOKUP(C96, $B$17:$C$28, 2, FALSE), "")</f>
        <v/>
      </c>
      <c r="E96" s="23" t="inlineStr"/>
      <c r="F96" s="23" t="inlineStr"/>
      <c r="G96" s="33" t="inlineStr"/>
      <c r="H96" s="24" t="inlineStr">
        <is>
          <t>No</t>
        </is>
      </c>
      <c r="I96" s="24" t="inlineStr">
        <is>
          <t>No</t>
        </is>
      </c>
      <c r="J96" s="23" t="inlineStr"/>
    </row>
    <row r="97">
      <c r="A97" s="18" t="inlineStr">
        <is>
          <t>LOG-062</t>
        </is>
      </c>
      <c r="B97" s="18" t="inlineStr"/>
      <c r="C97" s="17" t="inlineStr"/>
      <c r="D97" s="17">
        <f>IFERROR(VLOOKUP(C97, $B$17:$C$28, 2, FALSE), "")</f>
        <v/>
      </c>
      <c r="E97" s="17" t="inlineStr"/>
      <c r="F97" s="17" t="inlineStr"/>
      <c r="G97" s="34" t="inlineStr"/>
      <c r="H97" s="18" t="inlineStr">
        <is>
          <t>No</t>
        </is>
      </c>
      <c r="I97" s="18" t="inlineStr">
        <is>
          <t>No</t>
        </is>
      </c>
      <c r="J97" s="17" t="inlineStr"/>
    </row>
    <row r="98">
      <c r="A98" s="24" t="inlineStr">
        <is>
          <t>LOG-063</t>
        </is>
      </c>
      <c r="B98" s="24" t="inlineStr"/>
      <c r="C98" s="23" t="inlineStr"/>
      <c r="D98" s="23">
        <f>IFERROR(VLOOKUP(C98, $B$17:$C$28, 2, FALSE), "")</f>
        <v/>
      </c>
      <c r="E98" s="23" t="inlineStr"/>
      <c r="F98" s="23" t="inlineStr"/>
      <c r="G98" s="33" t="inlineStr"/>
      <c r="H98" s="24" t="inlineStr">
        <is>
          <t>No</t>
        </is>
      </c>
      <c r="I98" s="24" t="inlineStr">
        <is>
          <t>No</t>
        </is>
      </c>
      <c r="J98" s="23" t="inlineStr"/>
    </row>
    <row r="99">
      <c r="A99" s="18" t="inlineStr">
        <is>
          <t>LOG-064</t>
        </is>
      </c>
      <c r="B99" s="18" t="inlineStr"/>
      <c r="C99" s="17" t="inlineStr"/>
      <c r="D99" s="17">
        <f>IFERROR(VLOOKUP(C99, $B$17:$C$28, 2, FALSE), "")</f>
        <v/>
      </c>
      <c r="E99" s="17" t="inlineStr"/>
      <c r="F99" s="17" t="inlineStr"/>
      <c r="G99" s="34" t="inlineStr"/>
      <c r="H99" s="18" t="inlineStr">
        <is>
          <t>No</t>
        </is>
      </c>
      <c r="I99" s="18" t="inlineStr">
        <is>
          <t>No</t>
        </is>
      </c>
      <c r="J99" s="17" t="inlineStr"/>
    </row>
    <row r="100">
      <c r="A100" s="24" t="inlineStr">
        <is>
          <t>LOG-065</t>
        </is>
      </c>
      <c r="B100" s="24" t="inlineStr"/>
      <c r="C100" s="23" t="inlineStr"/>
      <c r="D100" s="23">
        <f>IFERROR(VLOOKUP(C100, $B$17:$C$28, 2, FALSE), "")</f>
        <v/>
      </c>
      <c r="E100" s="23" t="inlineStr"/>
      <c r="F100" s="23" t="inlineStr"/>
      <c r="G100" s="33" t="inlineStr"/>
      <c r="H100" s="24" t="inlineStr">
        <is>
          <t>No</t>
        </is>
      </c>
      <c r="I100" s="24" t="inlineStr">
        <is>
          <t>No</t>
        </is>
      </c>
      <c r="J100" s="23" t="inlineStr"/>
    </row>
    <row r="101">
      <c r="A101" s="18" t="inlineStr">
        <is>
          <t>LOG-066</t>
        </is>
      </c>
      <c r="B101" s="18" t="inlineStr"/>
      <c r="C101" s="17" t="inlineStr"/>
      <c r="D101" s="17">
        <f>IFERROR(VLOOKUP(C101, $B$17:$C$28, 2, FALSE), "")</f>
        <v/>
      </c>
      <c r="E101" s="17" t="inlineStr"/>
      <c r="F101" s="17" t="inlineStr"/>
      <c r="G101" s="34" t="inlineStr"/>
      <c r="H101" s="18" t="inlineStr">
        <is>
          <t>No</t>
        </is>
      </c>
      <c r="I101" s="18" t="inlineStr">
        <is>
          <t>No</t>
        </is>
      </c>
      <c r="J101" s="17" t="inlineStr"/>
    </row>
    <row r="102">
      <c r="A102" s="24" t="inlineStr">
        <is>
          <t>LOG-067</t>
        </is>
      </c>
      <c r="B102" s="24" t="inlineStr"/>
      <c r="C102" s="23" t="inlineStr"/>
      <c r="D102" s="23">
        <f>IFERROR(VLOOKUP(C102, $B$17:$C$28, 2, FALSE), "")</f>
        <v/>
      </c>
      <c r="E102" s="23" t="inlineStr"/>
      <c r="F102" s="23" t="inlineStr"/>
      <c r="G102" s="33" t="inlineStr"/>
      <c r="H102" s="24" t="inlineStr">
        <is>
          <t>No</t>
        </is>
      </c>
      <c r="I102" s="24" t="inlineStr">
        <is>
          <t>No</t>
        </is>
      </c>
      <c r="J102" s="23" t="inlineStr"/>
    </row>
    <row r="103">
      <c r="A103" s="18" t="inlineStr">
        <is>
          <t>LOG-068</t>
        </is>
      </c>
      <c r="B103" s="18" t="inlineStr"/>
      <c r="C103" s="17" t="inlineStr"/>
      <c r="D103" s="17">
        <f>IFERROR(VLOOKUP(C103, $B$17:$C$28, 2, FALSE), "")</f>
        <v/>
      </c>
      <c r="E103" s="17" t="inlineStr"/>
      <c r="F103" s="17" t="inlineStr"/>
      <c r="G103" s="34" t="inlineStr"/>
      <c r="H103" s="18" t="inlineStr">
        <is>
          <t>No</t>
        </is>
      </c>
      <c r="I103" s="18" t="inlineStr">
        <is>
          <t>No</t>
        </is>
      </c>
      <c r="J103" s="17" t="inlineStr"/>
    </row>
    <row r="104">
      <c r="A104" s="24" t="inlineStr">
        <is>
          <t>LOG-069</t>
        </is>
      </c>
      <c r="B104" s="24" t="inlineStr"/>
      <c r="C104" s="23" t="inlineStr"/>
      <c r="D104" s="23">
        <f>IFERROR(VLOOKUP(C104, $B$17:$C$28, 2, FALSE), "")</f>
        <v/>
      </c>
      <c r="E104" s="23" t="inlineStr"/>
      <c r="F104" s="23" t="inlineStr"/>
      <c r="G104" s="33" t="inlineStr"/>
      <c r="H104" s="24" t="inlineStr">
        <is>
          <t>No</t>
        </is>
      </c>
      <c r="I104" s="24" t="inlineStr">
        <is>
          <t>No</t>
        </is>
      </c>
      <c r="J104" s="23" t="inlineStr"/>
    </row>
    <row r="105">
      <c r="A105" s="18" t="inlineStr">
        <is>
          <t>LOG-070</t>
        </is>
      </c>
      <c r="B105" s="18" t="inlineStr"/>
      <c r="C105" s="17" t="inlineStr"/>
      <c r="D105" s="17">
        <f>IFERROR(VLOOKUP(C105, $B$17:$C$28, 2, FALSE), "")</f>
        <v/>
      </c>
      <c r="E105" s="17" t="inlineStr"/>
      <c r="F105" s="17" t="inlineStr"/>
      <c r="G105" s="34" t="inlineStr"/>
      <c r="H105" s="18" t="inlineStr">
        <is>
          <t>No</t>
        </is>
      </c>
      <c r="I105" s="18" t="inlineStr">
        <is>
          <t>No</t>
        </is>
      </c>
      <c r="J105" s="17" t="inlineStr"/>
    </row>
    <row r="106">
      <c r="A106" s="24" t="inlineStr">
        <is>
          <t>LOG-071</t>
        </is>
      </c>
      <c r="B106" s="24" t="inlineStr"/>
      <c r="C106" s="23" t="inlineStr"/>
      <c r="D106" s="23">
        <f>IFERROR(VLOOKUP(C106, $B$17:$C$28, 2, FALSE), "")</f>
        <v/>
      </c>
      <c r="E106" s="23" t="inlineStr"/>
      <c r="F106" s="23" t="inlineStr"/>
      <c r="G106" s="33" t="inlineStr"/>
      <c r="H106" s="24" t="inlineStr">
        <is>
          <t>No</t>
        </is>
      </c>
      <c r="I106" s="24" t="inlineStr">
        <is>
          <t>No</t>
        </is>
      </c>
      <c r="J106" s="23" t="inlineStr"/>
    </row>
    <row r="107">
      <c r="A107" s="18" t="inlineStr">
        <is>
          <t>LOG-072</t>
        </is>
      </c>
      <c r="B107" s="18" t="inlineStr"/>
      <c r="C107" s="17" t="inlineStr"/>
      <c r="D107" s="17">
        <f>IFERROR(VLOOKUP(C107, $B$17:$C$28, 2, FALSE), "")</f>
        <v/>
      </c>
      <c r="E107" s="17" t="inlineStr"/>
      <c r="F107" s="17" t="inlineStr"/>
      <c r="G107" s="34" t="inlineStr"/>
      <c r="H107" s="18" t="inlineStr">
        <is>
          <t>No</t>
        </is>
      </c>
      <c r="I107" s="18" t="inlineStr">
        <is>
          <t>No</t>
        </is>
      </c>
      <c r="J107" s="17" t="inlineStr"/>
    </row>
    <row r="108">
      <c r="A108" s="24" t="inlineStr">
        <is>
          <t>LOG-073</t>
        </is>
      </c>
      <c r="B108" s="24" t="inlineStr"/>
      <c r="C108" s="23" t="inlineStr"/>
      <c r="D108" s="23">
        <f>IFERROR(VLOOKUP(C108, $B$17:$C$28, 2, FALSE), "")</f>
        <v/>
      </c>
      <c r="E108" s="23" t="inlineStr"/>
      <c r="F108" s="23" t="inlineStr"/>
      <c r="G108" s="33" t="inlineStr"/>
      <c r="H108" s="24" t="inlineStr">
        <is>
          <t>No</t>
        </is>
      </c>
      <c r="I108" s="24" t="inlineStr">
        <is>
          <t>No</t>
        </is>
      </c>
      <c r="J108" s="23" t="inlineStr"/>
    </row>
    <row r="109">
      <c r="A109" s="18" t="inlineStr">
        <is>
          <t>LOG-074</t>
        </is>
      </c>
      <c r="B109" s="18" t="inlineStr"/>
      <c r="C109" s="17" t="inlineStr"/>
      <c r="D109" s="17">
        <f>IFERROR(VLOOKUP(C109, $B$17:$C$28, 2, FALSE), "")</f>
        <v/>
      </c>
      <c r="E109" s="17" t="inlineStr"/>
      <c r="F109" s="17" t="inlineStr"/>
      <c r="G109" s="34" t="inlineStr"/>
      <c r="H109" s="18" t="inlineStr">
        <is>
          <t>No</t>
        </is>
      </c>
      <c r="I109" s="18" t="inlineStr">
        <is>
          <t>No</t>
        </is>
      </c>
      <c r="J109" s="17" t="inlineStr"/>
    </row>
    <row r="110">
      <c r="A110" s="24" t="inlineStr">
        <is>
          <t>LOG-075</t>
        </is>
      </c>
      <c r="B110" s="24" t="inlineStr"/>
      <c r="C110" s="23" t="inlineStr"/>
      <c r="D110" s="23">
        <f>IFERROR(VLOOKUP(C110, $B$17:$C$28, 2, FALSE), "")</f>
        <v/>
      </c>
      <c r="E110" s="23" t="inlineStr"/>
      <c r="F110" s="23" t="inlineStr"/>
      <c r="G110" s="33" t="inlineStr"/>
      <c r="H110" s="24" t="inlineStr">
        <is>
          <t>No</t>
        </is>
      </c>
      <c r="I110" s="24" t="inlineStr">
        <is>
          <t>No</t>
        </is>
      </c>
      <c r="J110" s="23" t="inlineStr"/>
    </row>
    <row r="111">
      <c r="A111" s="18" t="inlineStr">
        <is>
          <t>LOG-076</t>
        </is>
      </c>
      <c r="B111" s="18" t="inlineStr"/>
      <c r="C111" s="17" t="inlineStr"/>
      <c r="D111" s="17">
        <f>IFERROR(VLOOKUP(C111, $B$17:$C$28, 2, FALSE), "")</f>
        <v/>
      </c>
      <c r="E111" s="17" t="inlineStr"/>
      <c r="F111" s="17" t="inlineStr"/>
      <c r="G111" s="34" t="inlineStr"/>
      <c r="H111" s="18" t="inlineStr">
        <is>
          <t>No</t>
        </is>
      </c>
      <c r="I111" s="18" t="inlineStr">
        <is>
          <t>No</t>
        </is>
      </c>
      <c r="J111" s="17" t="inlineStr"/>
    </row>
    <row r="112">
      <c r="A112" s="24" t="inlineStr">
        <is>
          <t>LOG-077</t>
        </is>
      </c>
      <c r="B112" s="24" t="inlineStr"/>
      <c r="C112" s="23" t="inlineStr"/>
      <c r="D112" s="23">
        <f>IFERROR(VLOOKUP(C112, $B$17:$C$28, 2, FALSE), "")</f>
        <v/>
      </c>
      <c r="E112" s="23" t="inlineStr"/>
      <c r="F112" s="23" t="inlineStr"/>
      <c r="G112" s="33" t="inlineStr"/>
      <c r="H112" s="24" t="inlineStr">
        <is>
          <t>No</t>
        </is>
      </c>
      <c r="I112" s="24" t="inlineStr">
        <is>
          <t>No</t>
        </is>
      </c>
      <c r="J112" s="23" t="inlineStr"/>
    </row>
    <row r="113">
      <c r="A113" s="18" t="inlineStr">
        <is>
          <t>LOG-078</t>
        </is>
      </c>
      <c r="B113" s="18" t="inlineStr"/>
      <c r="C113" s="17" t="inlineStr"/>
      <c r="D113" s="17">
        <f>IFERROR(VLOOKUP(C113, $B$17:$C$28, 2, FALSE), "")</f>
        <v/>
      </c>
      <c r="E113" s="17" t="inlineStr"/>
      <c r="F113" s="17" t="inlineStr"/>
      <c r="G113" s="34" t="inlineStr"/>
      <c r="H113" s="18" t="inlineStr">
        <is>
          <t>No</t>
        </is>
      </c>
      <c r="I113" s="18" t="inlineStr">
        <is>
          <t>No</t>
        </is>
      </c>
      <c r="J113" s="17" t="inlineStr"/>
    </row>
    <row r="114">
      <c r="A114" s="24" t="inlineStr">
        <is>
          <t>LOG-079</t>
        </is>
      </c>
      <c r="B114" s="24" t="inlineStr"/>
      <c r="C114" s="23" t="inlineStr"/>
      <c r="D114" s="23">
        <f>IFERROR(VLOOKUP(C114, $B$17:$C$28, 2, FALSE), "")</f>
        <v/>
      </c>
      <c r="E114" s="23" t="inlineStr"/>
      <c r="F114" s="23" t="inlineStr"/>
      <c r="G114" s="33" t="inlineStr"/>
      <c r="H114" s="24" t="inlineStr">
        <is>
          <t>No</t>
        </is>
      </c>
      <c r="I114" s="24" t="inlineStr">
        <is>
          <t>No</t>
        </is>
      </c>
      <c r="J114" s="23" t="inlineStr"/>
    </row>
    <row r="115">
      <c r="A115" s="18" t="inlineStr">
        <is>
          <t>LOG-080</t>
        </is>
      </c>
      <c r="B115" s="18" t="inlineStr"/>
      <c r="C115" s="17" t="inlineStr"/>
      <c r="D115" s="17">
        <f>IFERROR(VLOOKUP(C115, $B$17:$C$28, 2, FALSE), "")</f>
        <v/>
      </c>
      <c r="E115" s="17" t="inlineStr"/>
      <c r="F115" s="17" t="inlineStr"/>
      <c r="G115" s="34" t="inlineStr"/>
      <c r="H115" s="18" t="inlineStr">
        <is>
          <t>No</t>
        </is>
      </c>
      <c r="I115" s="18" t="inlineStr">
        <is>
          <t>No</t>
        </is>
      </c>
      <c r="J115" s="17" t="inlineStr"/>
    </row>
    <row r="116">
      <c r="A116" s="24" t="inlineStr">
        <is>
          <t>LOG-081</t>
        </is>
      </c>
      <c r="B116" s="24" t="inlineStr"/>
      <c r="C116" s="23" t="inlineStr"/>
      <c r="D116" s="23">
        <f>IFERROR(VLOOKUP(C116, $B$17:$C$28, 2, FALSE), "")</f>
        <v/>
      </c>
      <c r="E116" s="23" t="inlineStr"/>
      <c r="F116" s="23" t="inlineStr"/>
      <c r="G116" s="33" t="inlineStr"/>
      <c r="H116" s="24" t="inlineStr">
        <is>
          <t>No</t>
        </is>
      </c>
      <c r="I116" s="24" t="inlineStr">
        <is>
          <t>No</t>
        </is>
      </c>
      <c r="J116" s="23" t="inlineStr"/>
    </row>
    <row r="117">
      <c r="A117" s="18" t="inlineStr">
        <is>
          <t>LOG-082</t>
        </is>
      </c>
      <c r="B117" s="18" t="inlineStr"/>
      <c r="C117" s="17" t="inlineStr"/>
      <c r="D117" s="17">
        <f>IFERROR(VLOOKUP(C117, $B$17:$C$28, 2, FALSE), "")</f>
        <v/>
      </c>
      <c r="E117" s="17" t="inlineStr"/>
      <c r="F117" s="17" t="inlineStr"/>
      <c r="G117" s="34" t="inlineStr"/>
      <c r="H117" s="18" t="inlineStr">
        <is>
          <t>No</t>
        </is>
      </c>
      <c r="I117" s="18" t="inlineStr">
        <is>
          <t>No</t>
        </is>
      </c>
      <c r="J117" s="17" t="inlineStr"/>
    </row>
    <row r="118">
      <c r="A118" s="24" t="inlineStr">
        <is>
          <t>LOG-083</t>
        </is>
      </c>
      <c r="B118" s="24" t="inlineStr"/>
      <c r="C118" s="23" t="inlineStr"/>
      <c r="D118" s="23">
        <f>IFERROR(VLOOKUP(C118, $B$17:$C$28, 2, FALSE), "")</f>
        <v/>
      </c>
      <c r="E118" s="23" t="inlineStr"/>
      <c r="F118" s="23" t="inlineStr"/>
      <c r="G118" s="33" t="inlineStr"/>
      <c r="H118" s="24" t="inlineStr">
        <is>
          <t>No</t>
        </is>
      </c>
      <c r="I118" s="24" t="inlineStr">
        <is>
          <t>No</t>
        </is>
      </c>
      <c r="J118" s="23" t="inlineStr"/>
    </row>
    <row r="119">
      <c r="A119" s="18" t="inlineStr">
        <is>
          <t>LOG-084</t>
        </is>
      </c>
      <c r="B119" s="18" t="inlineStr"/>
      <c r="C119" s="17" t="inlineStr"/>
      <c r="D119" s="17">
        <f>IFERROR(VLOOKUP(C119, $B$17:$C$28, 2, FALSE), "")</f>
        <v/>
      </c>
      <c r="E119" s="17" t="inlineStr"/>
      <c r="F119" s="17" t="inlineStr"/>
      <c r="G119" s="34" t="inlineStr"/>
      <c r="H119" s="18" t="inlineStr">
        <is>
          <t>No</t>
        </is>
      </c>
      <c r="I119" s="18" t="inlineStr">
        <is>
          <t>No</t>
        </is>
      </c>
      <c r="J119" s="17" t="inlineStr"/>
    </row>
    <row r="120">
      <c r="A120" s="24" t="inlineStr">
        <is>
          <t>LOG-085</t>
        </is>
      </c>
      <c r="B120" s="24" t="inlineStr"/>
      <c r="C120" s="23" t="inlineStr"/>
      <c r="D120" s="23">
        <f>IFERROR(VLOOKUP(C120, $B$17:$C$28, 2, FALSE), "")</f>
        <v/>
      </c>
      <c r="E120" s="23" t="inlineStr"/>
      <c r="F120" s="23" t="inlineStr"/>
      <c r="G120" s="33" t="inlineStr"/>
      <c r="H120" s="24" t="inlineStr">
        <is>
          <t>No</t>
        </is>
      </c>
      <c r="I120" s="24" t="inlineStr">
        <is>
          <t>No</t>
        </is>
      </c>
      <c r="J120" s="23" t="inlineStr"/>
    </row>
    <row r="121">
      <c r="A121" s="18" t="inlineStr">
        <is>
          <t>LOG-086</t>
        </is>
      </c>
      <c r="B121" s="18" t="inlineStr"/>
      <c r="C121" s="17" t="inlineStr"/>
      <c r="D121" s="17">
        <f>IFERROR(VLOOKUP(C121, $B$17:$C$28, 2, FALSE), "")</f>
        <v/>
      </c>
      <c r="E121" s="17" t="inlineStr"/>
      <c r="F121" s="17" t="inlineStr"/>
      <c r="G121" s="34" t="inlineStr"/>
      <c r="H121" s="18" t="inlineStr">
        <is>
          <t>No</t>
        </is>
      </c>
      <c r="I121" s="18" t="inlineStr">
        <is>
          <t>No</t>
        </is>
      </c>
      <c r="J121" s="17" t="inlineStr"/>
    </row>
    <row r="122">
      <c r="A122" s="24" t="inlineStr">
        <is>
          <t>LOG-087</t>
        </is>
      </c>
      <c r="B122" s="24" t="inlineStr"/>
      <c r="C122" s="23" t="inlineStr"/>
      <c r="D122" s="23">
        <f>IFERROR(VLOOKUP(C122, $B$17:$C$28, 2, FALSE), "")</f>
        <v/>
      </c>
      <c r="E122" s="23" t="inlineStr"/>
      <c r="F122" s="23" t="inlineStr"/>
      <c r="G122" s="33" t="inlineStr"/>
      <c r="H122" s="24" t="inlineStr">
        <is>
          <t>No</t>
        </is>
      </c>
      <c r="I122" s="24" t="inlineStr">
        <is>
          <t>No</t>
        </is>
      </c>
      <c r="J122" s="23" t="inlineStr"/>
    </row>
    <row r="123">
      <c r="A123" s="18" t="inlineStr">
        <is>
          <t>LOG-088</t>
        </is>
      </c>
      <c r="B123" s="18" t="inlineStr"/>
      <c r="C123" s="17" t="inlineStr"/>
      <c r="D123" s="17">
        <f>IFERROR(VLOOKUP(C123, $B$17:$C$28, 2, FALSE), "")</f>
        <v/>
      </c>
      <c r="E123" s="17" t="inlineStr"/>
      <c r="F123" s="17" t="inlineStr"/>
      <c r="G123" s="34" t="inlineStr"/>
      <c r="H123" s="18" t="inlineStr">
        <is>
          <t>No</t>
        </is>
      </c>
      <c r="I123" s="18" t="inlineStr">
        <is>
          <t>No</t>
        </is>
      </c>
      <c r="J123" s="17" t="inlineStr"/>
    </row>
    <row r="124">
      <c r="A124" s="24" t="inlineStr">
        <is>
          <t>LOG-089</t>
        </is>
      </c>
      <c r="B124" s="24" t="inlineStr"/>
      <c r="C124" s="23" t="inlineStr"/>
      <c r="D124" s="23">
        <f>IFERROR(VLOOKUP(C124, $B$17:$C$28, 2, FALSE), "")</f>
        <v/>
      </c>
      <c r="E124" s="23" t="inlineStr"/>
      <c r="F124" s="23" t="inlineStr"/>
      <c r="G124" s="33" t="inlineStr"/>
      <c r="H124" s="24" t="inlineStr">
        <is>
          <t>No</t>
        </is>
      </c>
      <c r="I124" s="24" t="inlineStr">
        <is>
          <t>No</t>
        </is>
      </c>
      <c r="J124" s="23" t="inlineStr"/>
    </row>
    <row r="125">
      <c r="A125" s="18" t="inlineStr">
        <is>
          <t>LOG-090</t>
        </is>
      </c>
      <c r="B125" s="18" t="inlineStr"/>
      <c r="C125" s="17" t="inlineStr"/>
      <c r="D125" s="17">
        <f>IFERROR(VLOOKUP(C125, $B$17:$C$28, 2, FALSE), "")</f>
        <v/>
      </c>
      <c r="E125" s="17" t="inlineStr"/>
      <c r="F125" s="17" t="inlineStr"/>
      <c r="G125" s="34" t="inlineStr"/>
      <c r="H125" s="18" t="inlineStr">
        <is>
          <t>No</t>
        </is>
      </c>
      <c r="I125" s="18" t="inlineStr">
        <is>
          <t>No</t>
        </is>
      </c>
      <c r="J125" s="17" t="inlineStr"/>
    </row>
    <row r="126">
      <c r="A126" s="24" t="inlineStr">
        <is>
          <t>LOG-091</t>
        </is>
      </c>
      <c r="B126" s="24" t="inlineStr"/>
      <c r="C126" s="23" t="inlineStr"/>
      <c r="D126" s="23">
        <f>IFERROR(VLOOKUP(C126, $B$17:$C$28, 2, FALSE), "")</f>
        <v/>
      </c>
      <c r="E126" s="23" t="inlineStr"/>
      <c r="F126" s="23" t="inlineStr"/>
      <c r="G126" s="33" t="inlineStr"/>
      <c r="H126" s="24" t="inlineStr">
        <is>
          <t>No</t>
        </is>
      </c>
      <c r="I126" s="24" t="inlineStr">
        <is>
          <t>No</t>
        </is>
      </c>
      <c r="J126" s="23" t="inlineStr"/>
    </row>
    <row r="127">
      <c r="A127" s="18" t="inlineStr">
        <is>
          <t>LOG-092</t>
        </is>
      </c>
      <c r="B127" s="18" t="inlineStr"/>
      <c r="C127" s="17" t="inlineStr"/>
      <c r="D127" s="17">
        <f>IFERROR(VLOOKUP(C127, $B$17:$C$28, 2, FALSE), "")</f>
        <v/>
      </c>
      <c r="E127" s="17" t="inlineStr"/>
      <c r="F127" s="17" t="inlineStr"/>
      <c r="G127" s="34" t="inlineStr"/>
      <c r="H127" s="18" t="inlineStr">
        <is>
          <t>No</t>
        </is>
      </c>
      <c r="I127" s="18" t="inlineStr">
        <is>
          <t>No</t>
        </is>
      </c>
      <c r="J127" s="17" t="inlineStr"/>
    </row>
    <row r="128">
      <c r="A128" s="24" t="inlineStr">
        <is>
          <t>LOG-093</t>
        </is>
      </c>
      <c r="B128" s="24" t="inlineStr"/>
      <c r="C128" s="23" t="inlineStr"/>
      <c r="D128" s="23">
        <f>IFERROR(VLOOKUP(C128, $B$17:$C$28, 2, FALSE), "")</f>
        <v/>
      </c>
      <c r="E128" s="23" t="inlineStr"/>
      <c r="F128" s="23" t="inlineStr"/>
      <c r="G128" s="33" t="inlineStr"/>
      <c r="H128" s="24" t="inlineStr">
        <is>
          <t>No</t>
        </is>
      </c>
      <c r="I128" s="24" t="inlineStr">
        <is>
          <t>No</t>
        </is>
      </c>
      <c r="J128" s="23" t="inlineStr"/>
    </row>
    <row r="129">
      <c r="A129" s="18" t="inlineStr">
        <is>
          <t>LOG-094</t>
        </is>
      </c>
      <c r="B129" s="18" t="inlineStr"/>
      <c r="C129" s="17" t="inlineStr"/>
      <c r="D129" s="17">
        <f>IFERROR(VLOOKUP(C129, $B$17:$C$28, 2, FALSE), "")</f>
        <v/>
      </c>
      <c r="E129" s="17" t="inlineStr"/>
      <c r="F129" s="17" t="inlineStr"/>
      <c r="G129" s="34" t="inlineStr"/>
      <c r="H129" s="18" t="inlineStr">
        <is>
          <t>No</t>
        </is>
      </c>
      <c r="I129" s="18" t="inlineStr">
        <is>
          <t>No</t>
        </is>
      </c>
      <c r="J129" s="17" t="inlineStr"/>
    </row>
    <row r="130">
      <c r="A130" s="24" t="inlineStr">
        <is>
          <t>LOG-095</t>
        </is>
      </c>
      <c r="B130" s="24" t="inlineStr"/>
      <c r="C130" s="23" t="inlineStr"/>
      <c r="D130" s="23">
        <f>IFERROR(VLOOKUP(C130, $B$17:$C$28, 2, FALSE), "")</f>
        <v/>
      </c>
      <c r="E130" s="23" t="inlineStr"/>
      <c r="F130" s="23" t="inlineStr"/>
      <c r="G130" s="33" t="inlineStr"/>
      <c r="H130" s="24" t="inlineStr">
        <is>
          <t>No</t>
        </is>
      </c>
      <c r="I130" s="24" t="inlineStr">
        <is>
          <t>No</t>
        </is>
      </c>
      <c r="J130" s="23" t="inlineStr"/>
    </row>
    <row r="131">
      <c r="A131" s="18" t="inlineStr">
        <is>
          <t>LOG-096</t>
        </is>
      </c>
      <c r="B131" s="18" t="inlineStr"/>
      <c r="C131" s="17" t="inlineStr"/>
      <c r="D131" s="17">
        <f>IFERROR(VLOOKUP(C131, $B$17:$C$28, 2, FALSE), "")</f>
        <v/>
      </c>
      <c r="E131" s="17" t="inlineStr"/>
      <c r="F131" s="17" t="inlineStr"/>
      <c r="G131" s="34" t="inlineStr"/>
      <c r="H131" s="18" t="inlineStr">
        <is>
          <t>No</t>
        </is>
      </c>
      <c r="I131" s="18" t="inlineStr">
        <is>
          <t>No</t>
        </is>
      </c>
      <c r="J131" s="17" t="inlineStr"/>
    </row>
    <row r="132">
      <c r="A132" s="24" t="inlineStr">
        <is>
          <t>LOG-097</t>
        </is>
      </c>
      <c r="B132" s="24" t="inlineStr"/>
      <c r="C132" s="23" t="inlineStr"/>
      <c r="D132" s="23">
        <f>IFERROR(VLOOKUP(C132, $B$17:$C$28, 2, FALSE), "")</f>
        <v/>
      </c>
      <c r="E132" s="23" t="inlineStr"/>
      <c r="F132" s="23" t="inlineStr"/>
      <c r="G132" s="33" t="inlineStr"/>
      <c r="H132" s="24" t="inlineStr">
        <is>
          <t>No</t>
        </is>
      </c>
      <c r="I132" s="24" t="inlineStr">
        <is>
          <t>No</t>
        </is>
      </c>
      <c r="J132" s="23" t="inlineStr"/>
    </row>
    <row r="133">
      <c r="A133" s="18" t="inlineStr">
        <is>
          <t>LOG-098</t>
        </is>
      </c>
      <c r="B133" s="18" t="inlineStr"/>
      <c r="C133" s="17" t="inlineStr"/>
      <c r="D133" s="17">
        <f>IFERROR(VLOOKUP(C133, $B$17:$C$28, 2, FALSE), "")</f>
        <v/>
      </c>
      <c r="E133" s="17" t="inlineStr"/>
      <c r="F133" s="17" t="inlineStr"/>
      <c r="G133" s="34" t="inlineStr"/>
      <c r="H133" s="18" t="inlineStr">
        <is>
          <t>No</t>
        </is>
      </c>
      <c r="I133" s="18" t="inlineStr">
        <is>
          <t>No</t>
        </is>
      </c>
      <c r="J133" s="17" t="inlineStr"/>
    </row>
    <row r="134">
      <c r="A134" s="24" t="inlineStr">
        <is>
          <t>LOG-099</t>
        </is>
      </c>
      <c r="B134" s="24" t="inlineStr"/>
      <c r="C134" s="23" t="inlineStr"/>
      <c r="D134" s="23">
        <f>IFERROR(VLOOKUP(C134, $B$17:$C$28, 2, FALSE), "")</f>
        <v/>
      </c>
      <c r="E134" s="23" t="inlineStr"/>
      <c r="F134" s="23" t="inlineStr"/>
      <c r="G134" s="33" t="inlineStr"/>
      <c r="H134" s="24" t="inlineStr">
        <is>
          <t>No</t>
        </is>
      </c>
      <c r="I134" s="24" t="inlineStr">
        <is>
          <t>No</t>
        </is>
      </c>
      <c r="J134" s="23" t="inlineStr"/>
    </row>
    <row r="135">
      <c r="A135" s="18" t="inlineStr">
        <is>
          <t>LOG-100</t>
        </is>
      </c>
      <c r="B135" s="18" t="inlineStr"/>
      <c r="C135" s="17" t="inlineStr"/>
      <c r="D135" s="17">
        <f>IFERROR(VLOOKUP(C135, $B$17:$C$28, 2, FALSE), "")</f>
        <v/>
      </c>
      <c r="E135" s="17" t="inlineStr"/>
      <c r="F135" s="17" t="inlineStr"/>
      <c r="G135" s="34" t="inlineStr"/>
      <c r="H135" s="18" t="inlineStr">
        <is>
          <t>No</t>
        </is>
      </c>
      <c r="I135" s="18" t="inlineStr">
        <is>
          <t>No</t>
        </is>
      </c>
      <c r="J135" s="17" t="inlineStr"/>
    </row>
    <row r="136">
      <c r="A136" s="24" t="inlineStr">
        <is>
          <t>LOG-101</t>
        </is>
      </c>
      <c r="B136" s="24" t="inlineStr"/>
      <c r="C136" s="23" t="inlineStr"/>
      <c r="D136" s="23">
        <f>IFERROR(VLOOKUP(C136, $B$17:$C$28, 2, FALSE), "")</f>
        <v/>
      </c>
      <c r="E136" s="23" t="inlineStr"/>
      <c r="F136" s="23" t="inlineStr"/>
      <c r="G136" s="33" t="inlineStr"/>
      <c r="H136" s="24" t="inlineStr">
        <is>
          <t>No</t>
        </is>
      </c>
      <c r="I136" s="24" t="inlineStr">
        <is>
          <t>No</t>
        </is>
      </c>
      <c r="J136" s="23" t="inlineStr"/>
    </row>
    <row r="137">
      <c r="A137" s="18" t="inlineStr">
        <is>
          <t>LOG-102</t>
        </is>
      </c>
      <c r="B137" s="18" t="inlineStr"/>
      <c r="C137" s="17" t="inlineStr"/>
      <c r="D137" s="17">
        <f>IFERROR(VLOOKUP(C137, $B$17:$C$28, 2, FALSE), "")</f>
        <v/>
      </c>
      <c r="E137" s="17" t="inlineStr"/>
      <c r="F137" s="17" t="inlineStr"/>
      <c r="G137" s="34" t="inlineStr"/>
      <c r="H137" s="18" t="inlineStr">
        <is>
          <t>No</t>
        </is>
      </c>
      <c r="I137" s="18" t="inlineStr">
        <is>
          <t>No</t>
        </is>
      </c>
      <c r="J137" s="17" t="inlineStr"/>
    </row>
    <row r="138">
      <c r="A138" s="24" t="inlineStr">
        <is>
          <t>LOG-103</t>
        </is>
      </c>
      <c r="B138" s="24" t="inlineStr"/>
      <c r="C138" s="23" t="inlineStr"/>
      <c r="D138" s="23">
        <f>IFERROR(VLOOKUP(C138, $B$17:$C$28, 2, FALSE), "")</f>
        <v/>
      </c>
      <c r="E138" s="23" t="inlineStr"/>
      <c r="F138" s="23" t="inlineStr"/>
      <c r="G138" s="33" t="inlineStr"/>
      <c r="H138" s="24" t="inlineStr">
        <is>
          <t>No</t>
        </is>
      </c>
      <c r="I138" s="24" t="inlineStr">
        <is>
          <t>No</t>
        </is>
      </c>
      <c r="J138" s="23" t="inlineStr"/>
    </row>
    <row r="139">
      <c r="A139" s="18" t="inlineStr">
        <is>
          <t>LOG-104</t>
        </is>
      </c>
      <c r="B139" s="18" t="inlineStr"/>
      <c r="C139" s="17" t="inlineStr"/>
      <c r="D139" s="17">
        <f>IFERROR(VLOOKUP(C139, $B$17:$C$28, 2, FALSE), "")</f>
        <v/>
      </c>
      <c r="E139" s="17" t="inlineStr"/>
      <c r="F139" s="17" t="inlineStr"/>
      <c r="G139" s="34" t="inlineStr"/>
      <c r="H139" s="18" t="inlineStr">
        <is>
          <t>No</t>
        </is>
      </c>
      <c r="I139" s="18" t="inlineStr">
        <is>
          <t>No</t>
        </is>
      </c>
      <c r="J139" s="17" t="inlineStr"/>
    </row>
    <row r="140">
      <c r="A140" s="24" t="inlineStr">
        <is>
          <t>LOG-105</t>
        </is>
      </c>
      <c r="B140" s="24" t="inlineStr"/>
      <c r="C140" s="23" t="inlineStr"/>
      <c r="D140" s="23">
        <f>IFERROR(VLOOKUP(C140, $B$17:$C$28, 2, FALSE), "")</f>
        <v/>
      </c>
      <c r="E140" s="23" t="inlineStr"/>
      <c r="F140" s="23" t="inlineStr"/>
      <c r="G140" s="33" t="inlineStr"/>
      <c r="H140" s="24" t="inlineStr">
        <is>
          <t>No</t>
        </is>
      </c>
      <c r="I140" s="24" t="inlineStr">
        <is>
          <t>No</t>
        </is>
      </c>
      <c r="J140" s="23" t="inlineStr"/>
    </row>
    <row r="141">
      <c r="A141" s="18" t="inlineStr">
        <is>
          <t>LOG-106</t>
        </is>
      </c>
      <c r="B141" s="18" t="inlineStr"/>
      <c r="C141" s="17" t="inlineStr"/>
      <c r="D141" s="17">
        <f>IFERROR(VLOOKUP(C141, $B$17:$C$28, 2, FALSE), "")</f>
        <v/>
      </c>
      <c r="E141" s="17" t="inlineStr"/>
      <c r="F141" s="17" t="inlineStr"/>
      <c r="G141" s="34" t="inlineStr"/>
      <c r="H141" s="18" t="inlineStr">
        <is>
          <t>No</t>
        </is>
      </c>
      <c r="I141" s="18" t="inlineStr">
        <is>
          <t>No</t>
        </is>
      </c>
      <c r="J141" s="17" t="inlineStr"/>
    </row>
    <row r="142">
      <c r="A142" s="24" t="inlineStr">
        <is>
          <t>LOG-107</t>
        </is>
      </c>
      <c r="B142" s="24" t="inlineStr"/>
      <c r="C142" s="23" t="inlineStr"/>
      <c r="D142" s="23">
        <f>IFERROR(VLOOKUP(C142, $B$17:$C$28, 2, FALSE), "")</f>
        <v/>
      </c>
      <c r="E142" s="23" t="inlineStr"/>
      <c r="F142" s="23" t="inlineStr"/>
      <c r="G142" s="33" t="inlineStr"/>
      <c r="H142" s="24" t="inlineStr">
        <is>
          <t>No</t>
        </is>
      </c>
      <c r="I142" s="24" t="inlineStr">
        <is>
          <t>No</t>
        </is>
      </c>
      <c r="J142" s="23" t="inlineStr"/>
    </row>
    <row r="143">
      <c r="A143" s="18" t="inlineStr">
        <is>
          <t>LOG-108</t>
        </is>
      </c>
      <c r="B143" s="18" t="inlineStr"/>
      <c r="C143" s="17" t="inlineStr"/>
      <c r="D143" s="17">
        <f>IFERROR(VLOOKUP(C143, $B$17:$C$28, 2, FALSE), "")</f>
        <v/>
      </c>
      <c r="E143" s="17" t="inlineStr"/>
      <c r="F143" s="17" t="inlineStr"/>
      <c r="G143" s="34" t="inlineStr"/>
      <c r="H143" s="18" t="inlineStr">
        <is>
          <t>No</t>
        </is>
      </c>
      <c r="I143" s="18" t="inlineStr">
        <is>
          <t>No</t>
        </is>
      </c>
      <c r="J143" s="17" t="inlineStr"/>
    </row>
    <row r="144">
      <c r="A144" s="24" t="inlineStr">
        <is>
          <t>LOG-109</t>
        </is>
      </c>
      <c r="B144" s="24" t="inlineStr"/>
      <c r="C144" s="23" t="inlineStr"/>
      <c r="D144" s="23">
        <f>IFERROR(VLOOKUP(C144, $B$17:$C$28, 2, FALSE), "")</f>
        <v/>
      </c>
      <c r="E144" s="23" t="inlineStr"/>
      <c r="F144" s="23" t="inlineStr"/>
      <c r="G144" s="33" t="inlineStr"/>
      <c r="H144" s="24" t="inlineStr">
        <is>
          <t>No</t>
        </is>
      </c>
      <c r="I144" s="24" t="inlineStr">
        <is>
          <t>No</t>
        </is>
      </c>
      <c r="J144" s="23" t="inlineStr"/>
    </row>
    <row r="145">
      <c r="A145" s="18" t="inlineStr">
        <is>
          <t>LOG-110</t>
        </is>
      </c>
      <c r="B145" s="18" t="inlineStr"/>
      <c r="C145" s="17" t="inlineStr"/>
      <c r="D145" s="17">
        <f>IFERROR(VLOOKUP(C145, $B$17:$C$28, 2, FALSE), "")</f>
        <v/>
      </c>
      <c r="E145" s="17" t="inlineStr"/>
      <c r="F145" s="17" t="inlineStr"/>
      <c r="G145" s="34" t="inlineStr"/>
      <c r="H145" s="18" t="inlineStr">
        <is>
          <t>No</t>
        </is>
      </c>
      <c r="I145" s="18" t="inlineStr">
        <is>
          <t>No</t>
        </is>
      </c>
      <c r="J145" s="17" t="inlineStr"/>
    </row>
    <row r="146">
      <c r="A146" s="24" t="inlineStr">
        <is>
          <t>LOG-111</t>
        </is>
      </c>
      <c r="B146" s="24" t="inlineStr"/>
      <c r="C146" s="23" t="inlineStr"/>
      <c r="D146" s="23">
        <f>IFERROR(VLOOKUP(C146, $B$17:$C$28, 2, FALSE), "")</f>
        <v/>
      </c>
      <c r="E146" s="23" t="inlineStr"/>
      <c r="F146" s="23" t="inlineStr"/>
      <c r="G146" s="33" t="inlineStr"/>
      <c r="H146" s="24" t="inlineStr">
        <is>
          <t>No</t>
        </is>
      </c>
      <c r="I146" s="24" t="inlineStr">
        <is>
          <t>No</t>
        </is>
      </c>
      <c r="J146" s="23" t="inlineStr"/>
    </row>
    <row r="147">
      <c r="A147" s="18" t="inlineStr">
        <is>
          <t>LOG-112</t>
        </is>
      </c>
      <c r="B147" s="18" t="inlineStr"/>
      <c r="C147" s="17" t="inlineStr"/>
      <c r="D147" s="17">
        <f>IFERROR(VLOOKUP(C147, $B$17:$C$28, 2, FALSE), "")</f>
        <v/>
      </c>
      <c r="E147" s="17" t="inlineStr"/>
      <c r="F147" s="17" t="inlineStr"/>
      <c r="G147" s="34" t="inlineStr"/>
      <c r="H147" s="18" t="inlineStr">
        <is>
          <t>No</t>
        </is>
      </c>
      <c r="I147" s="18" t="inlineStr">
        <is>
          <t>No</t>
        </is>
      </c>
      <c r="J147" s="17" t="inlineStr"/>
    </row>
    <row r="148">
      <c r="A148" s="24" t="inlineStr">
        <is>
          <t>LOG-113</t>
        </is>
      </c>
      <c r="B148" s="24" t="inlineStr"/>
      <c r="C148" s="23" t="inlineStr"/>
      <c r="D148" s="23">
        <f>IFERROR(VLOOKUP(C148, $B$17:$C$28, 2, FALSE), "")</f>
        <v/>
      </c>
      <c r="E148" s="23" t="inlineStr"/>
      <c r="F148" s="23" t="inlineStr"/>
      <c r="G148" s="33" t="inlineStr"/>
      <c r="H148" s="24" t="inlineStr">
        <is>
          <t>No</t>
        </is>
      </c>
      <c r="I148" s="24" t="inlineStr">
        <is>
          <t>No</t>
        </is>
      </c>
      <c r="J148" s="23" t="inlineStr"/>
    </row>
    <row r="149">
      <c r="A149" s="18" t="inlineStr">
        <is>
          <t>LOG-114</t>
        </is>
      </c>
      <c r="B149" s="18" t="inlineStr"/>
      <c r="C149" s="17" t="inlineStr"/>
      <c r="D149" s="17">
        <f>IFERROR(VLOOKUP(C149, $B$17:$C$28, 2, FALSE), "")</f>
        <v/>
      </c>
      <c r="E149" s="17" t="inlineStr"/>
      <c r="F149" s="17" t="inlineStr"/>
      <c r="G149" s="34" t="inlineStr"/>
      <c r="H149" s="18" t="inlineStr">
        <is>
          <t>No</t>
        </is>
      </c>
      <c r="I149" s="18" t="inlineStr">
        <is>
          <t>No</t>
        </is>
      </c>
      <c r="J149" s="17" t="inlineStr"/>
    </row>
    <row r="150">
      <c r="A150" s="24" t="inlineStr">
        <is>
          <t>LOG-115</t>
        </is>
      </c>
      <c r="B150" s="24" t="inlineStr"/>
      <c r="C150" s="23" t="inlineStr"/>
      <c r="D150" s="23">
        <f>IFERROR(VLOOKUP(C150, $B$17:$C$28, 2, FALSE), "")</f>
        <v/>
      </c>
      <c r="E150" s="23" t="inlineStr"/>
      <c r="F150" s="23" t="inlineStr"/>
      <c r="G150" s="33" t="inlineStr"/>
      <c r="H150" s="24" t="inlineStr">
        <is>
          <t>No</t>
        </is>
      </c>
      <c r="I150" s="24" t="inlineStr">
        <is>
          <t>No</t>
        </is>
      </c>
      <c r="J150" s="23" t="inlineStr"/>
    </row>
    <row r="151">
      <c r="A151" s="18" t="inlineStr">
        <is>
          <t>LOG-116</t>
        </is>
      </c>
      <c r="B151" s="18" t="inlineStr"/>
      <c r="C151" s="17" t="inlineStr"/>
      <c r="D151" s="17">
        <f>IFERROR(VLOOKUP(C151, $B$17:$C$28, 2, FALSE), "")</f>
        <v/>
      </c>
      <c r="E151" s="17" t="inlineStr"/>
      <c r="F151" s="17" t="inlineStr"/>
      <c r="G151" s="34" t="inlineStr"/>
      <c r="H151" s="18" t="inlineStr">
        <is>
          <t>No</t>
        </is>
      </c>
      <c r="I151" s="18" t="inlineStr">
        <is>
          <t>No</t>
        </is>
      </c>
      <c r="J151" s="17" t="inlineStr"/>
    </row>
    <row r="152">
      <c r="A152" s="24" t="inlineStr">
        <is>
          <t>LOG-117</t>
        </is>
      </c>
      <c r="B152" s="24" t="inlineStr"/>
      <c r="C152" s="23" t="inlineStr"/>
      <c r="D152" s="23">
        <f>IFERROR(VLOOKUP(C152, $B$17:$C$28, 2, FALSE), "")</f>
        <v/>
      </c>
      <c r="E152" s="23" t="inlineStr"/>
      <c r="F152" s="23" t="inlineStr"/>
      <c r="G152" s="33" t="inlineStr"/>
      <c r="H152" s="24" t="inlineStr">
        <is>
          <t>No</t>
        </is>
      </c>
      <c r="I152" s="24" t="inlineStr">
        <is>
          <t>No</t>
        </is>
      </c>
      <c r="J152" s="23" t="inlineStr"/>
    </row>
    <row r="153">
      <c r="A153" s="18" t="inlineStr">
        <is>
          <t>LOG-118</t>
        </is>
      </c>
      <c r="B153" s="18" t="inlineStr"/>
      <c r="C153" s="17" t="inlineStr"/>
      <c r="D153" s="17">
        <f>IFERROR(VLOOKUP(C153, $B$17:$C$28, 2, FALSE), "")</f>
        <v/>
      </c>
      <c r="E153" s="17" t="inlineStr"/>
      <c r="F153" s="17" t="inlineStr"/>
      <c r="G153" s="34" t="inlineStr"/>
      <c r="H153" s="18" t="inlineStr">
        <is>
          <t>No</t>
        </is>
      </c>
      <c r="I153" s="18" t="inlineStr">
        <is>
          <t>No</t>
        </is>
      </c>
      <c r="J153" s="17" t="inlineStr"/>
    </row>
    <row r="154">
      <c r="A154" s="24" t="inlineStr">
        <is>
          <t>LOG-119</t>
        </is>
      </c>
      <c r="B154" s="24" t="inlineStr"/>
      <c r="C154" s="23" t="inlineStr"/>
      <c r="D154" s="23">
        <f>IFERROR(VLOOKUP(C154, $B$17:$C$28, 2, FALSE), "")</f>
        <v/>
      </c>
      <c r="E154" s="23" t="inlineStr"/>
      <c r="F154" s="23" t="inlineStr"/>
      <c r="G154" s="33" t="inlineStr"/>
      <c r="H154" s="24" t="inlineStr">
        <is>
          <t>No</t>
        </is>
      </c>
      <c r="I154" s="24" t="inlineStr">
        <is>
          <t>No</t>
        </is>
      </c>
      <c r="J154" s="23" t="inlineStr"/>
    </row>
    <row r="155">
      <c r="A155" s="18" t="inlineStr">
        <is>
          <t>LOG-120</t>
        </is>
      </c>
      <c r="B155" s="18" t="inlineStr"/>
      <c r="C155" s="17" t="inlineStr"/>
      <c r="D155" s="17">
        <f>IFERROR(VLOOKUP(C155, $B$17:$C$28, 2, FALSE), "")</f>
        <v/>
      </c>
      <c r="E155" s="17" t="inlineStr"/>
      <c r="F155" s="17" t="inlineStr"/>
      <c r="G155" s="34" t="inlineStr"/>
      <c r="H155" s="18" t="inlineStr">
        <is>
          <t>No</t>
        </is>
      </c>
      <c r="I155" s="18" t="inlineStr">
        <is>
          <t>No</t>
        </is>
      </c>
      <c r="J155" s="17" t="inlineStr"/>
    </row>
    <row r="156">
      <c r="A156" s="24" t="inlineStr">
        <is>
          <t>LOG-121</t>
        </is>
      </c>
      <c r="B156" s="24" t="inlineStr"/>
      <c r="C156" s="23" t="inlineStr"/>
      <c r="D156" s="23">
        <f>IFERROR(VLOOKUP(C156, $B$17:$C$28, 2, FALSE), "")</f>
        <v/>
      </c>
      <c r="E156" s="23" t="inlineStr"/>
      <c r="F156" s="23" t="inlineStr"/>
      <c r="G156" s="33" t="inlineStr"/>
      <c r="H156" s="24" t="inlineStr">
        <is>
          <t>No</t>
        </is>
      </c>
      <c r="I156" s="24" t="inlineStr">
        <is>
          <t>No</t>
        </is>
      </c>
      <c r="J156" s="23" t="inlineStr"/>
    </row>
    <row r="157">
      <c r="A157" s="18" t="inlineStr">
        <is>
          <t>LOG-122</t>
        </is>
      </c>
      <c r="B157" s="18" t="inlineStr"/>
      <c r="C157" s="17" t="inlineStr"/>
      <c r="D157" s="17">
        <f>IFERROR(VLOOKUP(C157, $B$17:$C$28, 2, FALSE), "")</f>
        <v/>
      </c>
      <c r="E157" s="17" t="inlineStr"/>
      <c r="F157" s="17" t="inlineStr"/>
      <c r="G157" s="34" t="inlineStr"/>
      <c r="H157" s="18" t="inlineStr">
        <is>
          <t>No</t>
        </is>
      </c>
      <c r="I157" s="18" t="inlineStr">
        <is>
          <t>No</t>
        </is>
      </c>
      <c r="J157" s="17" t="inlineStr"/>
    </row>
    <row r="158">
      <c r="A158" s="24" t="inlineStr">
        <is>
          <t>LOG-123</t>
        </is>
      </c>
      <c r="B158" s="24" t="inlineStr"/>
      <c r="C158" s="23" t="inlineStr"/>
      <c r="D158" s="23">
        <f>IFERROR(VLOOKUP(C158, $B$17:$C$28, 2, FALSE), "")</f>
        <v/>
      </c>
      <c r="E158" s="23" t="inlineStr"/>
      <c r="F158" s="23" t="inlineStr"/>
      <c r="G158" s="33" t="inlineStr"/>
      <c r="H158" s="24" t="inlineStr">
        <is>
          <t>No</t>
        </is>
      </c>
      <c r="I158" s="24" t="inlineStr">
        <is>
          <t>No</t>
        </is>
      </c>
      <c r="J158" s="23" t="inlineStr"/>
    </row>
    <row r="159">
      <c r="A159" s="18" t="inlineStr">
        <is>
          <t>LOG-124</t>
        </is>
      </c>
      <c r="B159" s="18" t="inlineStr"/>
      <c r="C159" s="17" t="inlineStr"/>
      <c r="D159" s="17">
        <f>IFERROR(VLOOKUP(C159, $B$17:$C$28, 2, FALSE), "")</f>
        <v/>
      </c>
      <c r="E159" s="17" t="inlineStr"/>
      <c r="F159" s="17" t="inlineStr"/>
      <c r="G159" s="34" t="inlineStr"/>
      <c r="H159" s="18" t="inlineStr">
        <is>
          <t>No</t>
        </is>
      </c>
      <c r="I159" s="18" t="inlineStr">
        <is>
          <t>No</t>
        </is>
      </c>
      <c r="J159" s="17" t="inlineStr"/>
    </row>
    <row r="160">
      <c r="A160" s="24" t="inlineStr">
        <is>
          <t>LOG-125</t>
        </is>
      </c>
      <c r="B160" s="24" t="inlineStr"/>
      <c r="C160" s="23" t="inlineStr"/>
      <c r="D160" s="23">
        <f>IFERROR(VLOOKUP(C160, $B$17:$C$28, 2, FALSE), "")</f>
        <v/>
      </c>
      <c r="E160" s="23" t="inlineStr"/>
      <c r="F160" s="23" t="inlineStr"/>
      <c r="G160" s="33" t="inlineStr"/>
      <c r="H160" s="24" t="inlineStr">
        <is>
          <t>No</t>
        </is>
      </c>
      <c r="I160" s="24" t="inlineStr">
        <is>
          <t>No</t>
        </is>
      </c>
      <c r="J160" s="23" t="inlineStr"/>
    </row>
    <row r="161">
      <c r="A161" s="18" t="inlineStr">
        <is>
          <t>LOG-126</t>
        </is>
      </c>
      <c r="B161" s="18" t="inlineStr"/>
      <c r="C161" s="17" t="inlineStr"/>
      <c r="D161" s="17">
        <f>IFERROR(VLOOKUP(C161, $B$17:$C$28, 2, FALSE), "")</f>
        <v/>
      </c>
      <c r="E161" s="17" t="inlineStr"/>
      <c r="F161" s="17" t="inlineStr"/>
      <c r="G161" s="34" t="inlineStr"/>
      <c r="H161" s="18" t="inlineStr">
        <is>
          <t>No</t>
        </is>
      </c>
      <c r="I161" s="18" t="inlineStr">
        <is>
          <t>No</t>
        </is>
      </c>
      <c r="J161" s="17" t="inlineStr"/>
    </row>
    <row r="162">
      <c r="A162" s="24" t="inlineStr">
        <is>
          <t>LOG-127</t>
        </is>
      </c>
      <c r="B162" s="24" t="inlineStr"/>
      <c r="C162" s="23" t="inlineStr"/>
      <c r="D162" s="23">
        <f>IFERROR(VLOOKUP(C162, $B$17:$C$28, 2, FALSE), "")</f>
        <v/>
      </c>
      <c r="E162" s="23" t="inlineStr"/>
      <c r="F162" s="23" t="inlineStr"/>
      <c r="G162" s="33" t="inlineStr"/>
      <c r="H162" s="24" t="inlineStr">
        <is>
          <t>No</t>
        </is>
      </c>
      <c r="I162" s="24" t="inlineStr">
        <is>
          <t>No</t>
        </is>
      </c>
      <c r="J162" s="23" t="inlineStr"/>
    </row>
    <row r="163">
      <c r="A163" s="18" t="inlineStr">
        <is>
          <t>LOG-128</t>
        </is>
      </c>
      <c r="B163" s="18" t="inlineStr"/>
      <c r="C163" s="17" t="inlineStr"/>
      <c r="D163" s="17">
        <f>IFERROR(VLOOKUP(C163, $B$17:$C$28, 2, FALSE), "")</f>
        <v/>
      </c>
      <c r="E163" s="17" t="inlineStr"/>
      <c r="F163" s="17" t="inlineStr"/>
      <c r="G163" s="34" t="inlineStr"/>
      <c r="H163" s="18" t="inlineStr">
        <is>
          <t>No</t>
        </is>
      </c>
      <c r="I163" s="18" t="inlineStr">
        <is>
          <t>No</t>
        </is>
      </c>
      <c r="J163" s="17" t="inlineStr"/>
    </row>
    <row r="164">
      <c r="A164" s="24" t="inlineStr">
        <is>
          <t>LOG-129</t>
        </is>
      </c>
      <c r="B164" s="24" t="inlineStr"/>
      <c r="C164" s="23" t="inlineStr"/>
      <c r="D164" s="23">
        <f>IFERROR(VLOOKUP(C164, $B$17:$C$28, 2, FALSE), "")</f>
        <v/>
      </c>
      <c r="E164" s="23" t="inlineStr"/>
      <c r="F164" s="23" t="inlineStr"/>
      <c r="G164" s="33" t="inlineStr"/>
      <c r="H164" s="24" t="inlineStr">
        <is>
          <t>No</t>
        </is>
      </c>
      <c r="I164" s="24" t="inlineStr">
        <is>
          <t>No</t>
        </is>
      </c>
      <c r="J164" s="23" t="inlineStr"/>
    </row>
    <row r="165">
      <c r="A165" s="18" t="inlineStr">
        <is>
          <t>LOG-130</t>
        </is>
      </c>
      <c r="B165" s="18" t="inlineStr"/>
      <c r="C165" s="17" t="inlineStr"/>
      <c r="D165" s="17">
        <f>IFERROR(VLOOKUP(C165, $B$17:$C$28, 2, FALSE), "")</f>
        <v/>
      </c>
      <c r="E165" s="17" t="inlineStr"/>
      <c r="F165" s="17" t="inlineStr"/>
      <c r="G165" s="34" t="inlineStr"/>
      <c r="H165" s="18" t="inlineStr">
        <is>
          <t>No</t>
        </is>
      </c>
      <c r="I165" s="18" t="inlineStr">
        <is>
          <t>No</t>
        </is>
      </c>
      <c r="J165" s="17" t="inlineStr"/>
    </row>
    <row r="166">
      <c r="A166" s="24" t="inlineStr">
        <is>
          <t>LOG-131</t>
        </is>
      </c>
      <c r="B166" s="24" t="inlineStr"/>
      <c r="C166" s="23" t="inlineStr"/>
      <c r="D166" s="23">
        <f>IFERROR(VLOOKUP(C166, $B$17:$C$28, 2, FALSE), "")</f>
        <v/>
      </c>
      <c r="E166" s="23" t="inlineStr"/>
      <c r="F166" s="23" t="inlineStr"/>
      <c r="G166" s="33" t="inlineStr"/>
      <c r="H166" s="24" t="inlineStr">
        <is>
          <t>No</t>
        </is>
      </c>
      <c r="I166" s="24" t="inlineStr">
        <is>
          <t>No</t>
        </is>
      </c>
      <c r="J166" s="23" t="inlineStr"/>
    </row>
    <row r="167">
      <c r="A167" s="18" t="inlineStr">
        <is>
          <t>LOG-132</t>
        </is>
      </c>
      <c r="B167" s="18" t="inlineStr"/>
      <c r="C167" s="17" t="inlineStr"/>
      <c r="D167" s="17">
        <f>IFERROR(VLOOKUP(C167, $B$17:$C$28, 2, FALSE), "")</f>
        <v/>
      </c>
      <c r="E167" s="17" t="inlineStr"/>
      <c r="F167" s="17" t="inlineStr"/>
      <c r="G167" s="34" t="inlineStr"/>
      <c r="H167" s="18" t="inlineStr">
        <is>
          <t>No</t>
        </is>
      </c>
      <c r="I167" s="18" t="inlineStr">
        <is>
          <t>No</t>
        </is>
      </c>
      <c r="J167" s="17" t="inlineStr"/>
    </row>
    <row r="168">
      <c r="A168" s="24" t="inlineStr">
        <is>
          <t>LOG-133</t>
        </is>
      </c>
      <c r="B168" s="24" t="inlineStr"/>
      <c r="C168" s="23" t="inlineStr"/>
      <c r="D168" s="23">
        <f>IFERROR(VLOOKUP(C168, $B$17:$C$28, 2, FALSE), "")</f>
        <v/>
      </c>
      <c r="E168" s="23" t="inlineStr"/>
      <c r="F168" s="23" t="inlineStr"/>
      <c r="G168" s="33" t="inlineStr"/>
      <c r="H168" s="24" t="inlineStr">
        <is>
          <t>No</t>
        </is>
      </c>
      <c r="I168" s="24" t="inlineStr">
        <is>
          <t>No</t>
        </is>
      </c>
      <c r="J168" s="23" t="inlineStr"/>
    </row>
    <row r="169">
      <c r="A169" s="18" t="inlineStr">
        <is>
          <t>LOG-134</t>
        </is>
      </c>
      <c r="B169" s="18" t="inlineStr"/>
      <c r="C169" s="17" t="inlineStr"/>
      <c r="D169" s="17">
        <f>IFERROR(VLOOKUP(C169, $B$17:$C$28, 2, FALSE), "")</f>
        <v/>
      </c>
      <c r="E169" s="17" t="inlineStr"/>
      <c r="F169" s="17" t="inlineStr"/>
      <c r="G169" s="34" t="inlineStr"/>
      <c r="H169" s="18" t="inlineStr">
        <is>
          <t>No</t>
        </is>
      </c>
      <c r="I169" s="18" t="inlineStr">
        <is>
          <t>No</t>
        </is>
      </c>
      <c r="J169" s="17" t="inlineStr"/>
    </row>
    <row r="170">
      <c r="A170" s="24" t="inlineStr">
        <is>
          <t>LOG-135</t>
        </is>
      </c>
      <c r="B170" s="24" t="inlineStr"/>
      <c r="C170" s="23" t="inlineStr"/>
      <c r="D170" s="23">
        <f>IFERROR(VLOOKUP(C170, $B$17:$C$28, 2, FALSE), "")</f>
        <v/>
      </c>
      <c r="E170" s="23" t="inlineStr"/>
      <c r="F170" s="23" t="inlineStr"/>
      <c r="G170" s="33" t="inlineStr"/>
      <c r="H170" s="24" t="inlineStr">
        <is>
          <t>No</t>
        </is>
      </c>
      <c r="I170" s="24" t="inlineStr">
        <is>
          <t>No</t>
        </is>
      </c>
      <c r="J170" s="23" t="inlineStr"/>
    </row>
    <row r="171">
      <c r="A171" s="18" t="inlineStr">
        <is>
          <t>LOG-136</t>
        </is>
      </c>
      <c r="B171" s="18" t="inlineStr"/>
      <c r="C171" s="17" t="inlineStr"/>
      <c r="D171" s="17">
        <f>IFERROR(VLOOKUP(C171, $B$17:$C$28, 2, FALSE), "")</f>
        <v/>
      </c>
      <c r="E171" s="17" t="inlineStr"/>
      <c r="F171" s="17" t="inlineStr"/>
      <c r="G171" s="34" t="inlineStr"/>
      <c r="H171" s="18" t="inlineStr">
        <is>
          <t>No</t>
        </is>
      </c>
      <c r="I171" s="18" t="inlineStr">
        <is>
          <t>No</t>
        </is>
      </c>
      <c r="J171" s="17" t="inlineStr"/>
    </row>
    <row r="172">
      <c r="A172" s="24" t="inlineStr">
        <is>
          <t>LOG-137</t>
        </is>
      </c>
      <c r="B172" s="24" t="inlineStr"/>
      <c r="C172" s="23" t="inlineStr"/>
      <c r="D172" s="23">
        <f>IFERROR(VLOOKUP(C172, $B$17:$C$28, 2, FALSE), "")</f>
        <v/>
      </c>
      <c r="E172" s="23" t="inlineStr"/>
      <c r="F172" s="23" t="inlineStr"/>
      <c r="G172" s="33" t="inlineStr"/>
      <c r="H172" s="24" t="inlineStr">
        <is>
          <t>No</t>
        </is>
      </c>
      <c r="I172" s="24" t="inlineStr">
        <is>
          <t>No</t>
        </is>
      </c>
      <c r="J172" s="23" t="inlineStr"/>
    </row>
    <row r="173">
      <c r="A173" s="18" t="inlineStr">
        <is>
          <t>LOG-138</t>
        </is>
      </c>
      <c r="B173" s="18" t="inlineStr"/>
      <c r="C173" s="17" t="inlineStr"/>
      <c r="D173" s="17">
        <f>IFERROR(VLOOKUP(C173, $B$17:$C$28, 2, FALSE), "")</f>
        <v/>
      </c>
      <c r="E173" s="17" t="inlineStr"/>
      <c r="F173" s="17" t="inlineStr"/>
      <c r="G173" s="34" t="inlineStr"/>
      <c r="H173" s="18" t="inlineStr">
        <is>
          <t>No</t>
        </is>
      </c>
      <c r="I173" s="18" t="inlineStr">
        <is>
          <t>No</t>
        </is>
      </c>
      <c r="J173" s="17" t="inlineStr"/>
    </row>
    <row r="174">
      <c r="A174" s="24" t="inlineStr">
        <is>
          <t>LOG-139</t>
        </is>
      </c>
      <c r="B174" s="24" t="inlineStr"/>
      <c r="C174" s="23" t="inlineStr"/>
      <c r="D174" s="23">
        <f>IFERROR(VLOOKUP(C174, $B$17:$C$28, 2, FALSE), "")</f>
        <v/>
      </c>
      <c r="E174" s="23" t="inlineStr"/>
      <c r="F174" s="23" t="inlineStr"/>
      <c r="G174" s="33" t="inlineStr"/>
      <c r="H174" s="24" t="inlineStr">
        <is>
          <t>No</t>
        </is>
      </c>
      <c r="I174" s="24" t="inlineStr">
        <is>
          <t>No</t>
        </is>
      </c>
      <c r="J174" s="23" t="inlineStr"/>
    </row>
    <row r="175">
      <c r="A175" s="18" t="inlineStr">
        <is>
          <t>LOG-140</t>
        </is>
      </c>
      <c r="B175" s="18" t="inlineStr"/>
      <c r="C175" s="17" t="inlineStr"/>
      <c r="D175" s="17">
        <f>IFERROR(VLOOKUP(C175, $B$17:$C$28, 2, FALSE), "")</f>
        <v/>
      </c>
      <c r="E175" s="17" t="inlineStr"/>
      <c r="F175" s="17" t="inlineStr"/>
      <c r="G175" s="34" t="inlineStr"/>
      <c r="H175" s="18" t="inlineStr">
        <is>
          <t>No</t>
        </is>
      </c>
      <c r="I175" s="18" t="inlineStr">
        <is>
          <t>No</t>
        </is>
      </c>
      <c r="J175" s="17" t="inlineStr"/>
    </row>
    <row r="176">
      <c r="A176" s="24" t="inlineStr">
        <is>
          <t>LOG-141</t>
        </is>
      </c>
      <c r="B176" s="24" t="inlineStr"/>
      <c r="C176" s="23" t="inlineStr"/>
      <c r="D176" s="23">
        <f>IFERROR(VLOOKUP(C176, $B$17:$C$28, 2, FALSE), "")</f>
        <v/>
      </c>
      <c r="E176" s="23" t="inlineStr"/>
      <c r="F176" s="23" t="inlineStr"/>
      <c r="G176" s="33" t="inlineStr"/>
      <c r="H176" s="24" t="inlineStr">
        <is>
          <t>No</t>
        </is>
      </c>
      <c r="I176" s="24" t="inlineStr">
        <is>
          <t>No</t>
        </is>
      </c>
      <c r="J176" s="23" t="inlineStr"/>
    </row>
    <row r="177">
      <c r="A177" s="18" t="inlineStr">
        <is>
          <t>LOG-142</t>
        </is>
      </c>
      <c r="B177" s="18" t="inlineStr"/>
      <c r="C177" s="17" t="inlineStr"/>
      <c r="D177" s="17">
        <f>IFERROR(VLOOKUP(C177, $B$17:$C$28, 2, FALSE), "")</f>
        <v/>
      </c>
      <c r="E177" s="17" t="inlineStr"/>
      <c r="F177" s="17" t="inlineStr"/>
      <c r="G177" s="34" t="inlineStr"/>
      <c r="H177" s="18" t="inlineStr">
        <is>
          <t>No</t>
        </is>
      </c>
      <c r="I177" s="18" t="inlineStr">
        <is>
          <t>No</t>
        </is>
      </c>
      <c r="J177" s="17" t="inlineStr"/>
    </row>
    <row r="178">
      <c r="A178" s="24" t="inlineStr">
        <is>
          <t>LOG-143</t>
        </is>
      </c>
      <c r="B178" s="24" t="inlineStr"/>
      <c r="C178" s="23" t="inlineStr"/>
      <c r="D178" s="23">
        <f>IFERROR(VLOOKUP(C178, $B$17:$C$28, 2, FALSE), "")</f>
        <v/>
      </c>
      <c r="E178" s="23" t="inlineStr"/>
      <c r="F178" s="23" t="inlineStr"/>
      <c r="G178" s="33" t="inlineStr"/>
      <c r="H178" s="24" t="inlineStr">
        <is>
          <t>No</t>
        </is>
      </c>
      <c r="I178" s="24" t="inlineStr">
        <is>
          <t>No</t>
        </is>
      </c>
      <c r="J178" s="23" t="inlineStr"/>
    </row>
    <row r="179">
      <c r="A179" s="18" t="inlineStr">
        <is>
          <t>LOG-144</t>
        </is>
      </c>
      <c r="B179" s="18" t="inlineStr"/>
      <c r="C179" s="17" t="inlineStr"/>
      <c r="D179" s="17">
        <f>IFERROR(VLOOKUP(C179, $B$17:$C$28, 2, FALSE), "")</f>
        <v/>
      </c>
      <c r="E179" s="17" t="inlineStr"/>
      <c r="F179" s="17" t="inlineStr"/>
      <c r="G179" s="34" t="inlineStr"/>
      <c r="H179" s="18" t="inlineStr">
        <is>
          <t>No</t>
        </is>
      </c>
      <c r="I179" s="18" t="inlineStr">
        <is>
          <t>No</t>
        </is>
      </c>
      <c r="J179" s="17" t="inlineStr"/>
    </row>
    <row r="180">
      <c r="A180" s="24" t="inlineStr">
        <is>
          <t>LOG-145</t>
        </is>
      </c>
      <c r="B180" s="24" t="inlineStr"/>
      <c r="C180" s="23" t="inlineStr"/>
      <c r="D180" s="23">
        <f>IFERROR(VLOOKUP(C180, $B$17:$C$28, 2, FALSE), "")</f>
        <v/>
      </c>
      <c r="E180" s="23" t="inlineStr"/>
      <c r="F180" s="23" t="inlineStr"/>
      <c r="G180" s="33" t="inlineStr"/>
      <c r="H180" s="24" t="inlineStr">
        <is>
          <t>No</t>
        </is>
      </c>
      <c r="I180" s="24" t="inlineStr">
        <is>
          <t>No</t>
        </is>
      </c>
      <c r="J180" s="23" t="inlineStr"/>
    </row>
    <row r="181">
      <c r="A181" s="18" t="inlineStr">
        <is>
          <t>LOG-146</t>
        </is>
      </c>
      <c r="B181" s="18" t="inlineStr"/>
      <c r="C181" s="17" t="inlineStr"/>
      <c r="D181" s="17">
        <f>IFERROR(VLOOKUP(C181, $B$17:$C$28, 2, FALSE), "")</f>
        <v/>
      </c>
      <c r="E181" s="17" t="inlineStr"/>
      <c r="F181" s="17" t="inlineStr"/>
      <c r="G181" s="34" t="inlineStr"/>
      <c r="H181" s="18" t="inlineStr">
        <is>
          <t>No</t>
        </is>
      </c>
      <c r="I181" s="18" t="inlineStr">
        <is>
          <t>No</t>
        </is>
      </c>
      <c r="J181" s="17" t="inlineStr"/>
    </row>
    <row r="182">
      <c r="A182" s="24" t="inlineStr">
        <is>
          <t>LOG-147</t>
        </is>
      </c>
      <c r="B182" s="24" t="inlineStr"/>
      <c r="C182" s="23" t="inlineStr"/>
      <c r="D182" s="23">
        <f>IFERROR(VLOOKUP(C182, $B$17:$C$28, 2, FALSE), "")</f>
        <v/>
      </c>
      <c r="E182" s="23" t="inlineStr"/>
      <c r="F182" s="23" t="inlineStr"/>
      <c r="G182" s="33" t="inlineStr"/>
      <c r="H182" s="24" t="inlineStr">
        <is>
          <t>No</t>
        </is>
      </c>
      <c r="I182" s="24" t="inlineStr">
        <is>
          <t>No</t>
        </is>
      </c>
      <c r="J182" s="23" t="inlineStr"/>
    </row>
    <row r="183">
      <c r="A183" s="18" t="inlineStr">
        <is>
          <t>LOG-148</t>
        </is>
      </c>
      <c r="B183" s="18" t="inlineStr"/>
      <c r="C183" s="17" t="inlineStr"/>
      <c r="D183" s="17">
        <f>IFERROR(VLOOKUP(C183, $B$17:$C$28, 2, FALSE), "")</f>
        <v/>
      </c>
      <c r="E183" s="17" t="inlineStr"/>
      <c r="F183" s="17" t="inlineStr"/>
      <c r="G183" s="34" t="inlineStr"/>
      <c r="H183" s="18" t="inlineStr">
        <is>
          <t>No</t>
        </is>
      </c>
      <c r="I183" s="18" t="inlineStr">
        <is>
          <t>No</t>
        </is>
      </c>
      <c r="J183" s="17" t="inlineStr"/>
    </row>
    <row r="184">
      <c r="A184" s="24" t="inlineStr">
        <is>
          <t>LOG-149</t>
        </is>
      </c>
      <c r="B184" s="24" t="inlineStr"/>
      <c r="C184" s="23" t="inlineStr"/>
      <c r="D184" s="23">
        <f>IFERROR(VLOOKUP(C184, $B$17:$C$28, 2, FALSE), "")</f>
        <v/>
      </c>
      <c r="E184" s="23" t="inlineStr"/>
      <c r="F184" s="23" t="inlineStr"/>
      <c r="G184" s="33" t="inlineStr"/>
      <c r="H184" s="24" t="inlineStr">
        <is>
          <t>No</t>
        </is>
      </c>
      <c r="I184" s="24" t="inlineStr">
        <is>
          <t>No</t>
        </is>
      </c>
      <c r="J184" s="23" t="inlineStr"/>
    </row>
    <row r="185">
      <c r="A185" s="18" t="inlineStr">
        <is>
          <t>LOG-150</t>
        </is>
      </c>
      <c r="B185" s="18" t="inlineStr"/>
      <c r="C185" s="17" t="inlineStr"/>
      <c r="D185" s="17">
        <f>IFERROR(VLOOKUP(C185, $B$17:$C$28, 2, FALSE), "")</f>
        <v/>
      </c>
      <c r="E185" s="17" t="inlineStr"/>
      <c r="F185" s="17" t="inlineStr"/>
      <c r="G185" s="34" t="inlineStr"/>
      <c r="H185" s="18" t="inlineStr">
        <is>
          <t>No</t>
        </is>
      </c>
      <c r="I185" s="18" t="inlineStr">
        <is>
          <t>No</t>
        </is>
      </c>
      <c r="J185" s="17" t="inlineStr"/>
    </row>
    <row r="186">
      <c r="A186" s="24" t="inlineStr">
        <is>
          <t>LOG-151</t>
        </is>
      </c>
      <c r="B186" s="24" t="inlineStr"/>
      <c r="C186" s="23" t="inlineStr"/>
      <c r="D186" s="23">
        <f>IFERROR(VLOOKUP(C186, $B$17:$C$28, 2, FALSE), "")</f>
        <v/>
      </c>
      <c r="E186" s="23" t="inlineStr"/>
      <c r="F186" s="23" t="inlineStr"/>
      <c r="G186" s="33" t="inlineStr"/>
      <c r="H186" s="24" t="inlineStr">
        <is>
          <t>No</t>
        </is>
      </c>
      <c r="I186" s="24" t="inlineStr">
        <is>
          <t>No</t>
        </is>
      </c>
      <c r="J186" s="23" t="inlineStr"/>
    </row>
    <row r="187">
      <c r="A187" s="18" t="inlineStr">
        <is>
          <t>LOG-152</t>
        </is>
      </c>
      <c r="B187" s="18" t="inlineStr"/>
      <c r="C187" s="17" t="inlineStr"/>
      <c r="D187" s="17">
        <f>IFERROR(VLOOKUP(C187, $B$17:$C$28, 2, FALSE), "")</f>
        <v/>
      </c>
      <c r="E187" s="17" t="inlineStr"/>
      <c r="F187" s="17" t="inlineStr"/>
      <c r="G187" s="34" t="inlineStr"/>
      <c r="H187" s="18" t="inlineStr">
        <is>
          <t>No</t>
        </is>
      </c>
      <c r="I187" s="18" t="inlineStr">
        <is>
          <t>No</t>
        </is>
      </c>
      <c r="J187" s="17" t="inlineStr"/>
    </row>
    <row r="188">
      <c r="A188" s="24" t="inlineStr">
        <is>
          <t>LOG-153</t>
        </is>
      </c>
      <c r="B188" s="24" t="inlineStr"/>
      <c r="C188" s="23" t="inlineStr"/>
      <c r="D188" s="23">
        <f>IFERROR(VLOOKUP(C188, $B$17:$C$28, 2, FALSE), "")</f>
        <v/>
      </c>
      <c r="E188" s="23" t="inlineStr"/>
      <c r="F188" s="23" t="inlineStr"/>
      <c r="G188" s="33" t="inlineStr"/>
      <c r="H188" s="24" t="inlineStr">
        <is>
          <t>No</t>
        </is>
      </c>
      <c r="I188" s="24" t="inlineStr">
        <is>
          <t>No</t>
        </is>
      </c>
      <c r="J188" s="23" t="inlineStr"/>
    </row>
    <row r="189">
      <c r="A189" s="18" t="inlineStr">
        <is>
          <t>LOG-154</t>
        </is>
      </c>
      <c r="B189" s="18" t="inlineStr"/>
      <c r="C189" s="17" t="inlineStr"/>
      <c r="D189" s="17">
        <f>IFERROR(VLOOKUP(C189, $B$17:$C$28, 2, FALSE), "")</f>
        <v/>
      </c>
      <c r="E189" s="17" t="inlineStr"/>
      <c r="F189" s="17" t="inlineStr"/>
      <c r="G189" s="34" t="inlineStr"/>
      <c r="H189" s="18" t="inlineStr">
        <is>
          <t>No</t>
        </is>
      </c>
      <c r="I189" s="18" t="inlineStr">
        <is>
          <t>No</t>
        </is>
      </c>
      <c r="J189" s="17" t="inlineStr"/>
    </row>
    <row r="190">
      <c r="A190" s="24" t="inlineStr">
        <is>
          <t>LOG-155</t>
        </is>
      </c>
      <c r="B190" s="24" t="inlineStr"/>
      <c r="C190" s="23" t="inlineStr"/>
      <c r="D190" s="23">
        <f>IFERROR(VLOOKUP(C190, $B$17:$C$28, 2, FALSE), "")</f>
        <v/>
      </c>
      <c r="E190" s="23" t="inlineStr"/>
      <c r="F190" s="23" t="inlineStr"/>
      <c r="G190" s="33" t="inlineStr"/>
      <c r="H190" s="24" t="inlineStr">
        <is>
          <t>No</t>
        </is>
      </c>
      <c r="I190" s="24" t="inlineStr">
        <is>
          <t>No</t>
        </is>
      </c>
      <c r="J190" s="23" t="inlineStr"/>
    </row>
    <row r="191">
      <c r="A191" s="18" t="inlineStr">
        <is>
          <t>LOG-156</t>
        </is>
      </c>
      <c r="B191" s="18" t="inlineStr"/>
      <c r="C191" s="17" t="inlineStr"/>
      <c r="D191" s="17">
        <f>IFERROR(VLOOKUP(C191, $B$17:$C$28, 2, FALSE), "")</f>
        <v/>
      </c>
      <c r="E191" s="17" t="inlineStr"/>
      <c r="F191" s="17" t="inlineStr"/>
      <c r="G191" s="34" t="inlineStr"/>
      <c r="H191" s="18" t="inlineStr">
        <is>
          <t>No</t>
        </is>
      </c>
      <c r="I191" s="18" t="inlineStr">
        <is>
          <t>No</t>
        </is>
      </c>
      <c r="J191" s="17" t="inlineStr"/>
    </row>
    <row r="192">
      <c r="A192" s="24" t="inlineStr">
        <is>
          <t>LOG-157</t>
        </is>
      </c>
      <c r="B192" s="24" t="inlineStr"/>
      <c r="C192" s="23" t="inlineStr"/>
      <c r="D192" s="23">
        <f>IFERROR(VLOOKUP(C192, $B$17:$C$28, 2, FALSE), "")</f>
        <v/>
      </c>
      <c r="E192" s="23" t="inlineStr"/>
      <c r="F192" s="23" t="inlineStr"/>
      <c r="G192" s="33" t="inlineStr"/>
      <c r="H192" s="24" t="inlineStr">
        <is>
          <t>No</t>
        </is>
      </c>
      <c r="I192" s="24" t="inlineStr">
        <is>
          <t>No</t>
        </is>
      </c>
      <c r="J192" s="23" t="inlineStr"/>
    </row>
    <row r="193">
      <c r="A193" s="18" t="inlineStr">
        <is>
          <t>LOG-158</t>
        </is>
      </c>
      <c r="B193" s="18" t="inlineStr"/>
      <c r="C193" s="17" t="inlineStr"/>
      <c r="D193" s="17">
        <f>IFERROR(VLOOKUP(C193, $B$17:$C$28, 2, FALSE), "")</f>
        <v/>
      </c>
      <c r="E193" s="17" t="inlineStr"/>
      <c r="F193" s="17" t="inlineStr"/>
      <c r="G193" s="34" t="inlineStr"/>
      <c r="H193" s="18" t="inlineStr">
        <is>
          <t>No</t>
        </is>
      </c>
      <c r="I193" s="18" t="inlineStr">
        <is>
          <t>No</t>
        </is>
      </c>
      <c r="J193" s="17" t="inlineStr"/>
    </row>
    <row r="194">
      <c r="A194" s="24" t="inlineStr">
        <is>
          <t>LOG-159</t>
        </is>
      </c>
      <c r="B194" s="24" t="inlineStr"/>
      <c r="C194" s="23" t="inlineStr"/>
      <c r="D194" s="23">
        <f>IFERROR(VLOOKUP(C194, $B$17:$C$28, 2, FALSE), "")</f>
        <v/>
      </c>
      <c r="E194" s="23" t="inlineStr"/>
      <c r="F194" s="23" t="inlineStr"/>
      <c r="G194" s="33" t="inlineStr"/>
      <c r="H194" s="24" t="inlineStr">
        <is>
          <t>No</t>
        </is>
      </c>
      <c r="I194" s="24" t="inlineStr">
        <is>
          <t>No</t>
        </is>
      </c>
      <c r="J194" s="23" t="inlineStr"/>
    </row>
    <row r="195">
      <c r="A195" s="18" t="inlineStr">
        <is>
          <t>LOG-160</t>
        </is>
      </c>
      <c r="B195" s="18" t="inlineStr"/>
      <c r="C195" s="17" t="inlineStr"/>
      <c r="D195" s="17">
        <f>IFERROR(VLOOKUP(C195, $B$17:$C$28, 2, FALSE), "")</f>
        <v/>
      </c>
      <c r="E195" s="17" t="inlineStr"/>
      <c r="F195" s="17" t="inlineStr"/>
      <c r="G195" s="34" t="inlineStr"/>
      <c r="H195" s="18" t="inlineStr">
        <is>
          <t>No</t>
        </is>
      </c>
      <c r="I195" s="18" t="inlineStr">
        <is>
          <t>No</t>
        </is>
      </c>
      <c r="J195" s="17" t="inlineStr"/>
    </row>
    <row r="196">
      <c r="A196" s="24" t="inlineStr">
        <is>
          <t>LOG-161</t>
        </is>
      </c>
      <c r="B196" s="24" t="inlineStr"/>
      <c r="C196" s="23" t="inlineStr"/>
      <c r="D196" s="23">
        <f>IFERROR(VLOOKUP(C196, $B$17:$C$28, 2, FALSE), "")</f>
        <v/>
      </c>
      <c r="E196" s="23" t="inlineStr"/>
      <c r="F196" s="23" t="inlineStr"/>
      <c r="G196" s="33" t="inlineStr"/>
      <c r="H196" s="24" t="inlineStr">
        <is>
          <t>No</t>
        </is>
      </c>
      <c r="I196" s="24" t="inlineStr">
        <is>
          <t>No</t>
        </is>
      </c>
      <c r="J196" s="23" t="inlineStr"/>
    </row>
    <row r="197">
      <c r="A197" s="18" t="inlineStr">
        <is>
          <t>LOG-162</t>
        </is>
      </c>
      <c r="B197" s="18" t="inlineStr"/>
      <c r="C197" s="17" t="inlineStr"/>
      <c r="D197" s="17">
        <f>IFERROR(VLOOKUP(C197, $B$17:$C$28, 2, FALSE), "")</f>
        <v/>
      </c>
      <c r="E197" s="17" t="inlineStr"/>
      <c r="F197" s="17" t="inlineStr"/>
      <c r="G197" s="34" t="inlineStr"/>
      <c r="H197" s="18" t="inlineStr">
        <is>
          <t>No</t>
        </is>
      </c>
      <c r="I197" s="18" t="inlineStr">
        <is>
          <t>No</t>
        </is>
      </c>
      <c r="J197" s="17" t="inlineStr"/>
    </row>
    <row r="198">
      <c r="A198" s="24" t="inlineStr">
        <is>
          <t>LOG-163</t>
        </is>
      </c>
      <c r="B198" s="24" t="inlineStr"/>
      <c r="C198" s="23" t="inlineStr"/>
      <c r="D198" s="23">
        <f>IFERROR(VLOOKUP(C198, $B$17:$C$28, 2, FALSE), "")</f>
        <v/>
      </c>
      <c r="E198" s="23" t="inlineStr"/>
      <c r="F198" s="23" t="inlineStr"/>
      <c r="G198" s="33" t="inlineStr"/>
      <c r="H198" s="24" t="inlineStr">
        <is>
          <t>No</t>
        </is>
      </c>
      <c r="I198" s="24" t="inlineStr">
        <is>
          <t>No</t>
        </is>
      </c>
      <c r="J198" s="23" t="inlineStr"/>
    </row>
    <row r="199">
      <c r="A199" s="18" t="inlineStr">
        <is>
          <t>LOG-164</t>
        </is>
      </c>
      <c r="B199" s="18" t="inlineStr"/>
      <c r="C199" s="17" t="inlineStr"/>
      <c r="D199" s="17">
        <f>IFERROR(VLOOKUP(C199, $B$17:$C$28, 2, FALSE), "")</f>
        <v/>
      </c>
      <c r="E199" s="17" t="inlineStr"/>
      <c r="F199" s="17" t="inlineStr"/>
      <c r="G199" s="34" t="inlineStr"/>
      <c r="H199" s="18" t="inlineStr">
        <is>
          <t>No</t>
        </is>
      </c>
      <c r="I199" s="18" t="inlineStr">
        <is>
          <t>No</t>
        </is>
      </c>
      <c r="J199" s="17" t="inlineStr"/>
    </row>
    <row r="200">
      <c r="A200" s="24" t="inlineStr">
        <is>
          <t>LOG-165</t>
        </is>
      </c>
      <c r="B200" s="24" t="inlineStr"/>
      <c r="C200" s="23" t="inlineStr"/>
      <c r="D200" s="23">
        <f>IFERROR(VLOOKUP(C200, $B$17:$C$28, 2, FALSE), "")</f>
        <v/>
      </c>
      <c r="E200" s="23" t="inlineStr"/>
      <c r="F200" s="23" t="inlineStr"/>
      <c r="G200" s="33" t="inlineStr"/>
      <c r="H200" s="24" t="inlineStr">
        <is>
          <t>No</t>
        </is>
      </c>
      <c r="I200" s="24" t="inlineStr">
        <is>
          <t>No</t>
        </is>
      </c>
      <c r="J200" s="23" t="inlineStr"/>
    </row>
    <row r="201">
      <c r="A201" s="18" t="inlineStr">
        <is>
          <t>LOG-166</t>
        </is>
      </c>
      <c r="B201" s="18" t="inlineStr"/>
      <c r="C201" s="17" t="inlineStr"/>
      <c r="D201" s="17">
        <f>IFERROR(VLOOKUP(C201, $B$17:$C$28, 2, FALSE), "")</f>
        <v/>
      </c>
      <c r="E201" s="17" t="inlineStr"/>
      <c r="F201" s="17" t="inlineStr"/>
      <c r="G201" s="34" t="inlineStr"/>
      <c r="H201" s="18" t="inlineStr">
        <is>
          <t>No</t>
        </is>
      </c>
      <c r="I201" s="18" t="inlineStr">
        <is>
          <t>No</t>
        </is>
      </c>
      <c r="J201" s="17" t="inlineStr"/>
    </row>
    <row r="202">
      <c r="A202" s="24" t="inlineStr">
        <is>
          <t>LOG-167</t>
        </is>
      </c>
      <c r="B202" s="24" t="inlineStr"/>
      <c r="C202" s="23" t="inlineStr"/>
      <c r="D202" s="23">
        <f>IFERROR(VLOOKUP(C202, $B$17:$C$28, 2, FALSE), "")</f>
        <v/>
      </c>
      <c r="E202" s="23" t="inlineStr"/>
      <c r="F202" s="23" t="inlineStr"/>
      <c r="G202" s="33" t="inlineStr"/>
      <c r="H202" s="24" t="inlineStr">
        <is>
          <t>No</t>
        </is>
      </c>
      <c r="I202" s="24" t="inlineStr">
        <is>
          <t>No</t>
        </is>
      </c>
      <c r="J202" s="23" t="inlineStr"/>
    </row>
    <row r="203">
      <c r="A203" s="18" t="inlineStr">
        <is>
          <t>LOG-168</t>
        </is>
      </c>
      <c r="B203" s="18" t="inlineStr"/>
      <c r="C203" s="17" t="inlineStr"/>
      <c r="D203" s="17">
        <f>IFERROR(VLOOKUP(C203, $B$17:$C$28, 2, FALSE), "")</f>
        <v/>
      </c>
      <c r="E203" s="17" t="inlineStr"/>
      <c r="F203" s="17" t="inlineStr"/>
      <c r="G203" s="34" t="inlineStr"/>
      <c r="H203" s="18" t="inlineStr">
        <is>
          <t>No</t>
        </is>
      </c>
      <c r="I203" s="18" t="inlineStr">
        <is>
          <t>No</t>
        </is>
      </c>
      <c r="J203" s="17" t="inlineStr"/>
    </row>
    <row r="204">
      <c r="A204" s="24" t="inlineStr">
        <is>
          <t>LOG-169</t>
        </is>
      </c>
      <c r="B204" s="24" t="inlineStr"/>
      <c r="C204" s="23" t="inlineStr"/>
      <c r="D204" s="23">
        <f>IFERROR(VLOOKUP(C204, $B$17:$C$28, 2, FALSE), "")</f>
        <v/>
      </c>
      <c r="E204" s="23" t="inlineStr"/>
      <c r="F204" s="23" t="inlineStr"/>
      <c r="G204" s="33" t="inlineStr"/>
      <c r="H204" s="24" t="inlineStr">
        <is>
          <t>No</t>
        </is>
      </c>
      <c r="I204" s="24" t="inlineStr">
        <is>
          <t>No</t>
        </is>
      </c>
      <c r="J204" s="23" t="inlineStr"/>
    </row>
    <row r="205">
      <c r="A205" s="18" t="inlineStr">
        <is>
          <t>LOG-170</t>
        </is>
      </c>
      <c r="B205" s="18" t="inlineStr"/>
      <c r="C205" s="17" t="inlineStr"/>
      <c r="D205" s="17">
        <f>IFERROR(VLOOKUP(C205, $B$17:$C$28, 2, FALSE), "")</f>
        <v/>
      </c>
      <c r="E205" s="17" t="inlineStr"/>
      <c r="F205" s="17" t="inlineStr"/>
      <c r="G205" s="34" t="inlineStr"/>
      <c r="H205" s="18" t="inlineStr">
        <is>
          <t>No</t>
        </is>
      </c>
      <c r="I205" s="18" t="inlineStr">
        <is>
          <t>No</t>
        </is>
      </c>
      <c r="J205" s="17" t="inlineStr"/>
    </row>
    <row r="206">
      <c r="A206" s="24" t="inlineStr">
        <is>
          <t>LOG-171</t>
        </is>
      </c>
      <c r="B206" s="24" t="inlineStr"/>
      <c r="C206" s="23" t="inlineStr"/>
      <c r="D206" s="23">
        <f>IFERROR(VLOOKUP(C206, $B$17:$C$28, 2, FALSE), "")</f>
        <v/>
      </c>
      <c r="E206" s="23" t="inlineStr"/>
      <c r="F206" s="23" t="inlineStr"/>
      <c r="G206" s="33" t="inlineStr"/>
      <c r="H206" s="24" t="inlineStr">
        <is>
          <t>No</t>
        </is>
      </c>
      <c r="I206" s="24" t="inlineStr">
        <is>
          <t>No</t>
        </is>
      </c>
      <c r="J206" s="23" t="inlineStr"/>
    </row>
    <row r="207">
      <c r="A207" s="18" t="inlineStr">
        <is>
          <t>LOG-172</t>
        </is>
      </c>
      <c r="B207" s="18" t="inlineStr"/>
      <c r="C207" s="17" t="inlineStr"/>
      <c r="D207" s="17">
        <f>IFERROR(VLOOKUP(C207, $B$17:$C$28, 2, FALSE), "")</f>
        <v/>
      </c>
      <c r="E207" s="17" t="inlineStr"/>
      <c r="F207" s="17" t="inlineStr"/>
      <c r="G207" s="34" t="inlineStr"/>
      <c r="H207" s="18" t="inlineStr">
        <is>
          <t>No</t>
        </is>
      </c>
      <c r="I207" s="18" t="inlineStr">
        <is>
          <t>No</t>
        </is>
      </c>
      <c r="J207" s="17" t="inlineStr"/>
    </row>
    <row r="208">
      <c r="A208" s="24" t="inlineStr">
        <is>
          <t>LOG-173</t>
        </is>
      </c>
      <c r="B208" s="24" t="inlineStr"/>
      <c r="C208" s="23" t="inlineStr"/>
      <c r="D208" s="23">
        <f>IFERROR(VLOOKUP(C208, $B$17:$C$28, 2, FALSE), "")</f>
        <v/>
      </c>
      <c r="E208" s="23" t="inlineStr"/>
      <c r="F208" s="23" t="inlineStr"/>
      <c r="G208" s="33" t="inlineStr"/>
      <c r="H208" s="24" t="inlineStr">
        <is>
          <t>No</t>
        </is>
      </c>
      <c r="I208" s="24" t="inlineStr">
        <is>
          <t>No</t>
        </is>
      </c>
      <c r="J208" s="23" t="inlineStr"/>
    </row>
    <row r="209">
      <c r="A209" s="18" t="inlineStr">
        <is>
          <t>LOG-174</t>
        </is>
      </c>
      <c r="B209" s="18" t="inlineStr"/>
      <c r="C209" s="17" t="inlineStr"/>
      <c r="D209" s="17">
        <f>IFERROR(VLOOKUP(C209, $B$17:$C$28, 2, FALSE), "")</f>
        <v/>
      </c>
      <c r="E209" s="17" t="inlineStr"/>
      <c r="F209" s="17" t="inlineStr"/>
      <c r="G209" s="34" t="inlineStr"/>
      <c r="H209" s="18" t="inlineStr">
        <is>
          <t>No</t>
        </is>
      </c>
      <c r="I209" s="18" t="inlineStr">
        <is>
          <t>No</t>
        </is>
      </c>
      <c r="J209" s="17" t="inlineStr"/>
    </row>
    <row r="210">
      <c r="A210" s="24" t="inlineStr">
        <is>
          <t>LOG-175</t>
        </is>
      </c>
      <c r="B210" s="24" t="inlineStr"/>
      <c r="C210" s="23" t="inlineStr"/>
      <c r="D210" s="23">
        <f>IFERROR(VLOOKUP(C210, $B$17:$C$28, 2, FALSE), "")</f>
        <v/>
      </c>
      <c r="E210" s="23" t="inlineStr"/>
      <c r="F210" s="23" t="inlineStr"/>
      <c r="G210" s="33" t="inlineStr"/>
      <c r="H210" s="24" t="inlineStr">
        <is>
          <t>No</t>
        </is>
      </c>
      <c r="I210" s="24" t="inlineStr">
        <is>
          <t>No</t>
        </is>
      </c>
      <c r="J210" s="23" t="inlineStr"/>
    </row>
    <row r="211">
      <c r="A211" s="18" t="inlineStr">
        <is>
          <t>LOG-176</t>
        </is>
      </c>
      <c r="B211" s="18" t="inlineStr"/>
      <c r="C211" s="17" t="inlineStr"/>
      <c r="D211" s="17">
        <f>IFERROR(VLOOKUP(C211, $B$17:$C$28, 2, FALSE), "")</f>
        <v/>
      </c>
      <c r="E211" s="17" t="inlineStr"/>
      <c r="F211" s="17" t="inlineStr"/>
      <c r="G211" s="34" t="inlineStr"/>
      <c r="H211" s="18" t="inlineStr">
        <is>
          <t>No</t>
        </is>
      </c>
      <c r="I211" s="18" t="inlineStr">
        <is>
          <t>No</t>
        </is>
      </c>
      <c r="J211" s="17" t="inlineStr"/>
    </row>
    <row r="212">
      <c r="A212" s="24" t="inlineStr">
        <is>
          <t>LOG-177</t>
        </is>
      </c>
      <c r="B212" s="24" t="inlineStr"/>
      <c r="C212" s="23" t="inlineStr"/>
      <c r="D212" s="23">
        <f>IFERROR(VLOOKUP(C212, $B$17:$C$28, 2, FALSE), "")</f>
        <v/>
      </c>
      <c r="E212" s="23" t="inlineStr"/>
      <c r="F212" s="23" t="inlineStr"/>
      <c r="G212" s="33" t="inlineStr"/>
      <c r="H212" s="24" t="inlineStr">
        <is>
          <t>No</t>
        </is>
      </c>
      <c r="I212" s="24" t="inlineStr">
        <is>
          <t>No</t>
        </is>
      </c>
      <c r="J212" s="23" t="inlineStr"/>
    </row>
    <row r="213">
      <c r="A213" s="18" t="inlineStr">
        <is>
          <t>LOG-178</t>
        </is>
      </c>
      <c r="B213" s="18" t="inlineStr"/>
      <c r="C213" s="17" t="inlineStr"/>
      <c r="D213" s="17">
        <f>IFERROR(VLOOKUP(C213, $B$17:$C$28, 2, FALSE), "")</f>
        <v/>
      </c>
      <c r="E213" s="17" t="inlineStr"/>
      <c r="F213" s="17" t="inlineStr"/>
      <c r="G213" s="34" t="inlineStr"/>
      <c r="H213" s="18" t="inlineStr">
        <is>
          <t>No</t>
        </is>
      </c>
      <c r="I213" s="18" t="inlineStr">
        <is>
          <t>No</t>
        </is>
      </c>
      <c r="J213" s="17" t="inlineStr"/>
    </row>
    <row r="214">
      <c r="A214" s="24" t="inlineStr">
        <is>
          <t>LOG-179</t>
        </is>
      </c>
      <c r="B214" s="24" t="inlineStr"/>
      <c r="C214" s="23" t="inlineStr"/>
      <c r="D214" s="23">
        <f>IFERROR(VLOOKUP(C214, $B$17:$C$28, 2, FALSE), "")</f>
        <v/>
      </c>
      <c r="E214" s="23" t="inlineStr"/>
      <c r="F214" s="23" t="inlineStr"/>
      <c r="G214" s="33" t="inlineStr"/>
      <c r="H214" s="24" t="inlineStr">
        <is>
          <t>No</t>
        </is>
      </c>
      <c r="I214" s="24" t="inlineStr">
        <is>
          <t>No</t>
        </is>
      </c>
      <c r="J214" s="23" t="inlineStr"/>
    </row>
    <row r="215">
      <c r="A215" s="18" t="inlineStr">
        <is>
          <t>LOG-180</t>
        </is>
      </c>
      <c r="B215" s="18" t="inlineStr"/>
      <c r="C215" s="17" t="inlineStr"/>
      <c r="D215" s="17">
        <f>IFERROR(VLOOKUP(C215, $B$17:$C$28, 2, FALSE), "")</f>
        <v/>
      </c>
      <c r="E215" s="17" t="inlineStr"/>
      <c r="F215" s="17" t="inlineStr"/>
      <c r="G215" s="34" t="inlineStr"/>
      <c r="H215" s="18" t="inlineStr">
        <is>
          <t>No</t>
        </is>
      </c>
      <c r="I215" s="18" t="inlineStr">
        <is>
          <t>No</t>
        </is>
      </c>
      <c r="J215" s="17" t="inlineStr"/>
    </row>
    <row r="216">
      <c r="A216" s="24" t="inlineStr">
        <is>
          <t>LOG-181</t>
        </is>
      </c>
      <c r="B216" s="24" t="inlineStr"/>
      <c r="C216" s="23" t="inlineStr"/>
      <c r="D216" s="23">
        <f>IFERROR(VLOOKUP(C216, $B$17:$C$28, 2, FALSE), "")</f>
        <v/>
      </c>
      <c r="E216" s="23" t="inlineStr"/>
      <c r="F216" s="23" t="inlineStr"/>
      <c r="G216" s="33" t="inlineStr"/>
      <c r="H216" s="24" t="inlineStr">
        <is>
          <t>No</t>
        </is>
      </c>
      <c r="I216" s="24" t="inlineStr">
        <is>
          <t>No</t>
        </is>
      </c>
      <c r="J216" s="23" t="inlineStr"/>
    </row>
    <row r="217">
      <c r="A217" s="18" t="inlineStr">
        <is>
          <t>LOG-182</t>
        </is>
      </c>
      <c r="B217" s="18" t="inlineStr"/>
      <c r="C217" s="17" t="inlineStr"/>
      <c r="D217" s="17">
        <f>IFERROR(VLOOKUP(C217, $B$17:$C$28, 2, FALSE), "")</f>
        <v/>
      </c>
      <c r="E217" s="17" t="inlineStr"/>
      <c r="F217" s="17" t="inlineStr"/>
      <c r="G217" s="34" t="inlineStr"/>
      <c r="H217" s="18" t="inlineStr">
        <is>
          <t>No</t>
        </is>
      </c>
      <c r="I217" s="18" t="inlineStr">
        <is>
          <t>No</t>
        </is>
      </c>
      <c r="J217" s="17" t="inlineStr"/>
    </row>
    <row r="218">
      <c r="A218" s="24" t="inlineStr">
        <is>
          <t>LOG-183</t>
        </is>
      </c>
      <c r="B218" s="24" t="inlineStr"/>
      <c r="C218" s="23" t="inlineStr"/>
      <c r="D218" s="23">
        <f>IFERROR(VLOOKUP(C218, $B$17:$C$28, 2, FALSE), "")</f>
        <v/>
      </c>
      <c r="E218" s="23" t="inlineStr"/>
      <c r="F218" s="23" t="inlineStr"/>
      <c r="G218" s="33" t="inlineStr"/>
      <c r="H218" s="24" t="inlineStr">
        <is>
          <t>No</t>
        </is>
      </c>
      <c r="I218" s="24" t="inlineStr">
        <is>
          <t>No</t>
        </is>
      </c>
      <c r="J218" s="23" t="inlineStr"/>
    </row>
    <row r="219">
      <c r="A219" s="18" t="inlineStr">
        <is>
          <t>LOG-184</t>
        </is>
      </c>
      <c r="B219" s="18" t="inlineStr"/>
      <c r="C219" s="17" t="inlineStr"/>
      <c r="D219" s="17">
        <f>IFERROR(VLOOKUP(C219, $B$17:$C$28, 2, FALSE), "")</f>
        <v/>
      </c>
      <c r="E219" s="17" t="inlineStr"/>
      <c r="F219" s="17" t="inlineStr"/>
      <c r="G219" s="34" t="inlineStr"/>
      <c r="H219" s="18" t="inlineStr">
        <is>
          <t>No</t>
        </is>
      </c>
      <c r="I219" s="18" t="inlineStr">
        <is>
          <t>No</t>
        </is>
      </c>
      <c r="J219" s="17" t="inlineStr"/>
    </row>
    <row r="220">
      <c r="A220" s="24" t="inlineStr">
        <is>
          <t>LOG-185</t>
        </is>
      </c>
      <c r="B220" s="24" t="inlineStr"/>
      <c r="C220" s="23" t="inlineStr"/>
      <c r="D220" s="23">
        <f>IFERROR(VLOOKUP(C220, $B$17:$C$28, 2, FALSE), "")</f>
        <v/>
      </c>
      <c r="E220" s="23" t="inlineStr"/>
      <c r="F220" s="23" t="inlineStr"/>
      <c r="G220" s="33" t="inlineStr"/>
      <c r="H220" s="24" t="inlineStr">
        <is>
          <t>No</t>
        </is>
      </c>
      <c r="I220" s="24" t="inlineStr">
        <is>
          <t>No</t>
        </is>
      </c>
      <c r="J220" s="23" t="inlineStr"/>
    </row>
    <row r="221">
      <c r="A221" s="18" t="inlineStr">
        <is>
          <t>LOG-186</t>
        </is>
      </c>
      <c r="B221" s="18" t="inlineStr"/>
      <c r="C221" s="17" t="inlineStr"/>
      <c r="D221" s="17">
        <f>IFERROR(VLOOKUP(C221, $B$17:$C$28, 2, FALSE), "")</f>
        <v/>
      </c>
      <c r="E221" s="17" t="inlineStr"/>
      <c r="F221" s="17" t="inlineStr"/>
      <c r="G221" s="34" t="inlineStr"/>
      <c r="H221" s="18" t="inlineStr">
        <is>
          <t>No</t>
        </is>
      </c>
      <c r="I221" s="18" t="inlineStr">
        <is>
          <t>No</t>
        </is>
      </c>
      <c r="J221" s="17" t="inlineStr"/>
    </row>
    <row r="222">
      <c r="A222" s="24" t="inlineStr">
        <is>
          <t>LOG-187</t>
        </is>
      </c>
      <c r="B222" s="24" t="inlineStr"/>
      <c r="C222" s="23" t="inlineStr"/>
      <c r="D222" s="23">
        <f>IFERROR(VLOOKUP(C222, $B$17:$C$28, 2, FALSE), "")</f>
        <v/>
      </c>
      <c r="E222" s="23" t="inlineStr"/>
      <c r="F222" s="23" t="inlineStr"/>
      <c r="G222" s="33" t="inlineStr"/>
      <c r="H222" s="24" t="inlineStr">
        <is>
          <t>No</t>
        </is>
      </c>
      <c r="I222" s="24" t="inlineStr">
        <is>
          <t>No</t>
        </is>
      </c>
      <c r="J222" s="23" t="inlineStr"/>
    </row>
    <row r="223">
      <c r="A223" s="18" t="inlineStr">
        <is>
          <t>LOG-188</t>
        </is>
      </c>
      <c r="B223" s="18" t="inlineStr"/>
      <c r="C223" s="17" t="inlineStr"/>
      <c r="D223" s="17">
        <f>IFERROR(VLOOKUP(C223, $B$17:$C$28, 2, FALSE), "")</f>
        <v/>
      </c>
      <c r="E223" s="17" t="inlineStr"/>
      <c r="F223" s="17" t="inlineStr"/>
      <c r="G223" s="34" t="inlineStr"/>
      <c r="H223" s="18" t="inlineStr">
        <is>
          <t>No</t>
        </is>
      </c>
      <c r="I223" s="18" t="inlineStr">
        <is>
          <t>No</t>
        </is>
      </c>
      <c r="J223" s="17" t="inlineStr"/>
    </row>
    <row r="224">
      <c r="A224" s="24" t="inlineStr">
        <is>
          <t>LOG-189</t>
        </is>
      </c>
      <c r="B224" s="24" t="inlineStr"/>
      <c r="C224" s="23" t="inlineStr"/>
      <c r="D224" s="23">
        <f>IFERROR(VLOOKUP(C224, $B$17:$C$28, 2, FALSE), "")</f>
        <v/>
      </c>
      <c r="E224" s="23" t="inlineStr"/>
      <c r="F224" s="23" t="inlineStr"/>
      <c r="G224" s="33" t="inlineStr"/>
      <c r="H224" s="24" t="inlineStr">
        <is>
          <t>No</t>
        </is>
      </c>
      <c r="I224" s="24" t="inlineStr">
        <is>
          <t>No</t>
        </is>
      </c>
      <c r="J224" s="23" t="inlineStr"/>
    </row>
    <row r="225">
      <c r="A225" s="18" t="inlineStr">
        <is>
          <t>LOG-190</t>
        </is>
      </c>
      <c r="B225" s="18" t="inlineStr"/>
      <c r="C225" s="17" t="inlineStr"/>
      <c r="D225" s="17">
        <f>IFERROR(VLOOKUP(C225, $B$17:$C$28, 2, FALSE), "")</f>
        <v/>
      </c>
      <c r="E225" s="17" t="inlineStr"/>
      <c r="F225" s="17" t="inlineStr"/>
      <c r="G225" s="34" t="inlineStr"/>
      <c r="H225" s="18" t="inlineStr">
        <is>
          <t>No</t>
        </is>
      </c>
      <c r="I225" s="18" t="inlineStr">
        <is>
          <t>No</t>
        </is>
      </c>
      <c r="J225" s="17" t="inlineStr"/>
    </row>
    <row r="226">
      <c r="A226" s="24" t="inlineStr">
        <is>
          <t>LOG-191</t>
        </is>
      </c>
      <c r="B226" s="24" t="inlineStr"/>
      <c r="C226" s="23" t="inlineStr"/>
      <c r="D226" s="23">
        <f>IFERROR(VLOOKUP(C226, $B$17:$C$28, 2, FALSE), "")</f>
        <v/>
      </c>
      <c r="E226" s="23" t="inlineStr"/>
      <c r="F226" s="23" t="inlineStr"/>
      <c r="G226" s="33" t="inlineStr"/>
      <c r="H226" s="24" t="inlineStr">
        <is>
          <t>No</t>
        </is>
      </c>
      <c r="I226" s="24" t="inlineStr">
        <is>
          <t>No</t>
        </is>
      </c>
      <c r="J226" s="23" t="inlineStr"/>
    </row>
    <row r="227">
      <c r="A227" s="18" t="inlineStr">
        <is>
          <t>LOG-192</t>
        </is>
      </c>
      <c r="B227" s="18" t="inlineStr"/>
      <c r="C227" s="17" t="inlineStr"/>
      <c r="D227" s="17">
        <f>IFERROR(VLOOKUP(C227, $B$17:$C$28, 2, FALSE), "")</f>
        <v/>
      </c>
      <c r="E227" s="17" t="inlineStr"/>
      <c r="F227" s="17" t="inlineStr"/>
      <c r="G227" s="34" t="inlineStr"/>
      <c r="H227" s="18" t="inlineStr">
        <is>
          <t>No</t>
        </is>
      </c>
      <c r="I227" s="18" t="inlineStr">
        <is>
          <t>No</t>
        </is>
      </c>
      <c r="J227" s="17" t="inlineStr"/>
    </row>
    <row r="228">
      <c r="A228" s="24" t="inlineStr">
        <is>
          <t>LOG-193</t>
        </is>
      </c>
      <c r="B228" s="24" t="inlineStr"/>
      <c r="C228" s="23" t="inlineStr"/>
      <c r="D228" s="23">
        <f>IFERROR(VLOOKUP(C228, $B$17:$C$28, 2, FALSE), "")</f>
        <v/>
      </c>
      <c r="E228" s="23" t="inlineStr"/>
      <c r="F228" s="23" t="inlineStr"/>
      <c r="G228" s="33" t="inlineStr"/>
      <c r="H228" s="24" t="inlineStr">
        <is>
          <t>No</t>
        </is>
      </c>
      <c r="I228" s="24" t="inlineStr">
        <is>
          <t>No</t>
        </is>
      </c>
      <c r="J228" s="23" t="inlineStr"/>
    </row>
    <row r="229">
      <c r="A229" s="18" t="inlineStr">
        <is>
          <t>LOG-194</t>
        </is>
      </c>
      <c r="B229" s="18" t="inlineStr"/>
      <c r="C229" s="17" t="inlineStr"/>
      <c r="D229" s="17">
        <f>IFERROR(VLOOKUP(C229, $B$17:$C$28, 2, FALSE), "")</f>
        <v/>
      </c>
      <c r="E229" s="17" t="inlineStr"/>
      <c r="F229" s="17" t="inlineStr"/>
      <c r="G229" s="34" t="inlineStr"/>
      <c r="H229" s="18" t="inlineStr">
        <is>
          <t>No</t>
        </is>
      </c>
      <c r="I229" s="18" t="inlineStr">
        <is>
          <t>No</t>
        </is>
      </c>
      <c r="J229" s="17" t="inlineStr"/>
    </row>
    <row r="230">
      <c r="A230" s="24" t="inlineStr">
        <is>
          <t>LOG-195</t>
        </is>
      </c>
      <c r="B230" s="24" t="inlineStr"/>
      <c r="C230" s="23" t="inlineStr"/>
      <c r="D230" s="23">
        <f>IFERROR(VLOOKUP(C230, $B$17:$C$28, 2, FALSE), "")</f>
        <v/>
      </c>
      <c r="E230" s="23" t="inlineStr"/>
      <c r="F230" s="23" t="inlineStr"/>
      <c r="G230" s="33" t="inlineStr"/>
      <c r="H230" s="24" t="inlineStr">
        <is>
          <t>No</t>
        </is>
      </c>
      <c r="I230" s="24" t="inlineStr">
        <is>
          <t>No</t>
        </is>
      </c>
      <c r="J230" s="23" t="inlineStr"/>
    </row>
    <row r="231">
      <c r="A231" s="18" t="inlineStr">
        <is>
          <t>LOG-196</t>
        </is>
      </c>
      <c r="B231" s="18" t="inlineStr"/>
      <c r="C231" s="17" t="inlineStr"/>
      <c r="D231" s="17">
        <f>IFERROR(VLOOKUP(C231, $B$17:$C$28, 2, FALSE), "")</f>
        <v/>
      </c>
      <c r="E231" s="17" t="inlineStr"/>
      <c r="F231" s="17" t="inlineStr"/>
      <c r="G231" s="34" t="inlineStr"/>
      <c r="H231" s="18" t="inlineStr">
        <is>
          <t>No</t>
        </is>
      </c>
      <c r="I231" s="18" t="inlineStr">
        <is>
          <t>No</t>
        </is>
      </c>
      <c r="J231" s="17" t="inlineStr"/>
    </row>
    <row r="232">
      <c r="A232" s="24" t="inlineStr">
        <is>
          <t>LOG-197</t>
        </is>
      </c>
      <c r="B232" s="24" t="inlineStr"/>
      <c r="C232" s="23" t="inlineStr"/>
      <c r="D232" s="23">
        <f>IFERROR(VLOOKUP(C232, $B$17:$C$28, 2, FALSE), "")</f>
        <v/>
      </c>
      <c r="E232" s="23" t="inlineStr"/>
      <c r="F232" s="23" t="inlineStr"/>
      <c r="G232" s="33" t="inlineStr"/>
      <c r="H232" s="24" t="inlineStr">
        <is>
          <t>No</t>
        </is>
      </c>
      <c r="I232" s="24" t="inlineStr">
        <is>
          <t>No</t>
        </is>
      </c>
      <c r="J232" s="23" t="inlineStr"/>
    </row>
    <row r="233">
      <c r="A233" s="18" t="inlineStr">
        <is>
          <t>LOG-198</t>
        </is>
      </c>
      <c r="B233" s="18" t="inlineStr"/>
      <c r="C233" s="17" t="inlineStr"/>
      <c r="D233" s="17">
        <f>IFERROR(VLOOKUP(C233, $B$17:$C$28, 2, FALSE), "")</f>
        <v/>
      </c>
      <c r="E233" s="17" t="inlineStr"/>
      <c r="F233" s="17" t="inlineStr"/>
      <c r="G233" s="34" t="inlineStr"/>
      <c r="H233" s="18" t="inlineStr">
        <is>
          <t>No</t>
        </is>
      </c>
      <c r="I233" s="18" t="inlineStr">
        <is>
          <t>No</t>
        </is>
      </c>
      <c r="J233" s="17" t="inlineStr"/>
    </row>
    <row r="234">
      <c r="A234" s="24" t="inlineStr">
        <is>
          <t>LOG-199</t>
        </is>
      </c>
      <c r="B234" s="24" t="inlineStr"/>
      <c r="C234" s="23" t="inlineStr"/>
      <c r="D234" s="23">
        <f>IFERROR(VLOOKUP(C234, $B$17:$C$28, 2, FALSE), "")</f>
        <v/>
      </c>
      <c r="E234" s="23" t="inlineStr"/>
      <c r="F234" s="23" t="inlineStr"/>
      <c r="G234" s="33" t="inlineStr"/>
      <c r="H234" s="24" t="inlineStr">
        <is>
          <t>No</t>
        </is>
      </c>
      <c r="I234" s="24" t="inlineStr">
        <is>
          <t>No</t>
        </is>
      </c>
      <c r="J234" s="23" t="inlineStr"/>
    </row>
    <row r="235">
      <c r="A235" s="18" t="inlineStr">
        <is>
          <t>LOG-200</t>
        </is>
      </c>
      <c r="B235" s="18" t="inlineStr"/>
      <c r="C235" s="17" t="inlineStr"/>
      <c r="D235" s="17">
        <f>IFERROR(VLOOKUP(C235, $B$17:$C$28, 2, FALSE), "")</f>
        <v/>
      </c>
      <c r="E235" s="17" t="inlineStr"/>
      <c r="F235" s="17" t="inlineStr"/>
      <c r="G235" s="34" t="inlineStr"/>
      <c r="H235" s="18" t="inlineStr">
        <is>
          <t>No</t>
        </is>
      </c>
      <c r="I235" s="18" t="inlineStr">
        <is>
          <t>No</t>
        </is>
      </c>
      <c r="J235" s="17" t="inlineStr"/>
    </row>
    <row r="236">
      <c r="A236" s="24" t="inlineStr">
        <is>
          <t>LOG-201</t>
        </is>
      </c>
      <c r="B236" s="24" t="inlineStr"/>
      <c r="C236" s="23" t="inlineStr"/>
      <c r="D236" s="23">
        <f>IFERROR(VLOOKUP(C236, $B$17:$C$28, 2, FALSE), "")</f>
        <v/>
      </c>
      <c r="E236" s="23" t="inlineStr"/>
      <c r="F236" s="23" t="inlineStr"/>
      <c r="G236" s="33" t="inlineStr"/>
      <c r="H236" s="24" t="inlineStr">
        <is>
          <t>No</t>
        </is>
      </c>
      <c r="I236" s="24" t="inlineStr">
        <is>
          <t>No</t>
        </is>
      </c>
      <c r="J236" s="23" t="inlineStr"/>
    </row>
    <row r="237">
      <c r="A237" s="18" t="inlineStr">
        <is>
          <t>LOG-202</t>
        </is>
      </c>
      <c r="B237" s="18" t="inlineStr"/>
      <c r="C237" s="17" t="inlineStr"/>
      <c r="D237" s="17">
        <f>IFERROR(VLOOKUP(C237, $B$17:$C$28, 2, FALSE), "")</f>
        <v/>
      </c>
      <c r="E237" s="17" t="inlineStr"/>
      <c r="F237" s="17" t="inlineStr"/>
      <c r="G237" s="34" t="inlineStr"/>
      <c r="H237" s="18" t="inlineStr">
        <is>
          <t>No</t>
        </is>
      </c>
      <c r="I237" s="18" t="inlineStr">
        <is>
          <t>No</t>
        </is>
      </c>
      <c r="J237" s="17" t="inlineStr"/>
    </row>
    <row r="238">
      <c r="A238" s="24" t="inlineStr">
        <is>
          <t>LOG-203</t>
        </is>
      </c>
      <c r="B238" s="24" t="inlineStr"/>
      <c r="C238" s="23" t="inlineStr"/>
      <c r="D238" s="23">
        <f>IFERROR(VLOOKUP(C238, $B$17:$C$28, 2, FALSE), "")</f>
        <v/>
      </c>
      <c r="E238" s="23" t="inlineStr"/>
      <c r="F238" s="23" t="inlineStr"/>
      <c r="G238" s="33" t="inlineStr"/>
      <c r="H238" s="24" t="inlineStr">
        <is>
          <t>No</t>
        </is>
      </c>
      <c r="I238" s="24" t="inlineStr">
        <is>
          <t>No</t>
        </is>
      </c>
      <c r="J238" s="23" t="inlineStr"/>
    </row>
    <row r="239">
      <c r="A239" s="18" t="inlineStr">
        <is>
          <t>LOG-204</t>
        </is>
      </c>
      <c r="B239" s="18" t="inlineStr"/>
      <c r="C239" s="17" t="inlineStr"/>
      <c r="D239" s="17">
        <f>IFERROR(VLOOKUP(C239, $B$17:$C$28, 2, FALSE), "")</f>
        <v/>
      </c>
      <c r="E239" s="17" t="inlineStr"/>
      <c r="F239" s="17" t="inlineStr"/>
      <c r="G239" s="34" t="inlineStr"/>
      <c r="H239" s="18" t="inlineStr">
        <is>
          <t>No</t>
        </is>
      </c>
      <c r="I239" s="18" t="inlineStr">
        <is>
          <t>No</t>
        </is>
      </c>
      <c r="J239" s="17" t="inlineStr"/>
    </row>
    <row r="240">
      <c r="A240" s="24" t="inlineStr">
        <is>
          <t>LOG-205</t>
        </is>
      </c>
      <c r="B240" s="24" t="inlineStr"/>
      <c r="C240" s="23" t="inlineStr"/>
      <c r="D240" s="23">
        <f>IFERROR(VLOOKUP(C240, $B$17:$C$28, 2, FALSE), "")</f>
        <v/>
      </c>
      <c r="E240" s="23" t="inlineStr"/>
      <c r="F240" s="23" t="inlineStr"/>
      <c r="G240" s="33" t="inlineStr"/>
      <c r="H240" s="24" t="inlineStr">
        <is>
          <t>No</t>
        </is>
      </c>
      <c r="I240" s="24" t="inlineStr">
        <is>
          <t>No</t>
        </is>
      </c>
      <c r="J240" s="23" t="inlineStr"/>
    </row>
    <row r="241">
      <c r="A241" s="18" t="inlineStr">
        <is>
          <t>LOG-206</t>
        </is>
      </c>
      <c r="B241" s="18" t="inlineStr"/>
      <c r="C241" s="17" t="inlineStr"/>
      <c r="D241" s="17">
        <f>IFERROR(VLOOKUP(C241, $B$17:$C$28, 2, FALSE), "")</f>
        <v/>
      </c>
      <c r="E241" s="17" t="inlineStr"/>
      <c r="F241" s="17" t="inlineStr"/>
      <c r="G241" s="34" t="inlineStr"/>
      <c r="H241" s="18" t="inlineStr">
        <is>
          <t>No</t>
        </is>
      </c>
      <c r="I241" s="18" t="inlineStr">
        <is>
          <t>No</t>
        </is>
      </c>
      <c r="J241" s="17" t="inlineStr"/>
    </row>
    <row r="242">
      <c r="A242" s="24" t="inlineStr">
        <is>
          <t>LOG-207</t>
        </is>
      </c>
      <c r="B242" s="24" t="inlineStr"/>
      <c r="C242" s="23" t="inlineStr"/>
      <c r="D242" s="23">
        <f>IFERROR(VLOOKUP(C242, $B$17:$C$28, 2, FALSE), "")</f>
        <v/>
      </c>
      <c r="E242" s="23" t="inlineStr"/>
      <c r="F242" s="23" t="inlineStr"/>
      <c r="G242" s="33" t="inlineStr"/>
      <c r="H242" s="24" t="inlineStr">
        <is>
          <t>No</t>
        </is>
      </c>
      <c r="I242" s="24" t="inlineStr">
        <is>
          <t>No</t>
        </is>
      </c>
      <c r="J242" s="23" t="inlineStr"/>
    </row>
    <row r="243">
      <c r="A243" s="18" t="inlineStr">
        <is>
          <t>LOG-208</t>
        </is>
      </c>
      <c r="B243" s="18" t="inlineStr"/>
      <c r="C243" s="17" t="inlineStr"/>
      <c r="D243" s="17">
        <f>IFERROR(VLOOKUP(C243, $B$17:$C$28, 2, FALSE), "")</f>
        <v/>
      </c>
      <c r="E243" s="17" t="inlineStr"/>
      <c r="F243" s="17" t="inlineStr"/>
      <c r="G243" s="34" t="inlineStr"/>
      <c r="H243" s="18" t="inlineStr">
        <is>
          <t>No</t>
        </is>
      </c>
      <c r="I243" s="18" t="inlineStr">
        <is>
          <t>No</t>
        </is>
      </c>
      <c r="J243" s="17" t="inlineStr"/>
    </row>
    <row r="244">
      <c r="A244" s="24" t="inlineStr">
        <is>
          <t>LOG-209</t>
        </is>
      </c>
      <c r="B244" s="24" t="inlineStr"/>
      <c r="C244" s="23" t="inlineStr"/>
      <c r="D244" s="23">
        <f>IFERROR(VLOOKUP(C244, $B$17:$C$28, 2, FALSE), "")</f>
        <v/>
      </c>
      <c r="E244" s="23" t="inlineStr"/>
      <c r="F244" s="23" t="inlineStr"/>
      <c r="G244" s="33" t="inlineStr"/>
      <c r="H244" s="24" t="inlineStr">
        <is>
          <t>No</t>
        </is>
      </c>
      <c r="I244" s="24" t="inlineStr">
        <is>
          <t>No</t>
        </is>
      </c>
      <c r="J244" s="23" t="inlineStr"/>
    </row>
    <row r="245">
      <c r="A245" s="18" t="inlineStr">
        <is>
          <t>LOG-210</t>
        </is>
      </c>
      <c r="B245" s="18" t="inlineStr"/>
      <c r="C245" s="17" t="inlineStr"/>
      <c r="D245" s="17">
        <f>IFERROR(VLOOKUP(C245, $B$17:$C$28, 2, FALSE), "")</f>
        <v/>
      </c>
      <c r="E245" s="17" t="inlineStr"/>
      <c r="F245" s="17" t="inlineStr"/>
      <c r="G245" s="34" t="inlineStr"/>
      <c r="H245" s="18" t="inlineStr">
        <is>
          <t>No</t>
        </is>
      </c>
      <c r="I245" s="18" t="inlineStr">
        <is>
          <t>No</t>
        </is>
      </c>
      <c r="J245" s="17" t="inlineStr"/>
    </row>
    <row r="246">
      <c r="A246" s="24" t="inlineStr">
        <is>
          <t>LOG-211</t>
        </is>
      </c>
      <c r="B246" s="24" t="inlineStr"/>
      <c r="C246" s="23" t="inlineStr"/>
      <c r="D246" s="23">
        <f>IFERROR(VLOOKUP(C246, $B$17:$C$28, 2, FALSE), "")</f>
        <v/>
      </c>
      <c r="E246" s="23" t="inlineStr"/>
      <c r="F246" s="23" t="inlineStr"/>
      <c r="G246" s="33" t="inlineStr"/>
      <c r="H246" s="24" t="inlineStr">
        <is>
          <t>No</t>
        </is>
      </c>
      <c r="I246" s="24" t="inlineStr">
        <is>
          <t>No</t>
        </is>
      </c>
      <c r="J246" s="23" t="inlineStr"/>
    </row>
    <row r="247">
      <c r="A247" s="18" t="inlineStr">
        <is>
          <t>LOG-212</t>
        </is>
      </c>
      <c r="B247" s="18" t="inlineStr"/>
      <c r="C247" s="17" t="inlineStr"/>
      <c r="D247" s="17">
        <f>IFERROR(VLOOKUP(C247, $B$17:$C$28, 2, FALSE), "")</f>
        <v/>
      </c>
      <c r="E247" s="17" t="inlineStr"/>
      <c r="F247" s="17" t="inlineStr"/>
      <c r="G247" s="34" t="inlineStr"/>
      <c r="H247" s="18" t="inlineStr">
        <is>
          <t>No</t>
        </is>
      </c>
      <c r="I247" s="18" t="inlineStr">
        <is>
          <t>No</t>
        </is>
      </c>
      <c r="J247" s="17" t="inlineStr"/>
    </row>
    <row r="248">
      <c r="A248" s="24" t="inlineStr">
        <is>
          <t>LOG-213</t>
        </is>
      </c>
      <c r="B248" s="24" t="inlineStr"/>
      <c r="C248" s="23" t="inlineStr"/>
      <c r="D248" s="23">
        <f>IFERROR(VLOOKUP(C248, $B$17:$C$28, 2, FALSE), "")</f>
        <v/>
      </c>
      <c r="E248" s="23" t="inlineStr"/>
      <c r="F248" s="23" t="inlineStr"/>
      <c r="G248" s="33" t="inlineStr"/>
      <c r="H248" s="24" t="inlineStr">
        <is>
          <t>No</t>
        </is>
      </c>
      <c r="I248" s="24" t="inlineStr">
        <is>
          <t>No</t>
        </is>
      </c>
      <c r="J248" s="23" t="inlineStr"/>
    </row>
    <row r="249">
      <c r="A249" s="18" t="inlineStr">
        <is>
          <t>LOG-214</t>
        </is>
      </c>
      <c r="B249" s="18" t="inlineStr"/>
      <c r="C249" s="17" t="inlineStr"/>
      <c r="D249" s="17">
        <f>IFERROR(VLOOKUP(C249, $B$17:$C$28, 2, FALSE), "")</f>
        <v/>
      </c>
      <c r="E249" s="17" t="inlineStr"/>
      <c r="F249" s="17" t="inlineStr"/>
      <c r="G249" s="34" t="inlineStr"/>
      <c r="H249" s="18" t="inlineStr">
        <is>
          <t>No</t>
        </is>
      </c>
      <c r="I249" s="18" t="inlineStr">
        <is>
          <t>No</t>
        </is>
      </c>
      <c r="J249" s="17" t="inlineStr"/>
    </row>
    <row r="250">
      <c r="A250" s="24" t="inlineStr">
        <is>
          <t>LOG-215</t>
        </is>
      </c>
      <c r="B250" s="24" t="inlineStr"/>
      <c r="C250" s="23" t="inlineStr"/>
      <c r="D250" s="23">
        <f>IFERROR(VLOOKUP(C250, $B$17:$C$28, 2, FALSE), "")</f>
        <v/>
      </c>
      <c r="E250" s="23" t="inlineStr"/>
      <c r="F250" s="23" t="inlineStr"/>
      <c r="G250" s="33" t="inlineStr"/>
      <c r="H250" s="24" t="inlineStr">
        <is>
          <t>No</t>
        </is>
      </c>
      <c r="I250" s="24" t="inlineStr">
        <is>
          <t>No</t>
        </is>
      </c>
      <c r="J250" s="23" t="inlineStr"/>
    </row>
    <row r="251">
      <c r="A251" s="18" t="inlineStr">
        <is>
          <t>LOG-216</t>
        </is>
      </c>
      <c r="B251" s="18" t="inlineStr"/>
      <c r="C251" s="17" t="inlineStr"/>
      <c r="D251" s="17">
        <f>IFERROR(VLOOKUP(C251, $B$17:$C$28, 2, FALSE), "")</f>
        <v/>
      </c>
      <c r="E251" s="17" t="inlineStr"/>
      <c r="F251" s="17" t="inlineStr"/>
      <c r="G251" s="34" t="inlineStr"/>
      <c r="H251" s="18" t="inlineStr">
        <is>
          <t>No</t>
        </is>
      </c>
      <c r="I251" s="18" t="inlineStr">
        <is>
          <t>No</t>
        </is>
      </c>
      <c r="J251" s="17" t="inlineStr"/>
    </row>
    <row r="252">
      <c r="A252" s="24" t="inlineStr">
        <is>
          <t>LOG-217</t>
        </is>
      </c>
      <c r="B252" s="24" t="inlineStr"/>
      <c r="C252" s="23" t="inlineStr"/>
      <c r="D252" s="23">
        <f>IFERROR(VLOOKUP(C252, $B$17:$C$28, 2, FALSE), "")</f>
        <v/>
      </c>
      <c r="E252" s="23" t="inlineStr"/>
      <c r="F252" s="23" t="inlineStr"/>
      <c r="G252" s="33" t="inlineStr"/>
      <c r="H252" s="24" t="inlineStr">
        <is>
          <t>No</t>
        </is>
      </c>
      <c r="I252" s="24" t="inlineStr">
        <is>
          <t>No</t>
        </is>
      </c>
      <c r="J252" s="23" t="inlineStr"/>
    </row>
    <row r="253">
      <c r="A253" s="18" t="inlineStr">
        <is>
          <t>LOG-218</t>
        </is>
      </c>
      <c r="B253" s="18" t="inlineStr"/>
      <c r="C253" s="17" t="inlineStr"/>
      <c r="D253" s="17">
        <f>IFERROR(VLOOKUP(C253, $B$17:$C$28, 2, FALSE), "")</f>
        <v/>
      </c>
      <c r="E253" s="17" t="inlineStr"/>
      <c r="F253" s="17" t="inlineStr"/>
      <c r="G253" s="34" t="inlineStr"/>
      <c r="H253" s="18" t="inlineStr">
        <is>
          <t>No</t>
        </is>
      </c>
      <c r="I253" s="18" t="inlineStr">
        <is>
          <t>No</t>
        </is>
      </c>
      <c r="J253" s="17" t="inlineStr"/>
    </row>
    <row r="254">
      <c r="A254" s="24" t="inlineStr">
        <is>
          <t>LOG-219</t>
        </is>
      </c>
      <c r="B254" s="24" t="inlineStr"/>
      <c r="C254" s="23" t="inlineStr"/>
      <c r="D254" s="23">
        <f>IFERROR(VLOOKUP(C254, $B$17:$C$28, 2, FALSE), "")</f>
        <v/>
      </c>
      <c r="E254" s="23" t="inlineStr"/>
      <c r="F254" s="23" t="inlineStr"/>
      <c r="G254" s="33" t="inlineStr"/>
      <c r="H254" s="24" t="inlineStr">
        <is>
          <t>No</t>
        </is>
      </c>
      <c r="I254" s="24" t="inlineStr">
        <is>
          <t>No</t>
        </is>
      </c>
      <c r="J254" s="23" t="inlineStr"/>
    </row>
    <row r="255">
      <c r="A255" s="18" t="inlineStr">
        <is>
          <t>LOG-220</t>
        </is>
      </c>
      <c r="B255" s="18" t="inlineStr"/>
      <c r="C255" s="17" t="inlineStr"/>
      <c r="D255" s="17">
        <f>IFERROR(VLOOKUP(C255, $B$17:$C$28, 2, FALSE), "")</f>
        <v/>
      </c>
      <c r="E255" s="17" t="inlineStr"/>
      <c r="F255" s="17" t="inlineStr"/>
      <c r="G255" s="34" t="inlineStr"/>
      <c r="H255" s="18" t="inlineStr">
        <is>
          <t>No</t>
        </is>
      </c>
      <c r="I255" s="18" t="inlineStr">
        <is>
          <t>No</t>
        </is>
      </c>
      <c r="J255" s="17" t="inlineStr"/>
    </row>
    <row r="256">
      <c r="A256" s="24" t="inlineStr">
        <is>
          <t>LOG-221</t>
        </is>
      </c>
      <c r="B256" s="24" t="inlineStr"/>
      <c r="C256" s="23" t="inlineStr"/>
      <c r="D256" s="23">
        <f>IFERROR(VLOOKUP(C256, $B$17:$C$28, 2, FALSE), "")</f>
        <v/>
      </c>
      <c r="E256" s="23" t="inlineStr"/>
      <c r="F256" s="23" t="inlineStr"/>
      <c r="G256" s="33" t="inlineStr"/>
      <c r="H256" s="24" t="inlineStr">
        <is>
          <t>No</t>
        </is>
      </c>
      <c r="I256" s="24" t="inlineStr">
        <is>
          <t>No</t>
        </is>
      </c>
      <c r="J256" s="23" t="inlineStr"/>
    </row>
    <row r="257">
      <c r="A257" s="18" t="inlineStr">
        <is>
          <t>LOG-222</t>
        </is>
      </c>
      <c r="B257" s="18" t="inlineStr"/>
      <c r="C257" s="17" t="inlineStr"/>
      <c r="D257" s="17">
        <f>IFERROR(VLOOKUP(C257, $B$17:$C$28, 2, FALSE), "")</f>
        <v/>
      </c>
      <c r="E257" s="17" t="inlineStr"/>
      <c r="F257" s="17" t="inlineStr"/>
      <c r="G257" s="34" t="inlineStr"/>
      <c r="H257" s="18" t="inlineStr">
        <is>
          <t>No</t>
        </is>
      </c>
      <c r="I257" s="18" t="inlineStr">
        <is>
          <t>No</t>
        </is>
      </c>
      <c r="J257" s="17" t="inlineStr"/>
    </row>
    <row r="258">
      <c r="A258" s="24" t="inlineStr">
        <is>
          <t>LOG-223</t>
        </is>
      </c>
      <c r="B258" s="24" t="inlineStr"/>
      <c r="C258" s="23" t="inlineStr"/>
      <c r="D258" s="23">
        <f>IFERROR(VLOOKUP(C258, $B$17:$C$28, 2, FALSE), "")</f>
        <v/>
      </c>
      <c r="E258" s="23" t="inlineStr"/>
      <c r="F258" s="23" t="inlineStr"/>
      <c r="G258" s="33" t="inlineStr"/>
      <c r="H258" s="24" t="inlineStr">
        <is>
          <t>No</t>
        </is>
      </c>
      <c r="I258" s="24" t="inlineStr">
        <is>
          <t>No</t>
        </is>
      </c>
      <c r="J258" s="23" t="inlineStr"/>
    </row>
    <row r="259">
      <c r="A259" s="18" t="inlineStr">
        <is>
          <t>LOG-224</t>
        </is>
      </c>
      <c r="B259" s="18" t="inlineStr"/>
      <c r="C259" s="17" t="inlineStr"/>
      <c r="D259" s="17">
        <f>IFERROR(VLOOKUP(C259, $B$17:$C$28, 2, FALSE), "")</f>
        <v/>
      </c>
      <c r="E259" s="17" t="inlineStr"/>
      <c r="F259" s="17" t="inlineStr"/>
      <c r="G259" s="34" t="inlineStr"/>
      <c r="H259" s="18" t="inlineStr">
        <is>
          <t>No</t>
        </is>
      </c>
      <c r="I259" s="18" t="inlineStr">
        <is>
          <t>No</t>
        </is>
      </c>
      <c r="J259" s="17" t="inlineStr"/>
    </row>
    <row r="260">
      <c r="A260" s="24" t="inlineStr">
        <is>
          <t>LOG-225</t>
        </is>
      </c>
      <c r="B260" s="24" t="inlineStr"/>
      <c r="C260" s="23" t="inlineStr"/>
      <c r="D260" s="23">
        <f>IFERROR(VLOOKUP(C260, $B$17:$C$28, 2, FALSE), "")</f>
        <v/>
      </c>
      <c r="E260" s="23" t="inlineStr"/>
      <c r="F260" s="23" t="inlineStr"/>
      <c r="G260" s="33" t="inlineStr"/>
      <c r="H260" s="24" t="inlineStr">
        <is>
          <t>No</t>
        </is>
      </c>
      <c r="I260" s="24" t="inlineStr">
        <is>
          <t>No</t>
        </is>
      </c>
      <c r="J260" s="23" t="inlineStr"/>
    </row>
    <row r="261">
      <c r="A261" s="18" t="inlineStr">
        <is>
          <t>LOG-226</t>
        </is>
      </c>
      <c r="B261" s="18" t="inlineStr"/>
      <c r="C261" s="17" t="inlineStr"/>
      <c r="D261" s="17">
        <f>IFERROR(VLOOKUP(C261, $B$17:$C$28, 2, FALSE), "")</f>
        <v/>
      </c>
      <c r="E261" s="17" t="inlineStr"/>
      <c r="F261" s="17" t="inlineStr"/>
      <c r="G261" s="34" t="inlineStr"/>
      <c r="H261" s="18" t="inlineStr">
        <is>
          <t>No</t>
        </is>
      </c>
      <c r="I261" s="18" t="inlineStr">
        <is>
          <t>No</t>
        </is>
      </c>
      <c r="J261" s="17" t="inlineStr"/>
    </row>
    <row r="262">
      <c r="A262" s="24" t="inlineStr">
        <is>
          <t>LOG-227</t>
        </is>
      </c>
      <c r="B262" s="24" t="inlineStr"/>
      <c r="C262" s="23" t="inlineStr"/>
      <c r="D262" s="23">
        <f>IFERROR(VLOOKUP(C262, $B$17:$C$28, 2, FALSE), "")</f>
        <v/>
      </c>
      <c r="E262" s="23" t="inlineStr"/>
      <c r="F262" s="23" t="inlineStr"/>
      <c r="G262" s="33" t="inlineStr"/>
      <c r="H262" s="24" t="inlineStr">
        <is>
          <t>No</t>
        </is>
      </c>
      <c r="I262" s="24" t="inlineStr">
        <is>
          <t>No</t>
        </is>
      </c>
      <c r="J262" s="23" t="inlineStr"/>
    </row>
    <row r="263">
      <c r="A263" s="18" t="inlineStr">
        <is>
          <t>LOG-228</t>
        </is>
      </c>
      <c r="B263" s="18" t="inlineStr"/>
      <c r="C263" s="17" t="inlineStr"/>
      <c r="D263" s="17">
        <f>IFERROR(VLOOKUP(C263, $B$17:$C$28, 2, FALSE), "")</f>
        <v/>
      </c>
      <c r="E263" s="17" t="inlineStr"/>
      <c r="F263" s="17" t="inlineStr"/>
      <c r="G263" s="34" t="inlineStr"/>
      <c r="H263" s="18" t="inlineStr">
        <is>
          <t>No</t>
        </is>
      </c>
      <c r="I263" s="18" t="inlineStr">
        <is>
          <t>No</t>
        </is>
      </c>
      <c r="J263" s="17" t="inlineStr"/>
    </row>
    <row r="264">
      <c r="A264" s="24" t="inlineStr">
        <is>
          <t>LOG-229</t>
        </is>
      </c>
      <c r="B264" s="24" t="inlineStr"/>
      <c r="C264" s="23" t="inlineStr"/>
      <c r="D264" s="23">
        <f>IFERROR(VLOOKUP(C264, $B$17:$C$28, 2, FALSE), "")</f>
        <v/>
      </c>
      <c r="E264" s="23" t="inlineStr"/>
      <c r="F264" s="23" t="inlineStr"/>
      <c r="G264" s="33" t="inlineStr"/>
      <c r="H264" s="24" t="inlineStr">
        <is>
          <t>No</t>
        </is>
      </c>
      <c r="I264" s="24" t="inlineStr">
        <is>
          <t>No</t>
        </is>
      </c>
      <c r="J264" s="23" t="inlineStr"/>
    </row>
    <row r="265">
      <c r="A265" s="18" t="inlineStr">
        <is>
          <t>LOG-230</t>
        </is>
      </c>
      <c r="B265" s="18" t="inlineStr"/>
      <c r="C265" s="17" t="inlineStr"/>
      <c r="D265" s="17">
        <f>IFERROR(VLOOKUP(C265, $B$17:$C$28, 2, FALSE), "")</f>
        <v/>
      </c>
      <c r="E265" s="17" t="inlineStr"/>
      <c r="F265" s="17" t="inlineStr"/>
      <c r="G265" s="34" t="inlineStr"/>
      <c r="H265" s="18" t="inlineStr">
        <is>
          <t>No</t>
        </is>
      </c>
      <c r="I265" s="18" t="inlineStr">
        <is>
          <t>No</t>
        </is>
      </c>
      <c r="J265" s="17" t="inlineStr"/>
    </row>
    <row r="266">
      <c r="A266" s="24" t="inlineStr">
        <is>
          <t>LOG-231</t>
        </is>
      </c>
      <c r="B266" s="24" t="inlineStr"/>
      <c r="C266" s="23" t="inlineStr"/>
      <c r="D266" s="23">
        <f>IFERROR(VLOOKUP(C266, $B$17:$C$28, 2, FALSE), "")</f>
        <v/>
      </c>
      <c r="E266" s="23" t="inlineStr"/>
      <c r="F266" s="23" t="inlineStr"/>
      <c r="G266" s="33" t="inlineStr"/>
      <c r="H266" s="24" t="inlineStr">
        <is>
          <t>No</t>
        </is>
      </c>
      <c r="I266" s="24" t="inlineStr">
        <is>
          <t>No</t>
        </is>
      </c>
      <c r="J266" s="23" t="inlineStr"/>
    </row>
    <row r="267">
      <c r="A267" s="18" t="inlineStr">
        <is>
          <t>LOG-232</t>
        </is>
      </c>
      <c r="B267" s="18" t="inlineStr"/>
      <c r="C267" s="17" t="inlineStr"/>
      <c r="D267" s="17">
        <f>IFERROR(VLOOKUP(C267, $B$17:$C$28, 2, FALSE), "")</f>
        <v/>
      </c>
      <c r="E267" s="17" t="inlineStr"/>
      <c r="F267" s="17" t="inlineStr"/>
      <c r="G267" s="34" t="inlineStr"/>
      <c r="H267" s="18" t="inlineStr">
        <is>
          <t>No</t>
        </is>
      </c>
      <c r="I267" s="18" t="inlineStr">
        <is>
          <t>No</t>
        </is>
      </c>
      <c r="J267" s="17" t="inlineStr"/>
    </row>
    <row r="268">
      <c r="A268" s="24" t="inlineStr">
        <is>
          <t>LOG-233</t>
        </is>
      </c>
      <c r="B268" s="24" t="inlineStr"/>
      <c r="C268" s="23" t="inlineStr"/>
      <c r="D268" s="23">
        <f>IFERROR(VLOOKUP(C268, $B$17:$C$28, 2, FALSE), "")</f>
        <v/>
      </c>
      <c r="E268" s="23" t="inlineStr"/>
      <c r="F268" s="23" t="inlineStr"/>
      <c r="G268" s="33" t="inlineStr"/>
      <c r="H268" s="24" t="inlineStr">
        <is>
          <t>No</t>
        </is>
      </c>
      <c r="I268" s="24" t="inlineStr">
        <is>
          <t>No</t>
        </is>
      </c>
      <c r="J268" s="23" t="inlineStr"/>
    </row>
    <row r="269">
      <c r="A269" s="18" t="inlineStr">
        <is>
          <t>LOG-234</t>
        </is>
      </c>
      <c r="B269" s="18" t="inlineStr"/>
      <c r="C269" s="17" t="inlineStr"/>
      <c r="D269" s="17">
        <f>IFERROR(VLOOKUP(C269, $B$17:$C$28, 2, FALSE), "")</f>
        <v/>
      </c>
      <c r="E269" s="17" t="inlineStr"/>
      <c r="F269" s="17" t="inlineStr"/>
      <c r="G269" s="34" t="inlineStr"/>
      <c r="H269" s="18" t="inlineStr">
        <is>
          <t>No</t>
        </is>
      </c>
      <c r="I269" s="18" t="inlineStr">
        <is>
          <t>No</t>
        </is>
      </c>
      <c r="J269" s="17" t="inlineStr"/>
    </row>
    <row r="270">
      <c r="A270" s="24" t="inlineStr">
        <is>
          <t>LOG-235</t>
        </is>
      </c>
      <c r="B270" s="24" t="inlineStr"/>
      <c r="C270" s="23" t="inlineStr"/>
      <c r="D270" s="23">
        <f>IFERROR(VLOOKUP(C270, $B$17:$C$28, 2, FALSE), "")</f>
        <v/>
      </c>
      <c r="E270" s="23" t="inlineStr"/>
      <c r="F270" s="23" t="inlineStr"/>
      <c r="G270" s="33" t="inlineStr"/>
      <c r="H270" s="24" t="inlineStr">
        <is>
          <t>No</t>
        </is>
      </c>
      <c r="I270" s="24" t="inlineStr">
        <is>
          <t>No</t>
        </is>
      </c>
      <c r="J270" s="23" t="inlineStr"/>
    </row>
    <row r="271">
      <c r="A271" s="18" t="inlineStr">
        <is>
          <t>LOG-236</t>
        </is>
      </c>
      <c r="B271" s="18" t="inlineStr"/>
      <c r="C271" s="17" t="inlineStr"/>
      <c r="D271" s="17">
        <f>IFERROR(VLOOKUP(C271, $B$17:$C$28, 2, FALSE), "")</f>
        <v/>
      </c>
      <c r="E271" s="17" t="inlineStr"/>
      <c r="F271" s="17" t="inlineStr"/>
      <c r="G271" s="34" t="inlineStr"/>
      <c r="H271" s="18" t="inlineStr">
        <is>
          <t>No</t>
        </is>
      </c>
      <c r="I271" s="18" t="inlineStr">
        <is>
          <t>No</t>
        </is>
      </c>
      <c r="J271" s="17" t="inlineStr"/>
    </row>
    <row r="272">
      <c r="A272" s="24" t="inlineStr">
        <is>
          <t>LOG-237</t>
        </is>
      </c>
      <c r="B272" s="24" t="inlineStr"/>
      <c r="C272" s="23" t="inlineStr"/>
      <c r="D272" s="23">
        <f>IFERROR(VLOOKUP(C272, $B$17:$C$28, 2, FALSE), "")</f>
        <v/>
      </c>
      <c r="E272" s="23" t="inlineStr"/>
      <c r="F272" s="23" t="inlineStr"/>
      <c r="G272" s="33" t="inlineStr"/>
      <c r="H272" s="24" t="inlineStr">
        <is>
          <t>No</t>
        </is>
      </c>
      <c r="I272" s="24" t="inlineStr">
        <is>
          <t>No</t>
        </is>
      </c>
      <c r="J272" s="23" t="inlineStr"/>
    </row>
    <row r="273">
      <c r="A273" s="18" t="inlineStr">
        <is>
          <t>LOG-238</t>
        </is>
      </c>
      <c r="B273" s="18" t="inlineStr"/>
      <c r="C273" s="17" t="inlineStr"/>
      <c r="D273" s="17">
        <f>IFERROR(VLOOKUP(C273, $B$17:$C$28, 2, FALSE), "")</f>
        <v/>
      </c>
      <c r="E273" s="17" t="inlineStr"/>
      <c r="F273" s="17" t="inlineStr"/>
      <c r="G273" s="34" t="inlineStr"/>
      <c r="H273" s="18" t="inlineStr">
        <is>
          <t>No</t>
        </is>
      </c>
      <c r="I273" s="18" t="inlineStr">
        <is>
          <t>No</t>
        </is>
      </c>
      <c r="J273" s="17" t="inlineStr"/>
    </row>
    <row r="274">
      <c r="A274" s="24" t="inlineStr">
        <is>
          <t>LOG-239</t>
        </is>
      </c>
      <c r="B274" s="24" t="inlineStr"/>
      <c r="C274" s="23" t="inlineStr"/>
      <c r="D274" s="23">
        <f>IFERROR(VLOOKUP(C274, $B$17:$C$28, 2, FALSE), "")</f>
        <v/>
      </c>
      <c r="E274" s="23" t="inlineStr"/>
      <c r="F274" s="23" t="inlineStr"/>
      <c r="G274" s="33" t="inlineStr"/>
      <c r="H274" s="24" t="inlineStr">
        <is>
          <t>No</t>
        </is>
      </c>
      <c r="I274" s="24" t="inlineStr">
        <is>
          <t>No</t>
        </is>
      </c>
      <c r="J274" s="23" t="inlineStr"/>
    </row>
    <row r="275">
      <c r="A275" s="18" t="inlineStr">
        <is>
          <t>LOG-240</t>
        </is>
      </c>
      <c r="B275" s="18" t="inlineStr"/>
      <c r="C275" s="17" t="inlineStr"/>
      <c r="D275" s="17">
        <f>IFERROR(VLOOKUP(C275, $B$17:$C$28, 2, FALSE), "")</f>
        <v/>
      </c>
      <c r="E275" s="17" t="inlineStr"/>
      <c r="F275" s="17" t="inlineStr"/>
      <c r="G275" s="34" t="inlineStr"/>
      <c r="H275" s="18" t="inlineStr">
        <is>
          <t>No</t>
        </is>
      </c>
      <c r="I275" s="18" t="inlineStr">
        <is>
          <t>No</t>
        </is>
      </c>
      <c r="J275" s="17" t="inlineStr"/>
    </row>
    <row r="276">
      <c r="A276" s="24" t="inlineStr">
        <is>
          <t>LOG-241</t>
        </is>
      </c>
      <c r="B276" s="24" t="inlineStr"/>
      <c r="C276" s="23" t="inlineStr"/>
      <c r="D276" s="23">
        <f>IFERROR(VLOOKUP(C276, $B$17:$C$28, 2, FALSE), "")</f>
        <v/>
      </c>
      <c r="E276" s="23" t="inlineStr"/>
      <c r="F276" s="23" t="inlineStr"/>
      <c r="G276" s="33" t="inlineStr"/>
      <c r="H276" s="24" t="inlineStr">
        <is>
          <t>No</t>
        </is>
      </c>
      <c r="I276" s="24" t="inlineStr">
        <is>
          <t>No</t>
        </is>
      </c>
      <c r="J276" s="23" t="inlineStr"/>
    </row>
    <row r="277">
      <c r="A277" s="18" t="inlineStr">
        <is>
          <t>LOG-242</t>
        </is>
      </c>
      <c r="B277" s="18" t="inlineStr"/>
      <c r="C277" s="17" t="inlineStr"/>
      <c r="D277" s="17">
        <f>IFERROR(VLOOKUP(C277, $B$17:$C$28, 2, FALSE), "")</f>
        <v/>
      </c>
      <c r="E277" s="17" t="inlineStr"/>
      <c r="F277" s="17" t="inlineStr"/>
      <c r="G277" s="34" t="inlineStr"/>
      <c r="H277" s="18" t="inlineStr">
        <is>
          <t>No</t>
        </is>
      </c>
      <c r="I277" s="18" t="inlineStr">
        <is>
          <t>No</t>
        </is>
      </c>
      <c r="J277" s="17" t="inlineStr"/>
    </row>
    <row r="278">
      <c r="A278" s="24" t="inlineStr">
        <is>
          <t>LOG-243</t>
        </is>
      </c>
      <c r="B278" s="24" t="inlineStr"/>
      <c r="C278" s="23" t="inlineStr"/>
      <c r="D278" s="23">
        <f>IFERROR(VLOOKUP(C278, $B$17:$C$28, 2, FALSE), "")</f>
        <v/>
      </c>
      <c r="E278" s="23" t="inlineStr"/>
      <c r="F278" s="23" t="inlineStr"/>
      <c r="G278" s="33" t="inlineStr"/>
      <c r="H278" s="24" t="inlineStr">
        <is>
          <t>No</t>
        </is>
      </c>
      <c r="I278" s="24" t="inlineStr">
        <is>
          <t>No</t>
        </is>
      </c>
      <c r="J278" s="23" t="inlineStr"/>
    </row>
    <row r="279">
      <c r="A279" s="18" t="inlineStr">
        <is>
          <t>LOG-244</t>
        </is>
      </c>
      <c r="B279" s="18" t="inlineStr"/>
      <c r="C279" s="17" t="inlineStr"/>
      <c r="D279" s="17">
        <f>IFERROR(VLOOKUP(C279, $B$17:$C$28, 2, FALSE), "")</f>
        <v/>
      </c>
      <c r="E279" s="17" t="inlineStr"/>
      <c r="F279" s="17" t="inlineStr"/>
      <c r="G279" s="34" t="inlineStr"/>
      <c r="H279" s="18" t="inlineStr">
        <is>
          <t>No</t>
        </is>
      </c>
      <c r="I279" s="18" t="inlineStr">
        <is>
          <t>No</t>
        </is>
      </c>
      <c r="J279" s="17" t="inlineStr"/>
    </row>
    <row r="280">
      <c r="A280" s="24" t="inlineStr">
        <is>
          <t>LOG-245</t>
        </is>
      </c>
      <c r="B280" s="24" t="inlineStr"/>
      <c r="C280" s="23" t="inlineStr"/>
      <c r="D280" s="23">
        <f>IFERROR(VLOOKUP(C280, $B$17:$C$28, 2, FALSE), "")</f>
        <v/>
      </c>
      <c r="E280" s="23" t="inlineStr"/>
      <c r="F280" s="23" t="inlineStr"/>
      <c r="G280" s="33" t="inlineStr"/>
      <c r="H280" s="24" t="inlineStr">
        <is>
          <t>No</t>
        </is>
      </c>
      <c r="I280" s="24" t="inlineStr">
        <is>
          <t>No</t>
        </is>
      </c>
      <c r="J280" s="23" t="inlineStr"/>
    </row>
    <row r="281">
      <c r="A281" s="18" t="inlineStr">
        <is>
          <t>LOG-246</t>
        </is>
      </c>
      <c r="B281" s="18" t="inlineStr"/>
      <c r="C281" s="17" t="inlineStr"/>
      <c r="D281" s="17">
        <f>IFERROR(VLOOKUP(C281, $B$17:$C$28, 2, FALSE), "")</f>
        <v/>
      </c>
      <c r="E281" s="17" t="inlineStr"/>
      <c r="F281" s="17" t="inlineStr"/>
      <c r="G281" s="34" t="inlineStr"/>
      <c r="H281" s="18" t="inlineStr">
        <is>
          <t>No</t>
        </is>
      </c>
      <c r="I281" s="18" t="inlineStr">
        <is>
          <t>No</t>
        </is>
      </c>
      <c r="J281" s="17" t="inlineStr"/>
    </row>
    <row r="282">
      <c r="A282" s="24" t="inlineStr">
        <is>
          <t>LOG-247</t>
        </is>
      </c>
      <c r="B282" s="24" t="inlineStr"/>
      <c r="C282" s="23" t="inlineStr"/>
      <c r="D282" s="23">
        <f>IFERROR(VLOOKUP(C282, $B$17:$C$28, 2, FALSE), "")</f>
        <v/>
      </c>
      <c r="E282" s="23" t="inlineStr"/>
      <c r="F282" s="23" t="inlineStr"/>
      <c r="G282" s="33" t="inlineStr"/>
      <c r="H282" s="24" t="inlineStr">
        <is>
          <t>No</t>
        </is>
      </c>
      <c r="I282" s="24" t="inlineStr">
        <is>
          <t>No</t>
        </is>
      </c>
      <c r="J282" s="23" t="inlineStr"/>
    </row>
    <row r="283">
      <c r="A283" s="18" t="inlineStr">
        <is>
          <t>LOG-248</t>
        </is>
      </c>
      <c r="B283" s="18" t="inlineStr"/>
      <c r="C283" s="17" t="inlineStr"/>
      <c r="D283" s="17">
        <f>IFERROR(VLOOKUP(C283, $B$17:$C$28, 2, FALSE), "")</f>
        <v/>
      </c>
      <c r="E283" s="17" t="inlineStr"/>
      <c r="F283" s="17" t="inlineStr"/>
      <c r="G283" s="34" t="inlineStr"/>
      <c r="H283" s="18" t="inlineStr">
        <is>
          <t>No</t>
        </is>
      </c>
      <c r="I283" s="18" t="inlineStr">
        <is>
          <t>No</t>
        </is>
      </c>
      <c r="J283" s="17" t="inlineStr"/>
    </row>
    <row r="284">
      <c r="A284" s="24" t="inlineStr">
        <is>
          <t>LOG-249</t>
        </is>
      </c>
      <c r="B284" s="24" t="inlineStr"/>
      <c r="C284" s="23" t="inlineStr"/>
      <c r="D284" s="23">
        <f>IFERROR(VLOOKUP(C284, $B$17:$C$28, 2, FALSE), "")</f>
        <v/>
      </c>
      <c r="E284" s="23" t="inlineStr"/>
      <c r="F284" s="23" t="inlineStr"/>
      <c r="G284" s="33" t="inlineStr"/>
      <c r="H284" s="24" t="inlineStr">
        <is>
          <t>No</t>
        </is>
      </c>
      <c r="I284" s="24" t="inlineStr">
        <is>
          <t>No</t>
        </is>
      </c>
      <c r="J284" s="23" t="inlineStr"/>
    </row>
    <row r="285">
      <c r="A285" s="18" t="inlineStr">
        <is>
          <t>LOG-250</t>
        </is>
      </c>
      <c r="B285" s="18" t="inlineStr"/>
      <c r="C285" s="17" t="inlineStr"/>
      <c r="D285" s="17">
        <f>IFERROR(VLOOKUP(C285, $B$17:$C$28, 2, FALSE), "")</f>
        <v/>
      </c>
      <c r="E285" s="17" t="inlineStr"/>
      <c r="F285" s="17" t="inlineStr"/>
      <c r="G285" s="34" t="inlineStr"/>
      <c r="H285" s="18" t="inlineStr">
        <is>
          <t>No</t>
        </is>
      </c>
      <c r="I285" s="18" t="inlineStr">
        <is>
          <t>No</t>
        </is>
      </c>
      <c r="J285" s="17" t="inlineStr"/>
    </row>
    <row r="286">
      <c r="A286" s="24" t="inlineStr">
        <is>
          <t>LOG-251</t>
        </is>
      </c>
      <c r="B286" s="24" t="inlineStr"/>
      <c r="C286" s="23" t="inlineStr"/>
      <c r="D286" s="23">
        <f>IFERROR(VLOOKUP(C286, $B$17:$C$28, 2, FALSE), "")</f>
        <v/>
      </c>
      <c r="E286" s="23" t="inlineStr"/>
      <c r="F286" s="23" t="inlineStr"/>
      <c r="G286" s="33" t="inlineStr"/>
      <c r="H286" s="24" t="inlineStr">
        <is>
          <t>No</t>
        </is>
      </c>
      <c r="I286" s="24" t="inlineStr">
        <is>
          <t>No</t>
        </is>
      </c>
      <c r="J286" s="23" t="inlineStr"/>
    </row>
    <row r="287">
      <c r="A287" s="18" t="inlineStr">
        <is>
          <t>LOG-252</t>
        </is>
      </c>
      <c r="B287" s="18" t="inlineStr"/>
      <c r="C287" s="17" t="inlineStr"/>
      <c r="D287" s="17">
        <f>IFERROR(VLOOKUP(C287, $B$17:$C$28, 2, FALSE), "")</f>
        <v/>
      </c>
      <c r="E287" s="17" t="inlineStr"/>
      <c r="F287" s="17" t="inlineStr"/>
      <c r="G287" s="34" t="inlineStr"/>
      <c r="H287" s="18" t="inlineStr">
        <is>
          <t>No</t>
        </is>
      </c>
      <c r="I287" s="18" t="inlineStr">
        <is>
          <t>No</t>
        </is>
      </c>
      <c r="J287" s="17" t="inlineStr"/>
    </row>
    <row r="288">
      <c r="A288" s="24" t="inlineStr">
        <is>
          <t>LOG-253</t>
        </is>
      </c>
      <c r="B288" s="24" t="inlineStr"/>
      <c r="C288" s="23" t="inlineStr"/>
      <c r="D288" s="23">
        <f>IFERROR(VLOOKUP(C288, $B$17:$C$28, 2, FALSE), "")</f>
        <v/>
      </c>
      <c r="E288" s="23" t="inlineStr"/>
      <c r="F288" s="23" t="inlineStr"/>
      <c r="G288" s="33" t="inlineStr"/>
      <c r="H288" s="24" t="inlineStr">
        <is>
          <t>No</t>
        </is>
      </c>
      <c r="I288" s="24" t="inlineStr">
        <is>
          <t>No</t>
        </is>
      </c>
      <c r="J288" s="23" t="inlineStr"/>
    </row>
    <row r="289">
      <c r="A289" s="18" t="inlineStr">
        <is>
          <t>LOG-254</t>
        </is>
      </c>
      <c r="B289" s="18" t="inlineStr"/>
      <c r="C289" s="17" t="inlineStr"/>
      <c r="D289" s="17">
        <f>IFERROR(VLOOKUP(C289, $B$17:$C$28, 2, FALSE), "")</f>
        <v/>
      </c>
      <c r="E289" s="17" t="inlineStr"/>
      <c r="F289" s="17" t="inlineStr"/>
      <c r="G289" s="34" t="inlineStr"/>
      <c r="H289" s="18" t="inlineStr">
        <is>
          <t>No</t>
        </is>
      </c>
      <c r="I289" s="18" t="inlineStr">
        <is>
          <t>No</t>
        </is>
      </c>
      <c r="J289" s="17" t="inlineStr"/>
    </row>
    <row r="290">
      <c r="A290" s="24" t="inlineStr">
        <is>
          <t>LOG-255</t>
        </is>
      </c>
      <c r="B290" s="24" t="inlineStr"/>
      <c r="C290" s="23" t="inlineStr"/>
      <c r="D290" s="23">
        <f>IFERROR(VLOOKUP(C290, $B$17:$C$28, 2, FALSE), "")</f>
        <v/>
      </c>
      <c r="E290" s="23" t="inlineStr"/>
      <c r="F290" s="23" t="inlineStr"/>
      <c r="G290" s="33" t="inlineStr"/>
      <c r="H290" s="24" t="inlineStr">
        <is>
          <t>No</t>
        </is>
      </c>
      <c r="I290" s="24" t="inlineStr">
        <is>
          <t>No</t>
        </is>
      </c>
      <c r="J290" s="23" t="inlineStr"/>
    </row>
    <row r="291">
      <c r="A291" s="18" t="inlineStr">
        <is>
          <t>LOG-256</t>
        </is>
      </c>
      <c r="B291" s="18" t="inlineStr"/>
      <c r="C291" s="17" t="inlineStr"/>
      <c r="D291" s="17">
        <f>IFERROR(VLOOKUP(C291, $B$17:$C$28, 2, FALSE), "")</f>
        <v/>
      </c>
      <c r="E291" s="17" t="inlineStr"/>
      <c r="F291" s="17" t="inlineStr"/>
      <c r="G291" s="34" t="inlineStr"/>
      <c r="H291" s="18" t="inlineStr">
        <is>
          <t>No</t>
        </is>
      </c>
      <c r="I291" s="18" t="inlineStr">
        <is>
          <t>No</t>
        </is>
      </c>
      <c r="J291" s="17" t="inlineStr"/>
    </row>
    <row r="292">
      <c r="A292" s="24" t="inlineStr">
        <is>
          <t>LOG-257</t>
        </is>
      </c>
      <c r="B292" s="24" t="inlineStr"/>
      <c r="C292" s="23" t="inlineStr"/>
      <c r="D292" s="23">
        <f>IFERROR(VLOOKUP(C292, $B$17:$C$28, 2, FALSE), "")</f>
        <v/>
      </c>
      <c r="E292" s="23" t="inlineStr"/>
      <c r="F292" s="23" t="inlineStr"/>
      <c r="G292" s="33" t="inlineStr"/>
      <c r="H292" s="24" t="inlineStr">
        <is>
          <t>No</t>
        </is>
      </c>
      <c r="I292" s="24" t="inlineStr">
        <is>
          <t>No</t>
        </is>
      </c>
      <c r="J292" s="23" t="inlineStr"/>
    </row>
    <row r="293">
      <c r="A293" s="18" t="inlineStr">
        <is>
          <t>LOG-258</t>
        </is>
      </c>
      <c r="B293" s="18" t="inlineStr"/>
      <c r="C293" s="17" t="inlineStr"/>
      <c r="D293" s="17">
        <f>IFERROR(VLOOKUP(C293, $B$17:$C$28, 2, FALSE), "")</f>
        <v/>
      </c>
      <c r="E293" s="17" t="inlineStr"/>
      <c r="F293" s="17" t="inlineStr"/>
      <c r="G293" s="34" t="inlineStr"/>
      <c r="H293" s="18" t="inlineStr">
        <is>
          <t>No</t>
        </is>
      </c>
      <c r="I293" s="18" t="inlineStr">
        <is>
          <t>No</t>
        </is>
      </c>
      <c r="J293" s="17" t="inlineStr"/>
    </row>
    <row r="294">
      <c r="A294" s="24" t="inlineStr">
        <is>
          <t>LOG-259</t>
        </is>
      </c>
      <c r="B294" s="24" t="inlineStr"/>
      <c r="C294" s="23" t="inlineStr"/>
      <c r="D294" s="23">
        <f>IFERROR(VLOOKUP(C294, $B$17:$C$28, 2, FALSE), "")</f>
        <v/>
      </c>
      <c r="E294" s="23" t="inlineStr"/>
      <c r="F294" s="23" t="inlineStr"/>
      <c r="G294" s="33" t="inlineStr"/>
      <c r="H294" s="24" t="inlineStr">
        <is>
          <t>No</t>
        </is>
      </c>
      <c r="I294" s="24" t="inlineStr">
        <is>
          <t>No</t>
        </is>
      </c>
      <c r="J294" s="23" t="inlineStr"/>
    </row>
    <row r="295">
      <c r="A295" s="18" t="inlineStr">
        <is>
          <t>LOG-260</t>
        </is>
      </c>
      <c r="B295" s="18" t="inlineStr"/>
      <c r="C295" s="17" t="inlineStr"/>
      <c r="D295" s="17">
        <f>IFERROR(VLOOKUP(C295, $B$17:$C$28, 2, FALSE), "")</f>
        <v/>
      </c>
      <c r="E295" s="17" t="inlineStr"/>
      <c r="F295" s="17" t="inlineStr"/>
      <c r="G295" s="34" t="inlineStr"/>
      <c r="H295" s="18" t="inlineStr">
        <is>
          <t>No</t>
        </is>
      </c>
      <c r="I295" s="18" t="inlineStr">
        <is>
          <t>No</t>
        </is>
      </c>
      <c r="J295" s="17" t="inlineStr"/>
    </row>
    <row r="296">
      <c r="A296" s="24" t="inlineStr">
        <is>
          <t>LOG-261</t>
        </is>
      </c>
      <c r="B296" s="24" t="inlineStr"/>
      <c r="C296" s="23" t="inlineStr"/>
      <c r="D296" s="23">
        <f>IFERROR(VLOOKUP(C296, $B$17:$C$28, 2, FALSE), "")</f>
        <v/>
      </c>
      <c r="E296" s="23" t="inlineStr"/>
      <c r="F296" s="23" t="inlineStr"/>
      <c r="G296" s="33" t="inlineStr"/>
      <c r="H296" s="24" t="inlineStr">
        <is>
          <t>No</t>
        </is>
      </c>
      <c r="I296" s="24" t="inlineStr">
        <is>
          <t>No</t>
        </is>
      </c>
      <c r="J296" s="23" t="inlineStr"/>
    </row>
    <row r="297">
      <c r="A297" s="18" t="inlineStr">
        <is>
          <t>LOG-262</t>
        </is>
      </c>
      <c r="B297" s="18" t="inlineStr"/>
      <c r="C297" s="17" t="inlineStr"/>
      <c r="D297" s="17">
        <f>IFERROR(VLOOKUP(C297, $B$17:$C$28, 2, FALSE), "")</f>
        <v/>
      </c>
      <c r="E297" s="17" t="inlineStr"/>
      <c r="F297" s="17" t="inlineStr"/>
      <c r="G297" s="34" t="inlineStr"/>
      <c r="H297" s="18" t="inlineStr">
        <is>
          <t>No</t>
        </is>
      </c>
      <c r="I297" s="18" t="inlineStr">
        <is>
          <t>No</t>
        </is>
      </c>
      <c r="J297" s="17" t="inlineStr"/>
    </row>
    <row r="298">
      <c r="A298" s="24" t="inlineStr">
        <is>
          <t>LOG-263</t>
        </is>
      </c>
      <c r="B298" s="24" t="inlineStr"/>
      <c r="C298" s="23" t="inlineStr"/>
      <c r="D298" s="23">
        <f>IFERROR(VLOOKUP(C298, $B$17:$C$28, 2, FALSE), "")</f>
        <v/>
      </c>
      <c r="E298" s="23" t="inlineStr"/>
      <c r="F298" s="23" t="inlineStr"/>
      <c r="G298" s="33" t="inlineStr"/>
      <c r="H298" s="24" t="inlineStr">
        <is>
          <t>No</t>
        </is>
      </c>
      <c r="I298" s="24" t="inlineStr">
        <is>
          <t>No</t>
        </is>
      </c>
      <c r="J298" s="23" t="inlineStr"/>
    </row>
    <row r="299">
      <c r="A299" s="18" t="inlineStr">
        <is>
          <t>LOG-264</t>
        </is>
      </c>
      <c r="B299" s="18" t="inlineStr"/>
      <c r="C299" s="17" t="inlineStr"/>
      <c r="D299" s="17">
        <f>IFERROR(VLOOKUP(C299, $B$17:$C$28, 2, FALSE), "")</f>
        <v/>
      </c>
      <c r="E299" s="17" t="inlineStr"/>
      <c r="F299" s="17" t="inlineStr"/>
      <c r="G299" s="34" t="inlineStr"/>
      <c r="H299" s="18" t="inlineStr">
        <is>
          <t>No</t>
        </is>
      </c>
      <c r="I299" s="18" t="inlineStr">
        <is>
          <t>No</t>
        </is>
      </c>
      <c r="J299" s="17" t="inlineStr"/>
    </row>
    <row r="300">
      <c r="A300" s="24" t="inlineStr">
        <is>
          <t>LOG-265</t>
        </is>
      </c>
      <c r="B300" s="24" t="inlineStr"/>
      <c r="C300" s="23" t="inlineStr"/>
      <c r="D300" s="23">
        <f>IFERROR(VLOOKUP(C300, $B$17:$C$28, 2, FALSE), "")</f>
        <v/>
      </c>
      <c r="E300" s="23" t="inlineStr"/>
      <c r="F300" s="23" t="inlineStr"/>
      <c r="G300" s="33" t="inlineStr"/>
      <c r="H300" s="24" t="inlineStr">
        <is>
          <t>No</t>
        </is>
      </c>
      <c r="I300" s="24" t="inlineStr">
        <is>
          <t>No</t>
        </is>
      </c>
      <c r="J300" s="23" t="inlineStr"/>
    </row>
  </sheetData>
  <mergeCells count="15">
    <mergeCell ref="F7:J7"/>
    <mergeCell ref="H12:I12"/>
    <mergeCell ref="F12:G12"/>
    <mergeCell ref="D7:E7"/>
    <mergeCell ref="B7:C7"/>
    <mergeCell ref="F10:G11"/>
    <mergeCell ref="H10:I11"/>
    <mergeCell ref="B10:C11"/>
    <mergeCell ref="D10:E11"/>
    <mergeCell ref="B9:C9"/>
    <mergeCell ref="D9:E9"/>
    <mergeCell ref="H9:I9"/>
    <mergeCell ref="F9:G9"/>
    <mergeCell ref="D12:E12"/>
    <mergeCell ref="B12:C12"/>
  </mergeCells>
  <dataValidations count="4">
    <dataValidation sqref="D7" showDropDown="0" showInputMessage="0" showErrorMessage="0" allowBlank="0" type="list">
      <formula1>$L$8:$L$22</formula1>
    </dataValidation>
    <dataValidation sqref="C36:C300" showDropDown="0" showInputMessage="0" showErrorMessage="0" allowBlank="1" type="list">
      <formula1>$B$17:$B$28</formula1>
    </dataValidation>
    <dataValidation sqref="H17:I28 H36:I300" showDropDown="0" showInputMessage="0" showErrorMessage="0" allowBlank="1" type="list">
      <formula1>$M$8:$M$9</formula1>
    </dataValidation>
    <dataValidation sqref="F17:F28 F36:F300" showDropDown="0" showInputMessage="0" showErrorMessage="0" allowBlank="1" type="list">
      <formula1>$N$8:$N$15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2026-08-19T20:30:45Z</dcterms:created>
  <dcterms:modified xmlns:dcterms="http://purl.org/dc/terms/" xmlns:xsi="http://www.w3.org/2001/XMLSchema-instance" xsi:type="dcterms:W3CDTF">2026-08-19T20:30:45Z</dcterms:modified>
</cp:coreProperties>
</file>