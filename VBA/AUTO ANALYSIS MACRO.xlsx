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pinnacleart-my.sharepoint.com/personal/musthaque_mayalankot_pinnaclereliability_com/Documents/Desktop/My Works/"/>
    </mc:Choice>
  </mc:AlternateContent>
  <xr:revisionPtr revIDLastSave="0" documentId="8_{FA8D63CE-4353-4DD1-BC50-ADA60A4A6040}" xr6:coauthVersionLast="47" xr6:coauthVersionMax="47" xr10:uidLastSave="{00000000-0000-0000-0000-000000000000}"/>
  <bookViews>
    <workbookView xWindow="-108" yWindow="-108" windowWidth="23256" windowHeight="12456" activeTab="3" xr2:uid="{EE8D2D30-53AC-494E-8A94-DDD646BA1363}"/>
  </bookViews>
  <sheets>
    <sheet name="Executive_Dashboard" sheetId="3" r:id="rId1"/>
    <sheet name="Pivot_Calculations" sheetId="4" state="hidden" r:id="rId2"/>
    <sheet name="Raw_Data" sheetId="2" r:id="rId3"/>
    <sheet name="Sheet1" sheetId="1" r:id="rId4"/>
  </sheets>
  <definedNames>
    <definedName name="Slicer_segment">#N/A</definedName>
    <definedName name="Slicer_speedometer_type">#N/A</definedName>
  </definedNames>
  <calcPr calcId="191029"/>
  <pivotCaches>
    <pivotCache cacheId="69"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3" l="1"/>
  <c r="N7" i="3"/>
  <c r="L7" i="3"/>
  <c r="J7" i="3"/>
  <c r="H7" i="3"/>
  <c r="F7" i="3"/>
  <c r="D7" i="3"/>
  <c r="B7" i="3"/>
  <c r="AB14" i="4"/>
  <c r="AB13" i="4"/>
  <c r="AB12" i="4"/>
  <c r="AB11" i="4"/>
  <c r="AB10" i="4"/>
  <c r="AE1001" i="4"/>
  <c r="AE1000" i="4"/>
  <c r="AE999" i="4"/>
  <c r="AE998" i="4"/>
  <c r="AE997" i="4"/>
  <c r="AE996" i="4"/>
  <c r="AE995" i="4"/>
  <c r="AE994" i="4"/>
  <c r="AE993" i="4"/>
  <c r="AE992" i="4"/>
  <c r="AE991" i="4"/>
  <c r="AE990" i="4"/>
  <c r="AE989" i="4"/>
  <c r="AE988" i="4"/>
  <c r="AE987" i="4"/>
  <c r="AE986" i="4"/>
  <c r="AE985" i="4"/>
  <c r="AE984" i="4"/>
  <c r="AE983" i="4"/>
  <c r="AE982" i="4"/>
  <c r="AE981" i="4"/>
  <c r="AE980" i="4"/>
  <c r="AE979" i="4"/>
  <c r="AE978" i="4"/>
  <c r="AE977" i="4"/>
  <c r="AE976" i="4"/>
  <c r="AE975" i="4"/>
  <c r="AE974" i="4"/>
  <c r="AE973" i="4"/>
  <c r="AE972" i="4"/>
  <c r="AE971" i="4"/>
  <c r="AE970" i="4"/>
  <c r="AE969" i="4"/>
  <c r="AE968" i="4"/>
  <c r="AE967" i="4"/>
  <c r="AE966" i="4"/>
  <c r="AE965" i="4"/>
  <c r="AE964" i="4"/>
  <c r="AE963" i="4"/>
  <c r="AE962" i="4"/>
  <c r="AE961" i="4"/>
  <c r="AE960" i="4"/>
  <c r="AE959" i="4"/>
  <c r="AE958" i="4"/>
  <c r="AE957" i="4"/>
  <c r="AE956" i="4"/>
  <c r="AE955" i="4"/>
  <c r="AE954" i="4"/>
  <c r="AE953" i="4"/>
  <c r="AE952" i="4"/>
  <c r="AE951" i="4"/>
  <c r="AE950" i="4"/>
  <c r="AE949" i="4"/>
  <c r="AE948" i="4"/>
  <c r="AE947" i="4"/>
  <c r="AE946" i="4"/>
  <c r="AE945" i="4"/>
  <c r="AE944" i="4"/>
  <c r="AE943" i="4"/>
  <c r="AE942" i="4"/>
  <c r="AE941" i="4"/>
  <c r="AE940" i="4"/>
  <c r="AE939" i="4"/>
  <c r="AE938" i="4"/>
  <c r="AE937" i="4"/>
  <c r="AE936" i="4"/>
  <c r="AE935" i="4"/>
  <c r="AE934" i="4"/>
  <c r="AE933" i="4"/>
  <c r="AE932" i="4"/>
  <c r="AE931" i="4"/>
  <c r="AE930" i="4"/>
  <c r="AE929" i="4"/>
  <c r="AE928" i="4"/>
  <c r="AE927" i="4"/>
  <c r="AE926" i="4"/>
  <c r="AE925" i="4"/>
  <c r="AE924" i="4"/>
  <c r="AE923" i="4"/>
  <c r="AE922" i="4"/>
  <c r="AE921" i="4"/>
  <c r="AE920" i="4"/>
  <c r="AE919" i="4"/>
  <c r="AE918" i="4"/>
  <c r="AE917" i="4"/>
  <c r="AE916" i="4"/>
  <c r="AE915" i="4"/>
  <c r="AE914" i="4"/>
  <c r="AE913" i="4"/>
  <c r="AE912" i="4"/>
  <c r="AE911" i="4"/>
  <c r="AE910" i="4"/>
  <c r="AE909" i="4"/>
  <c r="AE908" i="4"/>
  <c r="AE907" i="4"/>
  <c r="AE906" i="4"/>
  <c r="AE905" i="4"/>
  <c r="AE904" i="4"/>
  <c r="AE903" i="4"/>
  <c r="AE902" i="4"/>
  <c r="AE901" i="4"/>
  <c r="AE900" i="4"/>
  <c r="AE899" i="4"/>
  <c r="AE898" i="4"/>
  <c r="AE897" i="4"/>
  <c r="AE896" i="4"/>
  <c r="AE895" i="4"/>
  <c r="AE894" i="4"/>
  <c r="AE893" i="4"/>
  <c r="AE892" i="4"/>
  <c r="AE891" i="4"/>
  <c r="AE890" i="4"/>
  <c r="AE889" i="4"/>
  <c r="AE888" i="4"/>
  <c r="AE887" i="4"/>
  <c r="AE886" i="4"/>
  <c r="AE885" i="4"/>
  <c r="AE884" i="4"/>
  <c r="AE883" i="4"/>
  <c r="AE882" i="4"/>
  <c r="AE881" i="4"/>
  <c r="AE880" i="4"/>
  <c r="AE879" i="4"/>
  <c r="AE878" i="4"/>
  <c r="AE877" i="4"/>
  <c r="AE876" i="4"/>
  <c r="AE875" i="4"/>
  <c r="AE874" i="4"/>
  <c r="AE873" i="4"/>
  <c r="AE872" i="4"/>
  <c r="AE871" i="4"/>
  <c r="AE870" i="4"/>
  <c r="AE869" i="4"/>
  <c r="AE868" i="4"/>
  <c r="AE867" i="4"/>
  <c r="AE866" i="4"/>
  <c r="AE865" i="4"/>
  <c r="AE864" i="4"/>
  <c r="AE863" i="4"/>
  <c r="AE862" i="4"/>
  <c r="AE861" i="4"/>
  <c r="AE860" i="4"/>
  <c r="AE859" i="4"/>
  <c r="AE858" i="4"/>
  <c r="AE857" i="4"/>
  <c r="AE856" i="4"/>
  <c r="AE855" i="4"/>
  <c r="AE854" i="4"/>
  <c r="AE853" i="4"/>
  <c r="AE852" i="4"/>
  <c r="AE851" i="4"/>
  <c r="AE850" i="4"/>
  <c r="AE849" i="4"/>
  <c r="AE848" i="4"/>
  <c r="AE847" i="4"/>
  <c r="AE846" i="4"/>
  <c r="AE845" i="4"/>
  <c r="AE844" i="4"/>
  <c r="AE843" i="4"/>
  <c r="AE842" i="4"/>
  <c r="AE841" i="4"/>
  <c r="AE840" i="4"/>
  <c r="AE839" i="4"/>
  <c r="AE838" i="4"/>
  <c r="AE837" i="4"/>
  <c r="AE836" i="4"/>
  <c r="AE835" i="4"/>
  <c r="AE834" i="4"/>
  <c r="AE833" i="4"/>
  <c r="AE832" i="4"/>
  <c r="AE831" i="4"/>
  <c r="AE830" i="4"/>
  <c r="AE829" i="4"/>
  <c r="AE828" i="4"/>
  <c r="AE827" i="4"/>
  <c r="AE826" i="4"/>
  <c r="AE825" i="4"/>
  <c r="AE824" i="4"/>
  <c r="AE823" i="4"/>
  <c r="AE822" i="4"/>
  <c r="AE821" i="4"/>
  <c r="AE820" i="4"/>
  <c r="AE819" i="4"/>
  <c r="AE818" i="4"/>
  <c r="AE817" i="4"/>
  <c r="AE816" i="4"/>
  <c r="AE815" i="4"/>
  <c r="AE814" i="4"/>
  <c r="AE813" i="4"/>
  <c r="AE812" i="4"/>
  <c r="AE811" i="4"/>
  <c r="AE810" i="4"/>
  <c r="AE809" i="4"/>
  <c r="AE808" i="4"/>
  <c r="AE807" i="4"/>
  <c r="AE806" i="4"/>
  <c r="AE805" i="4"/>
  <c r="AE804" i="4"/>
  <c r="AE803" i="4"/>
  <c r="AE802" i="4"/>
  <c r="AE801" i="4"/>
  <c r="AE800" i="4"/>
  <c r="AE799" i="4"/>
  <c r="AE798" i="4"/>
  <c r="AE797" i="4"/>
  <c r="AE796" i="4"/>
  <c r="AE795" i="4"/>
  <c r="AE794" i="4"/>
  <c r="AE793" i="4"/>
  <c r="AE792" i="4"/>
  <c r="AE791" i="4"/>
  <c r="AE790" i="4"/>
  <c r="AE789" i="4"/>
  <c r="AE788" i="4"/>
  <c r="AE787" i="4"/>
  <c r="AE786" i="4"/>
  <c r="AE785" i="4"/>
  <c r="AE784" i="4"/>
  <c r="AE783" i="4"/>
  <c r="AE782" i="4"/>
  <c r="AE781" i="4"/>
  <c r="AE780" i="4"/>
  <c r="AE779" i="4"/>
  <c r="AE778" i="4"/>
  <c r="AE777" i="4"/>
  <c r="AE776" i="4"/>
  <c r="AE775" i="4"/>
  <c r="AE774" i="4"/>
  <c r="AE773" i="4"/>
  <c r="AE772" i="4"/>
  <c r="AE771" i="4"/>
  <c r="AE770" i="4"/>
  <c r="AE769" i="4"/>
  <c r="AE768" i="4"/>
  <c r="AE767" i="4"/>
  <c r="AE766" i="4"/>
  <c r="AE765" i="4"/>
  <c r="AE764" i="4"/>
  <c r="AE763" i="4"/>
  <c r="AE762" i="4"/>
  <c r="AE761" i="4"/>
  <c r="AE760" i="4"/>
  <c r="AE759" i="4"/>
  <c r="AE758" i="4"/>
  <c r="AE757" i="4"/>
  <c r="AE756" i="4"/>
  <c r="AE755" i="4"/>
  <c r="AE754" i="4"/>
  <c r="AE753" i="4"/>
  <c r="AE752" i="4"/>
  <c r="AE751" i="4"/>
  <c r="AE750" i="4"/>
  <c r="AE749" i="4"/>
  <c r="AE748" i="4"/>
  <c r="AE747" i="4"/>
  <c r="AE746" i="4"/>
  <c r="AE745" i="4"/>
  <c r="AE744" i="4"/>
  <c r="AE743" i="4"/>
  <c r="AE742" i="4"/>
  <c r="AE741" i="4"/>
  <c r="AE740" i="4"/>
  <c r="AE739" i="4"/>
  <c r="AE738" i="4"/>
  <c r="AE737" i="4"/>
  <c r="AE736" i="4"/>
  <c r="AE735" i="4"/>
  <c r="AE734" i="4"/>
  <c r="AE733" i="4"/>
  <c r="AE732" i="4"/>
  <c r="AE731" i="4"/>
  <c r="AE730" i="4"/>
  <c r="AE729" i="4"/>
  <c r="AE728" i="4"/>
  <c r="AE727" i="4"/>
  <c r="AE726" i="4"/>
  <c r="AE725" i="4"/>
  <c r="AE724" i="4"/>
  <c r="AE723" i="4"/>
  <c r="AE722" i="4"/>
  <c r="AE721" i="4"/>
  <c r="AE720" i="4"/>
  <c r="AE719" i="4"/>
  <c r="AE718" i="4"/>
  <c r="AE717" i="4"/>
  <c r="AE716" i="4"/>
  <c r="AE715" i="4"/>
  <c r="AE714" i="4"/>
  <c r="AE713" i="4"/>
  <c r="AE712" i="4"/>
  <c r="AE711" i="4"/>
  <c r="AE710" i="4"/>
  <c r="AE709" i="4"/>
  <c r="AE708" i="4"/>
  <c r="AE707" i="4"/>
  <c r="AE706" i="4"/>
  <c r="AE705" i="4"/>
  <c r="AE704" i="4"/>
  <c r="AE703" i="4"/>
  <c r="AE702" i="4"/>
  <c r="AE701" i="4"/>
  <c r="AE700" i="4"/>
  <c r="AE699" i="4"/>
  <c r="AE698" i="4"/>
  <c r="AE697" i="4"/>
  <c r="AE696" i="4"/>
  <c r="AE695" i="4"/>
  <c r="AE694" i="4"/>
  <c r="AE693" i="4"/>
  <c r="AE692" i="4"/>
  <c r="AE691" i="4"/>
  <c r="AE690" i="4"/>
  <c r="AE689" i="4"/>
  <c r="AE688" i="4"/>
  <c r="AE687" i="4"/>
  <c r="AE686" i="4"/>
  <c r="AE685" i="4"/>
  <c r="AE684" i="4"/>
  <c r="AE683" i="4"/>
  <c r="AE682" i="4"/>
  <c r="AE681" i="4"/>
  <c r="AE680" i="4"/>
  <c r="AE679" i="4"/>
  <c r="AE678" i="4"/>
  <c r="AE677" i="4"/>
  <c r="AE676" i="4"/>
  <c r="AE675" i="4"/>
  <c r="AE674" i="4"/>
  <c r="AE673" i="4"/>
  <c r="AE672" i="4"/>
  <c r="AE671" i="4"/>
  <c r="AE670" i="4"/>
  <c r="AE669" i="4"/>
  <c r="AE668" i="4"/>
  <c r="AE667" i="4"/>
  <c r="AE666" i="4"/>
  <c r="AE665" i="4"/>
  <c r="AE664" i="4"/>
  <c r="AE663" i="4"/>
  <c r="AE662" i="4"/>
  <c r="AE661" i="4"/>
  <c r="AE660" i="4"/>
  <c r="AE659" i="4"/>
  <c r="AE658" i="4"/>
  <c r="AE657" i="4"/>
  <c r="AE656" i="4"/>
  <c r="AE655" i="4"/>
  <c r="AE654" i="4"/>
  <c r="AE653" i="4"/>
  <c r="AE652" i="4"/>
  <c r="AE651" i="4"/>
  <c r="AE650" i="4"/>
  <c r="AE649" i="4"/>
  <c r="AE648" i="4"/>
  <c r="AE647" i="4"/>
  <c r="AE646" i="4"/>
  <c r="AE645" i="4"/>
  <c r="AE644" i="4"/>
  <c r="AE643" i="4"/>
  <c r="AE642" i="4"/>
  <c r="AE641" i="4"/>
  <c r="AE640" i="4"/>
  <c r="AE639" i="4"/>
  <c r="AE638" i="4"/>
  <c r="AE637" i="4"/>
  <c r="AE636" i="4"/>
  <c r="AE635" i="4"/>
  <c r="AE634" i="4"/>
  <c r="AE633" i="4"/>
  <c r="AE632" i="4"/>
  <c r="AE631" i="4"/>
  <c r="AE630" i="4"/>
  <c r="AE629" i="4"/>
  <c r="AE628" i="4"/>
  <c r="AE627" i="4"/>
  <c r="AE626" i="4"/>
  <c r="AE625" i="4"/>
  <c r="AE624" i="4"/>
  <c r="AE623" i="4"/>
  <c r="AE622" i="4"/>
  <c r="AE621" i="4"/>
  <c r="AE620" i="4"/>
  <c r="AE619" i="4"/>
  <c r="AE618" i="4"/>
  <c r="AE617" i="4"/>
  <c r="AE616" i="4"/>
  <c r="AE615" i="4"/>
  <c r="AE614" i="4"/>
  <c r="AE613" i="4"/>
  <c r="AE612" i="4"/>
  <c r="AE611" i="4"/>
  <c r="AE610" i="4"/>
  <c r="AE609" i="4"/>
  <c r="AE608" i="4"/>
  <c r="AE607" i="4"/>
  <c r="AE606" i="4"/>
  <c r="AE605" i="4"/>
  <c r="AE604" i="4"/>
  <c r="AE603" i="4"/>
  <c r="AE602" i="4"/>
  <c r="AE601" i="4"/>
  <c r="AE600" i="4"/>
  <c r="AE599" i="4"/>
  <c r="AE598" i="4"/>
  <c r="AE597" i="4"/>
  <c r="AE596" i="4"/>
  <c r="AE595" i="4"/>
  <c r="AE594" i="4"/>
  <c r="AE593" i="4"/>
  <c r="AE592" i="4"/>
  <c r="AE591" i="4"/>
  <c r="AE590" i="4"/>
  <c r="AE589" i="4"/>
  <c r="AE588" i="4"/>
  <c r="AE587" i="4"/>
  <c r="AE586" i="4"/>
  <c r="AE585" i="4"/>
  <c r="AE584" i="4"/>
  <c r="AE583" i="4"/>
  <c r="AE582" i="4"/>
  <c r="AE581" i="4"/>
  <c r="AE580" i="4"/>
  <c r="AE579" i="4"/>
  <c r="AE578" i="4"/>
  <c r="AE577" i="4"/>
  <c r="AE576" i="4"/>
  <c r="AE575" i="4"/>
  <c r="AE574" i="4"/>
  <c r="AE573" i="4"/>
  <c r="AE572" i="4"/>
  <c r="AE571" i="4"/>
  <c r="AE570" i="4"/>
  <c r="AE569" i="4"/>
  <c r="AE568" i="4"/>
  <c r="AE567" i="4"/>
  <c r="AE566" i="4"/>
  <c r="AE565" i="4"/>
  <c r="AE564" i="4"/>
  <c r="AE563" i="4"/>
  <c r="AE562" i="4"/>
  <c r="AE561" i="4"/>
  <c r="AE560" i="4"/>
  <c r="AE559" i="4"/>
  <c r="AE558" i="4"/>
  <c r="AE557" i="4"/>
  <c r="AE556" i="4"/>
  <c r="AE555" i="4"/>
  <c r="AE554" i="4"/>
  <c r="AE553" i="4"/>
  <c r="AE552" i="4"/>
  <c r="AE551" i="4"/>
  <c r="AE550" i="4"/>
  <c r="AE549" i="4"/>
  <c r="AE548" i="4"/>
  <c r="AE547" i="4"/>
  <c r="AE546" i="4"/>
  <c r="AE545" i="4"/>
  <c r="AE544" i="4"/>
  <c r="AE543" i="4"/>
  <c r="AE542" i="4"/>
  <c r="AE541" i="4"/>
  <c r="AE540" i="4"/>
  <c r="AE539" i="4"/>
  <c r="AE538" i="4"/>
  <c r="AE537" i="4"/>
  <c r="AE536" i="4"/>
  <c r="AE535" i="4"/>
  <c r="AE534" i="4"/>
  <c r="AE533" i="4"/>
  <c r="AE532" i="4"/>
  <c r="AE531" i="4"/>
  <c r="AE530" i="4"/>
  <c r="AE529" i="4"/>
  <c r="AE528" i="4"/>
  <c r="AE527" i="4"/>
  <c r="AE526" i="4"/>
  <c r="AE525" i="4"/>
  <c r="AE524" i="4"/>
  <c r="AE523" i="4"/>
  <c r="AE522" i="4"/>
  <c r="AE521" i="4"/>
  <c r="AE520" i="4"/>
  <c r="AE519" i="4"/>
  <c r="AE518" i="4"/>
  <c r="AE517" i="4"/>
  <c r="AE516" i="4"/>
  <c r="AE515" i="4"/>
  <c r="AE514" i="4"/>
  <c r="AE513" i="4"/>
  <c r="AE512" i="4"/>
  <c r="AE511" i="4"/>
  <c r="AE510" i="4"/>
  <c r="AE509" i="4"/>
  <c r="AE508" i="4"/>
  <c r="AE507" i="4"/>
  <c r="AE506" i="4"/>
  <c r="AE505" i="4"/>
  <c r="AE504" i="4"/>
  <c r="AE503" i="4"/>
  <c r="AE502" i="4"/>
  <c r="AE501" i="4"/>
  <c r="AE500" i="4"/>
  <c r="AE499" i="4"/>
  <c r="AE498" i="4"/>
  <c r="AE497" i="4"/>
  <c r="AE496" i="4"/>
  <c r="AE495" i="4"/>
  <c r="AE494" i="4"/>
  <c r="AE493" i="4"/>
  <c r="AE492" i="4"/>
  <c r="AE491" i="4"/>
  <c r="AE490" i="4"/>
  <c r="AE489" i="4"/>
  <c r="AE488" i="4"/>
  <c r="AE487" i="4"/>
  <c r="AE486" i="4"/>
  <c r="AE485" i="4"/>
  <c r="AE484" i="4"/>
  <c r="AE483" i="4"/>
  <c r="AE482" i="4"/>
  <c r="AE481" i="4"/>
  <c r="AE480" i="4"/>
  <c r="AE479" i="4"/>
  <c r="AE478" i="4"/>
  <c r="AE477" i="4"/>
  <c r="AE476" i="4"/>
  <c r="AE475" i="4"/>
  <c r="AE474" i="4"/>
  <c r="AE473" i="4"/>
  <c r="AE472" i="4"/>
  <c r="AE471" i="4"/>
  <c r="AE470" i="4"/>
  <c r="AE469" i="4"/>
  <c r="AE468" i="4"/>
  <c r="AE467" i="4"/>
  <c r="AE466" i="4"/>
  <c r="AE465" i="4"/>
  <c r="AE464" i="4"/>
  <c r="AE463" i="4"/>
  <c r="AE462" i="4"/>
  <c r="AE461" i="4"/>
  <c r="AE460" i="4"/>
  <c r="AE459" i="4"/>
  <c r="AE458" i="4"/>
  <c r="AE457" i="4"/>
  <c r="AE456" i="4"/>
  <c r="AE455" i="4"/>
  <c r="AE454" i="4"/>
  <c r="AE453" i="4"/>
  <c r="AE452" i="4"/>
  <c r="AE451" i="4"/>
  <c r="AE450" i="4"/>
  <c r="AE449" i="4"/>
  <c r="AE448" i="4"/>
  <c r="AE447" i="4"/>
  <c r="AE446" i="4"/>
  <c r="AE445" i="4"/>
  <c r="AE444" i="4"/>
  <c r="AE443" i="4"/>
  <c r="AE442" i="4"/>
  <c r="AE441" i="4"/>
  <c r="AE440" i="4"/>
  <c r="AE439" i="4"/>
  <c r="AE438" i="4"/>
  <c r="AE437" i="4"/>
  <c r="AE436" i="4"/>
  <c r="AE435" i="4"/>
  <c r="AE434" i="4"/>
  <c r="AE433" i="4"/>
  <c r="AE432" i="4"/>
  <c r="AE431" i="4"/>
  <c r="AE430" i="4"/>
  <c r="AE429" i="4"/>
  <c r="AE428" i="4"/>
  <c r="AE427" i="4"/>
  <c r="AE426" i="4"/>
  <c r="AE425" i="4"/>
  <c r="AE424" i="4"/>
  <c r="AE423" i="4"/>
  <c r="AE422" i="4"/>
  <c r="AE421" i="4"/>
  <c r="AE420" i="4"/>
  <c r="AE419" i="4"/>
  <c r="AE418" i="4"/>
  <c r="AE417" i="4"/>
  <c r="AE416" i="4"/>
  <c r="AE415" i="4"/>
  <c r="AE414" i="4"/>
  <c r="AE413" i="4"/>
  <c r="AE412" i="4"/>
  <c r="AE411" i="4"/>
  <c r="AE410" i="4"/>
  <c r="AE409" i="4"/>
  <c r="AE408" i="4"/>
  <c r="AE407" i="4"/>
  <c r="AE406" i="4"/>
  <c r="AE405" i="4"/>
  <c r="AE404" i="4"/>
  <c r="AE403" i="4"/>
  <c r="AE402" i="4"/>
  <c r="AE401" i="4"/>
  <c r="AE400" i="4"/>
  <c r="AE399" i="4"/>
  <c r="AE398" i="4"/>
  <c r="AE397" i="4"/>
  <c r="AE396" i="4"/>
  <c r="AE395" i="4"/>
  <c r="AE394" i="4"/>
  <c r="AE393" i="4"/>
  <c r="AE392" i="4"/>
  <c r="AE391" i="4"/>
  <c r="AE390" i="4"/>
  <c r="AE389" i="4"/>
  <c r="AE388" i="4"/>
  <c r="AE387" i="4"/>
  <c r="AE386" i="4"/>
  <c r="AE385" i="4"/>
  <c r="AE384" i="4"/>
  <c r="AE383" i="4"/>
  <c r="AE382" i="4"/>
  <c r="AE381" i="4"/>
  <c r="AE380" i="4"/>
  <c r="AE379" i="4"/>
  <c r="AE378" i="4"/>
  <c r="AE377" i="4"/>
  <c r="AE376" i="4"/>
  <c r="AE375" i="4"/>
  <c r="AE374" i="4"/>
  <c r="AE373" i="4"/>
  <c r="AE372" i="4"/>
  <c r="AE371" i="4"/>
  <c r="AE370" i="4"/>
  <c r="AE369" i="4"/>
  <c r="AE368" i="4"/>
  <c r="AE367" i="4"/>
  <c r="AE366" i="4"/>
  <c r="AE365" i="4"/>
  <c r="AE364" i="4"/>
  <c r="AE363" i="4"/>
  <c r="AE362" i="4"/>
  <c r="AE361" i="4"/>
  <c r="AE360" i="4"/>
  <c r="AE359" i="4"/>
  <c r="AE358" i="4"/>
  <c r="AE357" i="4"/>
  <c r="AE356" i="4"/>
  <c r="AE355" i="4"/>
  <c r="AE354" i="4"/>
  <c r="AE353" i="4"/>
  <c r="AE352" i="4"/>
  <c r="AE351" i="4"/>
  <c r="AE350" i="4"/>
  <c r="AE349" i="4"/>
  <c r="AE348" i="4"/>
  <c r="AE347" i="4"/>
  <c r="AE346" i="4"/>
  <c r="AE345" i="4"/>
  <c r="AE344" i="4"/>
  <c r="AE343" i="4"/>
  <c r="AE342" i="4"/>
  <c r="AE341" i="4"/>
  <c r="AE340" i="4"/>
  <c r="AE339" i="4"/>
  <c r="AE338" i="4"/>
  <c r="AE337" i="4"/>
  <c r="AE336" i="4"/>
  <c r="AE335" i="4"/>
  <c r="AE334" i="4"/>
  <c r="AE333" i="4"/>
  <c r="AE332" i="4"/>
  <c r="AE331" i="4"/>
  <c r="AE330" i="4"/>
  <c r="AE329" i="4"/>
  <c r="AE328" i="4"/>
  <c r="AE327" i="4"/>
  <c r="AE326" i="4"/>
  <c r="AE325" i="4"/>
  <c r="AE324" i="4"/>
  <c r="AE323" i="4"/>
  <c r="AE322" i="4"/>
  <c r="AE321" i="4"/>
  <c r="AE320" i="4"/>
  <c r="AE319" i="4"/>
  <c r="AE318" i="4"/>
  <c r="AE317" i="4"/>
  <c r="AE316" i="4"/>
  <c r="AE315" i="4"/>
  <c r="AE314" i="4"/>
  <c r="AE313" i="4"/>
  <c r="AE312" i="4"/>
  <c r="AE311" i="4"/>
  <c r="AE310" i="4"/>
  <c r="AE309" i="4"/>
  <c r="AE308" i="4"/>
  <c r="AE307" i="4"/>
  <c r="AE306" i="4"/>
  <c r="AE305" i="4"/>
  <c r="AE304" i="4"/>
  <c r="AE303" i="4"/>
  <c r="AE302" i="4"/>
  <c r="AE301" i="4"/>
  <c r="AE300" i="4"/>
  <c r="AE299" i="4"/>
  <c r="AE298" i="4"/>
  <c r="AE297" i="4"/>
  <c r="AE296" i="4"/>
  <c r="AE295" i="4"/>
  <c r="AE294" i="4"/>
  <c r="AE293" i="4"/>
  <c r="AE292" i="4"/>
  <c r="AE291" i="4"/>
  <c r="AE290" i="4"/>
  <c r="AE289" i="4"/>
  <c r="AE288" i="4"/>
  <c r="AE287" i="4"/>
  <c r="AE286" i="4"/>
  <c r="AE285" i="4"/>
  <c r="AE284" i="4"/>
  <c r="AE283" i="4"/>
  <c r="AE282" i="4"/>
  <c r="AE281" i="4"/>
  <c r="AE280" i="4"/>
  <c r="AE279" i="4"/>
  <c r="AE278" i="4"/>
  <c r="AE277" i="4"/>
  <c r="AE276" i="4"/>
  <c r="AE275" i="4"/>
  <c r="AE274" i="4"/>
  <c r="AE273" i="4"/>
  <c r="AE272" i="4"/>
  <c r="AE271" i="4"/>
  <c r="AE270" i="4"/>
  <c r="AE269" i="4"/>
  <c r="AE268" i="4"/>
  <c r="AE267" i="4"/>
  <c r="AE266" i="4"/>
  <c r="AE265" i="4"/>
  <c r="AE264" i="4"/>
  <c r="AE263" i="4"/>
  <c r="AE262" i="4"/>
  <c r="AE261" i="4"/>
  <c r="AE260" i="4"/>
  <c r="AE259" i="4"/>
  <c r="AE258" i="4"/>
  <c r="AE257" i="4"/>
  <c r="AE256" i="4"/>
  <c r="AE255" i="4"/>
  <c r="AE254" i="4"/>
  <c r="AE253" i="4"/>
  <c r="AE252" i="4"/>
  <c r="AE251" i="4"/>
  <c r="AE250" i="4"/>
  <c r="AE249" i="4"/>
  <c r="AE248" i="4"/>
  <c r="AE247" i="4"/>
  <c r="AE246" i="4"/>
  <c r="AE245" i="4"/>
  <c r="AE244" i="4"/>
  <c r="AE243" i="4"/>
  <c r="AE242" i="4"/>
  <c r="AE241" i="4"/>
  <c r="AE240" i="4"/>
  <c r="AE239" i="4"/>
  <c r="AE238" i="4"/>
  <c r="AE237" i="4"/>
  <c r="AE236" i="4"/>
  <c r="AE235" i="4"/>
  <c r="AE234" i="4"/>
  <c r="AE233" i="4"/>
  <c r="AE232" i="4"/>
  <c r="AE231" i="4"/>
  <c r="AE230" i="4"/>
  <c r="AE229" i="4"/>
  <c r="AE228" i="4"/>
  <c r="AE227" i="4"/>
  <c r="AE226" i="4"/>
  <c r="AE225" i="4"/>
  <c r="AE224" i="4"/>
  <c r="AE223" i="4"/>
  <c r="AE222" i="4"/>
  <c r="AE221" i="4"/>
  <c r="AE220" i="4"/>
  <c r="AE219" i="4"/>
  <c r="AE218" i="4"/>
  <c r="AE217" i="4"/>
  <c r="AE216" i="4"/>
  <c r="AE215" i="4"/>
  <c r="AE214" i="4"/>
  <c r="AE213" i="4"/>
  <c r="AE212" i="4"/>
  <c r="AE211" i="4"/>
  <c r="AE210" i="4"/>
  <c r="AE209" i="4"/>
  <c r="AE208" i="4"/>
  <c r="AE207" i="4"/>
  <c r="AE206" i="4"/>
  <c r="AE205" i="4"/>
  <c r="AE204" i="4"/>
  <c r="AE203" i="4"/>
  <c r="AE202" i="4"/>
  <c r="AE201" i="4"/>
  <c r="AE200" i="4"/>
  <c r="AE199" i="4"/>
  <c r="AE198" i="4"/>
  <c r="AE197" i="4"/>
  <c r="AE196" i="4"/>
  <c r="AE195" i="4"/>
  <c r="AE194" i="4"/>
  <c r="AE193" i="4"/>
  <c r="AE192" i="4"/>
  <c r="AE191" i="4"/>
  <c r="AE190" i="4"/>
  <c r="AE189" i="4"/>
  <c r="AE188" i="4"/>
  <c r="AE187" i="4"/>
  <c r="AE186" i="4"/>
  <c r="AE185" i="4"/>
  <c r="AE184" i="4"/>
  <c r="AE183" i="4"/>
  <c r="AE182" i="4"/>
  <c r="AE181" i="4"/>
  <c r="AE180" i="4"/>
  <c r="AE179" i="4"/>
  <c r="AE178" i="4"/>
  <c r="AE177" i="4"/>
  <c r="AE176" i="4"/>
  <c r="AE175" i="4"/>
  <c r="AE174" i="4"/>
  <c r="AE173" i="4"/>
  <c r="AE172" i="4"/>
  <c r="AE171" i="4"/>
  <c r="AE170" i="4"/>
  <c r="AE169" i="4"/>
  <c r="AE168" i="4"/>
  <c r="AE167" i="4"/>
  <c r="AE166" i="4"/>
  <c r="AE165" i="4"/>
  <c r="AE164" i="4"/>
  <c r="AE163" i="4"/>
  <c r="AE162" i="4"/>
  <c r="AE161" i="4"/>
  <c r="AE160" i="4"/>
  <c r="AE159" i="4"/>
  <c r="AE158" i="4"/>
  <c r="AE157" i="4"/>
  <c r="AE156" i="4"/>
  <c r="AE155" i="4"/>
  <c r="AE154" i="4"/>
  <c r="AE153" i="4"/>
  <c r="AE152" i="4"/>
  <c r="AE151" i="4"/>
  <c r="AE150" i="4"/>
  <c r="AE149" i="4"/>
  <c r="AE148" i="4"/>
  <c r="AE147" i="4"/>
  <c r="AE146" i="4"/>
  <c r="AE145" i="4"/>
  <c r="AE144" i="4"/>
  <c r="AE143" i="4"/>
  <c r="AE142" i="4"/>
  <c r="AE141" i="4"/>
  <c r="AE140" i="4"/>
  <c r="AE139" i="4"/>
  <c r="AE138" i="4"/>
  <c r="AE137" i="4"/>
  <c r="AE136" i="4"/>
  <c r="AE135" i="4"/>
  <c r="AE134" i="4"/>
  <c r="AE133" i="4"/>
  <c r="AE132" i="4"/>
  <c r="AE131" i="4"/>
  <c r="AE130" i="4"/>
  <c r="AE129" i="4"/>
  <c r="AE128" i="4"/>
  <c r="AE127" i="4"/>
  <c r="AE126" i="4"/>
  <c r="AE125" i="4"/>
  <c r="AE124" i="4"/>
  <c r="AE123" i="4"/>
  <c r="AE122" i="4"/>
  <c r="AE121" i="4"/>
  <c r="AE120" i="4"/>
  <c r="AE119" i="4"/>
  <c r="AE118" i="4"/>
  <c r="AE117" i="4"/>
  <c r="AE116" i="4"/>
  <c r="AE115" i="4"/>
  <c r="AE114" i="4"/>
  <c r="AE113" i="4"/>
  <c r="AE112" i="4"/>
  <c r="AE111" i="4"/>
  <c r="AE110" i="4"/>
  <c r="AE109" i="4"/>
  <c r="AE108" i="4"/>
  <c r="AE107" i="4"/>
  <c r="AE106" i="4"/>
  <c r="AE105" i="4"/>
  <c r="AE104" i="4"/>
  <c r="AE103" i="4"/>
  <c r="AE102" i="4"/>
  <c r="AE101" i="4"/>
  <c r="AE100" i="4"/>
  <c r="AE99" i="4"/>
  <c r="AE98" i="4"/>
  <c r="AE97" i="4"/>
  <c r="AE96" i="4"/>
  <c r="AE95" i="4"/>
  <c r="AE94" i="4"/>
  <c r="AE93" i="4"/>
  <c r="AE92" i="4"/>
  <c r="AE91" i="4"/>
  <c r="AE90" i="4"/>
  <c r="AE89" i="4"/>
  <c r="AE88" i="4"/>
  <c r="AE87" i="4"/>
  <c r="AE86" i="4"/>
  <c r="AE85" i="4"/>
  <c r="AE84" i="4"/>
  <c r="AE83" i="4"/>
  <c r="AE82" i="4"/>
  <c r="AE81" i="4"/>
  <c r="AE80" i="4"/>
  <c r="AE79" i="4"/>
  <c r="AE78" i="4"/>
  <c r="AE77" i="4"/>
  <c r="AE76" i="4"/>
  <c r="AE75" i="4"/>
  <c r="AE74" i="4"/>
  <c r="AE73" i="4"/>
  <c r="AE72" i="4"/>
  <c r="AE71" i="4"/>
  <c r="AE70" i="4"/>
  <c r="AE69" i="4"/>
  <c r="AE68" i="4"/>
  <c r="AE67" i="4"/>
  <c r="AE66" i="4"/>
  <c r="AE65" i="4"/>
  <c r="AE64" i="4"/>
  <c r="AE63" i="4"/>
  <c r="AE62" i="4"/>
  <c r="AE61" i="4"/>
  <c r="AE60" i="4"/>
  <c r="AE59" i="4"/>
  <c r="AE58" i="4"/>
  <c r="AE57" i="4"/>
  <c r="AE56" i="4"/>
  <c r="AE55" i="4"/>
  <c r="AE54" i="4"/>
  <c r="AE53" i="4"/>
  <c r="AE52" i="4"/>
  <c r="AE51" i="4"/>
  <c r="AE50" i="4"/>
  <c r="AE49" i="4"/>
  <c r="AE48" i="4"/>
  <c r="AE47" i="4"/>
  <c r="AE46" i="4"/>
  <c r="AE45" i="4"/>
  <c r="AE44" i="4"/>
  <c r="AE43" i="4"/>
  <c r="AE42" i="4"/>
  <c r="AE41" i="4"/>
  <c r="AE40" i="4"/>
  <c r="AE39" i="4"/>
  <c r="AE38" i="4"/>
  <c r="AE37" i="4"/>
  <c r="AE36" i="4"/>
  <c r="AE35" i="4"/>
  <c r="AE34" i="4"/>
  <c r="AE33" i="4"/>
  <c r="AE32" i="4"/>
  <c r="AE31" i="4"/>
  <c r="AE30" i="4"/>
  <c r="AE29" i="4"/>
  <c r="AE28" i="4"/>
  <c r="AE27" i="4"/>
  <c r="AE26" i="4"/>
  <c r="AE25" i="4"/>
  <c r="AE24" i="4"/>
  <c r="AE23" i="4"/>
  <c r="AE22" i="4"/>
  <c r="AE21" i="4"/>
  <c r="AE20" i="4"/>
  <c r="AE19" i="4"/>
  <c r="AE18" i="4"/>
  <c r="AE17" i="4"/>
  <c r="AE16" i="4"/>
  <c r="AE15" i="4"/>
  <c r="AE14" i="4"/>
  <c r="AE13" i="4"/>
  <c r="AE12" i="4"/>
  <c r="AE11" i="4"/>
  <c r="AE10" i="4"/>
  <c r="AE9" i="4"/>
  <c r="AE8" i="4"/>
  <c r="AE7" i="4"/>
  <c r="AE6" i="4"/>
  <c r="AE5" i="4"/>
  <c r="AE4" i="4"/>
  <c r="AE3" i="4"/>
  <c r="AE2" i="4"/>
  <c r="AB8" i="4"/>
  <c r="AB7" i="4"/>
  <c r="AB6" i="4"/>
  <c r="AB5" i="4"/>
  <c r="AB4" i="4"/>
  <c r="AB3" i="4"/>
  <c r="AB2" i="4"/>
</calcChain>
</file>

<file path=xl/sharedStrings.xml><?xml version="1.0" encoding="utf-8"?>
<sst xmlns="http://schemas.openxmlformats.org/spreadsheetml/2006/main" count="6091" uniqueCount="171">
  <si>
    <t>brand</t>
  </si>
  <si>
    <t>model</t>
  </si>
  <si>
    <t>cc</t>
  </si>
  <si>
    <t>segment</t>
  </si>
  <si>
    <t>year</t>
  </si>
  <si>
    <t>speedometer_type</t>
  </si>
  <si>
    <t>top_speed_kmh</t>
  </si>
  <si>
    <t>mileage_kmpl</t>
  </si>
  <si>
    <t>fuel_tank_liters</t>
  </si>
  <si>
    <t>factory_price_inr</t>
  </si>
  <si>
    <t>gst_rate_pct</t>
  </si>
  <si>
    <t>gst_amount_inr</t>
  </si>
  <si>
    <t>ex_showroom_inr</t>
  </si>
  <si>
    <t>on_road_price_inr</t>
  </si>
  <si>
    <t>overall_score</t>
  </si>
  <si>
    <t>price_increase_scenario_pct</t>
  </si>
  <si>
    <t>buyer_behaviour</t>
  </si>
  <si>
    <t>price_sensitivity</t>
  </si>
  <si>
    <t>Honda</t>
  </si>
  <si>
    <t>Hornet 2.0</t>
  </si>
  <si>
    <t>mid</t>
  </si>
  <si>
    <t>Digital</t>
  </si>
  <si>
    <t>Will likely switch brand</t>
  </si>
  <si>
    <t>High</t>
  </si>
  <si>
    <t>Bajaj</t>
  </si>
  <si>
    <t>Pulsar N250</t>
  </si>
  <si>
    <t>Might reconsider</t>
  </si>
  <si>
    <t>Medium</t>
  </si>
  <si>
    <t>Hero</t>
  </si>
  <si>
    <t>Splendor Plus</t>
  </si>
  <si>
    <t>budget</t>
  </si>
  <si>
    <t>Analog</t>
  </si>
  <si>
    <t>Royal Enfield</t>
  </si>
  <si>
    <t>Thunderbird 350X</t>
  </si>
  <si>
    <t>premium</t>
  </si>
  <si>
    <t>Semi-Digital</t>
  </si>
  <si>
    <t>Scram 411</t>
  </si>
  <si>
    <t>Will definitely switch</t>
  </si>
  <si>
    <t>Very High</t>
  </si>
  <si>
    <t>TVS</t>
  </si>
  <si>
    <t>Star City Plus</t>
  </si>
  <si>
    <t>Super Splendor</t>
  </si>
  <si>
    <t>Yamaha</t>
  </si>
  <si>
    <t>FZ-S V3</t>
  </si>
  <si>
    <t>CB350 H'ness</t>
  </si>
  <si>
    <t>FZ-X</t>
  </si>
  <si>
    <t>Hunter 350</t>
  </si>
  <si>
    <t>Apache RR 310</t>
  </si>
  <si>
    <t>Passion Pro</t>
  </si>
  <si>
    <t>Xpulse 200 4V</t>
  </si>
  <si>
    <t>KTM</t>
  </si>
  <si>
    <t>Duke 250</t>
  </si>
  <si>
    <t>Duke 200</t>
  </si>
  <si>
    <t>Mavrick 440</t>
  </si>
  <si>
    <t>R15 V4</t>
  </si>
  <si>
    <t>Suzuki</t>
  </si>
  <si>
    <t>V-Strom SX</t>
  </si>
  <si>
    <t>Likely to buy</t>
  </si>
  <si>
    <t>Low</t>
  </si>
  <si>
    <t>MT-15 V2</t>
  </si>
  <si>
    <t>Jupiter 110</t>
  </si>
  <si>
    <t>SP 125</t>
  </si>
  <si>
    <t>CB350RS</t>
  </si>
  <si>
    <t>Glamour</t>
  </si>
  <si>
    <t>Apache RTR 160</t>
  </si>
  <si>
    <t>Pulsar 150</t>
  </si>
  <si>
    <t>Meteor 350</t>
  </si>
  <si>
    <t>Pulsar NS200</t>
  </si>
  <si>
    <t>CD 110 Dream</t>
  </si>
  <si>
    <t>Xtreme 125R</t>
  </si>
  <si>
    <t>FZS 25</t>
  </si>
  <si>
    <t>Apache RTR 160 4V</t>
  </si>
  <si>
    <t>Duke 390</t>
  </si>
  <si>
    <t>Continental GT 650</t>
  </si>
  <si>
    <t>Pulsar RS200</t>
  </si>
  <si>
    <t>Gixxer SF</t>
  </si>
  <si>
    <t>Gixxer 250</t>
  </si>
  <si>
    <t>Pulsar N160</t>
  </si>
  <si>
    <t>CB200X</t>
  </si>
  <si>
    <t>CB300R</t>
  </si>
  <si>
    <t>Radeon</t>
  </si>
  <si>
    <t>RC 200</t>
  </si>
  <si>
    <t>Sport</t>
  </si>
  <si>
    <t>Raider 125</t>
  </si>
  <si>
    <t>Pulsar 125</t>
  </si>
  <si>
    <t>Bullet 350</t>
  </si>
  <si>
    <t>R15M</t>
  </si>
  <si>
    <t>MT-03</t>
  </si>
  <si>
    <t>Classic 350</t>
  </si>
  <si>
    <t>Gixxer</t>
  </si>
  <si>
    <t>Interceptor 650</t>
  </si>
  <si>
    <t>HF Deluxe</t>
  </si>
  <si>
    <t>Himalayan 450</t>
  </si>
  <si>
    <t>Ronin</t>
  </si>
  <si>
    <t>Duke 125</t>
  </si>
  <si>
    <t>Unicorn</t>
  </si>
  <si>
    <t>Access 125</t>
  </si>
  <si>
    <t>Guerrilla 450</t>
  </si>
  <si>
    <t>Xtreme 160R</t>
  </si>
  <si>
    <t>Xpulse 200</t>
  </si>
  <si>
    <t>Platina 110 H-Gear</t>
  </si>
  <si>
    <t>Platina 100</t>
  </si>
  <si>
    <t>Saluto RX</t>
  </si>
  <si>
    <t>Shine</t>
  </si>
  <si>
    <t>Adventure 390</t>
  </si>
  <si>
    <t>CB500X</t>
  </si>
  <si>
    <t>Dominar 400</t>
  </si>
  <si>
    <t>CT100</t>
  </si>
  <si>
    <t>Gixxer SF 250</t>
  </si>
  <si>
    <t>RC 390</t>
  </si>
  <si>
    <t>R3</t>
  </si>
  <si>
    <t>Will still buy</t>
  </si>
  <si>
    <t>Apache RTR 200 4V</t>
  </si>
  <si>
    <t xml:space="preserve">   ENTERPRISE EXECUTIVE ANALYTICS SUITE  |  AUTONOMOUS DATA PROFILER  |  REAL-TIME SLICER ENGINE</t>
  </si>
  <si>
    <t xml:space="preserve">   EXECUTIVE PERFORMANCE &amp; MULTI-VARIABLE PREDICTIVE DASHBOARD</t>
  </si>
  <si>
    <t>Sum_Primary</t>
  </si>
  <si>
    <t>Avg_Primary</t>
  </si>
  <si>
    <t>StdDev_Primary</t>
  </si>
  <si>
    <t>Count_Recs</t>
  </si>
  <si>
    <t>Sum_Secondary</t>
  </si>
  <si>
    <t>Max_Primary</t>
  </si>
  <si>
    <t>Min_Primary</t>
  </si>
  <si>
    <t>Row Labels</t>
  </si>
  <si>
    <t>Grand Total</t>
  </si>
  <si>
    <t>Trend_gst_amou</t>
  </si>
  <si>
    <t>Ranked_gst_amou</t>
  </si>
  <si>
    <t>Share_gst_amou</t>
  </si>
  <si>
    <t>Primary_gst_amou</t>
  </si>
  <si>
    <t>Secondary_factory_</t>
  </si>
  <si>
    <t>Statistic</t>
  </si>
  <si>
    <t>Result</t>
  </si>
  <si>
    <t>Total_Rows</t>
  </si>
  <si>
    <t>Sum_Num1</t>
  </si>
  <si>
    <t>Avg_Num1</t>
  </si>
  <si>
    <t>Std_Num1</t>
  </si>
  <si>
    <t>Med_Num1</t>
  </si>
  <si>
    <t>Q1_Num1</t>
  </si>
  <si>
    <t>Q3_Num1</t>
  </si>
  <si>
    <t>X_Idx</t>
  </si>
  <si>
    <t>Y_Val</t>
  </si>
  <si>
    <t>Slope_m</t>
  </si>
  <si>
    <t>Intercept_b</t>
  </si>
  <si>
    <t>RSQ_Score</t>
  </si>
  <si>
    <t>Steyx_Se</t>
  </si>
  <si>
    <t>Forecast_Next</t>
  </si>
  <si>
    <t xml:space="preserve"> FILTERED VOLUME</t>
  </si>
  <si>
    <t xml:space="preserve"> 100% Ingested Samples</t>
  </si>
  <si>
    <t xml:space="preserve"> TOTAL GST_AMOUNT_I</t>
  </si>
  <si>
    <t xml:space="preserve"> Real-Time Net Aggregate</t>
  </si>
  <si>
    <t xml:space="preserve"> AVERAGE GST_AMOUNT_I</t>
  </si>
  <si>
    <t xml:space="preserve"> Mean Velocity</t>
  </si>
  <si>
    <t xml:space="preserve"> TOTAL FACTORY_PRIC</t>
  </si>
  <si>
    <t xml:space="preserve"> Secondary Net Pool</t>
  </si>
  <si>
    <t xml:space="preserve"> DISPERSION (STD DEV)</t>
  </si>
  <si>
    <t xml:space="preserve"> Gaussian Sigma Width</t>
  </si>
  <si>
    <t xml:space="preserve"> PEAK OBSERVATION</t>
  </si>
  <si>
    <t xml:space="preserve"> Maximum Recorded Value</t>
  </si>
  <si>
    <t xml:space="preserve"> BASELINE FLOOR</t>
  </si>
  <si>
    <t xml:space="preserve"> Minimum Recorded Value</t>
  </si>
  <si>
    <t xml:space="preserve"> OPERATING MARGIN</t>
  </si>
  <si>
    <t xml:space="preserve"> Efficiency Ratio</t>
  </si>
  <si>
    <t xml:space="preserve">  STATISTICAL MODELING FINDINGS &amp; STRATEGIC DIRECTIVES:_x000D_
  * Model Fit: Stochastic / Multi-Factor Variance (R^2 = 0.003) with [+] Upward Velocity._x000D_
  * OLS Slope: m = +4.3928 per period; Next 1-Step Projected Baseline = 41,492.02._x000D_
  * Anomaly Diagnostic: 48 observations (4.8%) exceed Tukey's 1.5xIQR envelope [-13,671.5 to 83,452.5]._x000D_
  * Pareto Concentration: Top 25% transactions contribute 44.5% of aggregate GST_AMOUNT_I._x000D_
_x000D_
  ACTIONABLE STRATEGIC RECOMMENDATIONS:_x000D_
  &gt;&gt; Allocate operational resources aligned to projected baseline target (41,492)._x000D_
  &gt;&gt; Use interactive Slicers on the right to isolate and remediate localized segment anomalies.</t>
  </si>
  <si>
    <t xml:space="preserve">   PREDICTIVE MODELING &amp; OLS REGRESSION SPECIFICATION</t>
  </si>
  <si>
    <t xml:space="preserve">  Target Variable (Y)</t>
  </si>
  <si>
    <t xml:space="preserve">  gst_amount_inr</t>
  </si>
  <si>
    <t xml:space="preserve">  Algorithm Architecture</t>
  </si>
  <si>
    <t xml:space="preserve">  Ordinary Least Squares (OLS) Linear</t>
  </si>
  <si>
    <t xml:space="preserve">  Slope Coefficient (m)</t>
  </si>
  <si>
    <t xml:space="preserve">  Y-Intercept (b)</t>
  </si>
  <si>
    <t xml:space="preserve">  Goodness-of-Fit (R^2)</t>
  </si>
  <si>
    <t xml:space="preserve">  Standard Error (S_e)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</si>
</sst>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
    <numFmt numFmtId="165" formatCode="&quot;₹&quot;#,##0.00"/>
    <numFmt numFmtId="166" formatCode="&quot;₹&quot;#,##0.0"/>
    <numFmt numFmtId="167" formatCode="0.0%"/>
  </numFmts>
  <fonts count="11" x14ac:knownFonts="1">
    <font>
      <sz val="11"/>
      <color theme="1"/>
      <name val="Aptos Narrow"/>
      <family val="2"/>
      <scheme val="minor"/>
    </font>
    <font>
      <b/>
      <sz val="8"/>
      <color rgb="FFDCE0E2"/>
      <name val="Segoe UI"/>
      <family val="2"/>
    </font>
    <font>
      <b/>
      <sz val="19"/>
      <color rgb="FF1A1A1A"/>
      <name val="Georgia"/>
      <family val="1"/>
    </font>
    <font>
      <b/>
      <sz val="7.5"/>
      <color rgb="FF5F6469"/>
      <name val="Segoe UI"/>
      <family val="2"/>
    </font>
    <font>
      <b/>
      <sz val="13"/>
      <color rgb="FF1A1A1A"/>
      <name val="Georgia"/>
      <family val="1"/>
    </font>
    <font>
      <b/>
      <sz val="7.5"/>
      <color rgb="FF1A1A1A"/>
      <name val="Segoe UI"/>
      <family val="2"/>
    </font>
    <font>
      <b/>
      <sz val="7.5"/>
      <color rgb="FFC2410C"/>
      <name val="Segoe UI"/>
      <family val="2"/>
    </font>
    <font>
      <sz val="9"/>
      <color rgb="FF1A1A1A"/>
      <name val="Georgia"/>
      <family val="1"/>
    </font>
    <font>
      <b/>
      <sz val="8.5"/>
      <color rgb="FFFFFFFF"/>
      <name val="Segoe UI"/>
      <family val="2"/>
    </font>
    <font>
      <b/>
      <sz val="8"/>
      <color rgb="FF1A1A1A"/>
      <name val="Segoe UI"/>
      <family val="2"/>
    </font>
    <font>
      <sz val="8"/>
      <color rgb="FF1A1A1A"/>
      <name val="Segoe UI"/>
      <family val="2"/>
    </font>
  </fonts>
  <fills count="5">
    <fill>
      <patternFill patternType="none"/>
    </fill>
    <fill>
      <patternFill patternType="gray125"/>
    </fill>
    <fill>
      <patternFill patternType="solid">
        <fgColor rgb="FFF4F1EA"/>
        <bgColor indexed="64"/>
      </patternFill>
    </fill>
    <fill>
      <patternFill patternType="solid">
        <fgColor rgb="FF1A1A1A"/>
        <bgColor indexed="64"/>
      </patternFill>
    </fill>
    <fill>
      <patternFill patternType="solid">
        <fgColor rgb="FFFFFFFF"/>
        <bgColor indexed="64"/>
      </patternFill>
    </fill>
  </fills>
  <borders count="9">
    <border>
      <left/>
      <right/>
      <top/>
      <bottom/>
      <diagonal/>
    </border>
    <border>
      <left/>
      <right/>
      <top/>
      <bottom style="double">
        <color rgb="FF1A1A1A"/>
      </bottom>
      <diagonal/>
    </border>
    <border>
      <left style="thin">
        <color rgb="FFD8D3CB"/>
      </left>
      <right style="thin">
        <color rgb="FFD8D3CB"/>
      </right>
      <top style="thin">
        <color rgb="FFD8D3CB"/>
      </top>
      <bottom style="thin">
        <color rgb="FFD8D3CB"/>
      </bottom>
      <diagonal/>
    </border>
    <border>
      <left style="thick">
        <color rgb="FF1A1A1A"/>
      </left>
      <right/>
      <top style="thin">
        <color rgb="FFD8D3CB"/>
      </top>
      <bottom style="thin">
        <color rgb="FFD8D3CB"/>
      </bottom>
      <diagonal/>
    </border>
    <border>
      <left/>
      <right style="thin">
        <color rgb="FFD8D3CB"/>
      </right>
      <top style="thin">
        <color rgb="FFD8D3CB"/>
      </top>
      <bottom style="thin">
        <color rgb="FFD8D3CB"/>
      </bottom>
      <diagonal/>
    </border>
    <border>
      <left/>
      <right/>
      <top style="thin">
        <color rgb="FFD8D3CB"/>
      </top>
      <bottom style="thin">
        <color rgb="FFD8D3CB"/>
      </bottom>
      <diagonal/>
    </border>
    <border>
      <left style="thick">
        <color rgb="FFC2410C"/>
      </left>
      <right style="thin">
        <color rgb="FFD8D3CB"/>
      </right>
      <top style="thin">
        <color rgb="FFD8D3CB"/>
      </top>
      <bottom style="thin">
        <color rgb="FFD8D3CB"/>
      </bottom>
      <diagonal/>
    </border>
    <border>
      <left style="thick">
        <color rgb="FFC2410C"/>
      </left>
      <right/>
      <top style="thin">
        <color rgb="FFD8D3CB"/>
      </top>
      <bottom style="thin">
        <color rgb="FFD8D3CB"/>
      </bottom>
      <diagonal/>
    </border>
    <border>
      <left style="thin">
        <color rgb="FFD8D3CB"/>
      </left>
      <right/>
      <top/>
      <bottom/>
      <diagonal/>
    </border>
  </borders>
  <cellStyleXfs count="1">
    <xf numFmtId="0" fontId="0" fillId="0" borderId="0"/>
  </cellStyleXfs>
  <cellXfs count="35">
    <xf numFmtId="0" fontId="0" fillId="0" borderId="0" xfId="0"/>
    <xf numFmtId="0" fontId="0" fillId="2" borderId="0" xfId="0" applyFill="1"/>
    <xf numFmtId="0" fontId="1" fillId="3" borderId="0" xfId="0" applyFont="1" applyFill="1" applyAlignment="1">
      <alignment horizontal="left" vertical="center"/>
    </xf>
    <xf numFmtId="0" fontId="2" fillId="2" borderId="0" xfId="0" applyFont="1" applyFill="1" applyBorder="1" applyAlignment="1">
      <alignment horizontal="left" vertical="center"/>
    </xf>
    <xf numFmtId="0" fontId="2" fillId="2" borderId="1" xfId="0" applyFont="1" applyFill="1" applyBorder="1" applyAlignment="1">
      <alignment horizontal="left" vertical="center"/>
    </xf>
    <xf numFmtId="0" fontId="0" fillId="0" borderId="0" xfId="0" applyNumberFormat="1"/>
    <xf numFmtId="0" fontId="0" fillId="0" borderId="0" xfId="0" pivotButton="1"/>
    <xf numFmtId="0" fontId="0" fillId="0" borderId="0" xfId="0" applyAlignment="1">
      <alignment horizontal="left"/>
    </xf>
    <xf numFmtId="0" fontId="3" fillId="4" borderId="3" xfId="0" applyFont="1" applyFill="1" applyBorder="1" applyAlignment="1">
      <alignment vertical="center"/>
    </xf>
    <xf numFmtId="0" fontId="3" fillId="4" borderId="4" xfId="0" applyFont="1" applyFill="1" applyBorder="1" applyAlignment="1">
      <alignment vertical="center"/>
    </xf>
    <xf numFmtId="3" fontId="4" fillId="4" borderId="3" xfId="0" applyNumberFormat="1" applyFont="1" applyFill="1" applyBorder="1" applyAlignment="1">
      <alignment vertical="center"/>
    </xf>
    <xf numFmtId="0" fontId="5" fillId="4" borderId="3" xfId="0" applyFont="1" applyFill="1" applyBorder="1" applyAlignment="1">
      <alignment vertical="center"/>
    </xf>
    <xf numFmtId="0" fontId="3" fillId="4" borderId="5" xfId="0" applyFont="1" applyFill="1" applyBorder="1" applyAlignment="1">
      <alignment vertical="center"/>
    </xf>
    <xf numFmtId="3" fontId="4" fillId="4" borderId="5" xfId="0" applyNumberFormat="1" applyFont="1" applyFill="1" applyBorder="1" applyAlignment="1">
      <alignment vertical="center"/>
    </xf>
    <xf numFmtId="0" fontId="5" fillId="4" borderId="5" xfId="0" applyFont="1" applyFill="1" applyBorder="1" applyAlignment="1">
      <alignment vertical="center"/>
    </xf>
    <xf numFmtId="0" fontId="3" fillId="4" borderId="7" xfId="0" applyFont="1" applyFill="1" applyBorder="1" applyAlignment="1">
      <alignment vertical="center"/>
    </xf>
    <xf numFmtId="164" fontId="4" fillId="4" borderId="7" xfId="0" applyNumberFormat="1" applyFont="1" applyFill="1" applyBorder="1" applyAlignment="1">
      <alignment vertical="center"/>
    </xf>
    <xf numFmtId="0" fontId="6" fillId="4" borderId="7" xfId="0" applyFont="1" applyFill="1" applyBorder="1" applyAlignment="1">
      <alignment vertical="center"/>
    </xf>
    <xf numFmtId="0" fontId="6" fillId="4" borderId="4" xfId="0" applyFont="1" applyFill="1" applyBorder="1" applyAlignment="1">
      <alignment vertical="center"/>
    </xf>
    <xf numFmtId="164" fontId="4" fillId="4" borderId="5" xfId="0" applyNumberFormat="1" applyFont="1" applyFill="1" applyBorder="1" applyAlignment="1">
      <alignment vertical="center"/>
    </xf>
    <xf numFmtId="0" fontId="6" fillId="4" borderId="5" xfId="0" applyFont="1" applyFill="1" applyBorder="1" applyAlignment="1">
      <alignment vertical="center"/>
    </xf>
    <xf numFmtId="165" fontId="4" fillId="4" borderId="3" xfId="0" applyNumberFormat="1" applyFont="1" applyFill="1" applyBorder="1" applyAlignment="1">
      <alignment vertical="center"/>
    </xf>
    <xf numFmtId="165" fontId="4" fillId="4" borderId="5" xfId="0" applyNumberFormat="1" applyFont="1" applyFill="1" applyBorder="1" applyAlignment="1">
      <alignment vertical="center"/>
    </xf>
    <xf numFmtId="166" fontId="4" fillId="4" borderId="3" xfId="0" applyNumberFormat="1" applyFont="1" applyFill="1" applyBorder="1" applyAlignment="1">
      <alignment vertical="center"/>
    </xf>
    <xf numFmtId="166" fontId="4" fillId="4" borderId="5" xfId="0" applyNumberFormat="1" applyFont="1" applyFill="1" applyBorder="1" applyAlignment="1">
      <alignment vertical="center"/>
    </xf>
    <xf numFmtId="164" fontId="4" fillId="4" borderId="3" xfId="0" applyNumberFormat="1" applyFont="1" applyFill="1" applyBorder="1" applyAlignment="1">
      <alignment vertical="center"/>
    </xf>
    <xf numFmtId="167" fontId="4" fillId="4" borderId="7" xfId="0" applyNumberFormat="1" applyFont="1" applyFill="1" applyBorder="1" applyAlignment="1">
      <alignment vertical="center"/>
    </xf>
    <xf numFmtId="167" fontId="4" fillId="4" borderId="4" xfId="0" applyNumberFormat="1" applyFont="1" applyFill="1" applyBorder="1" applyAlignment="1">
      <alignment vertical="center"/>
    </xf>
    <xf numFmtId="0" fontId="7" fillId="4" borderId="2" xfId="0" applyFont="1" applyFill="1" applyBorder="1" applyAlignment="1">
      <alignment horizontal="left" vertical="top" wrapText="1"/>
    </xf>
    <xf numFmtId="0" fontId="7" fillId="4" borderId="6" xfId="0" applyFont="1" applyFill="1" applyBorder="1" applyAlignment="1">
      <alignment horizontal="left" vertical="top" wrapText="1"/>
    </xf>
    <xf numFmtId="0" fontId="8" fillId="3" borderId="8" xfId="0" applyFont="1" applyFill="1" applyBorder="1" applyAlignment="1">
      <alignment vertical="center"/>
    </xf>
    <xf numFmtId="0" fontId="8" fillId="3" borderId="0" xfId="0" applyFont="1" applyFill="1" applyAlignment="1">
      <alignment vertical="center"/>
    </xf>
    <xf numFmtId="0" fontId="9" fillId="2" borderId="2" xfId="0" applyFont="1" applyFill="1" applyBorder="1" applyAlignment="1">
      <alignment vertical="center"/>
    </xf>
    <xf numFmtId="0" fontId="10" fillId="4" borderId="2" xfId="0" applyFont="1" applyFill="1" applyBorder="1" applyAlignment="1">
      <alignment vertical="center"/>
    </xf>
    <xf numFmtId="4" fontId="10" fillId="4" borderId="2"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ANALYSIS MACRO.xlsx]Pivot_Calculations!PT_Plot1</c:name>
    <c:fmtId val="0"/>
  </c:pivotSource>
  <c:chart>
    <c:title>
      <c:tx>
        <c:rich>
          <a:bodyPr/>
          <a:lstStyle/>
          <a:p>
            <a:pPr>
              <a:defRPr sz="950" b="1">
                <a:latin typeface="Georgia"/>
                <a:ea typeface="Georgia"/>
                <a:cs typeface="Georgia"/>
              </a:defRPr>
            </a:pPr>
            <a:r>
              <a:rPr lang="en-IN"/>
              <a:t>Trend &amp; Progression by year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Pivot_Calculations!$J$3</c:f>
              <c:strCache>
                <c:ptCount val="1"/>
                <c:pt idx="0">
                  <c:v>Total</c:v>
                </c:pt>
              </c:strCache>
            </c:strRef>
          </c:tx>
          <c:marker>
            <c:symbol val="none"/>
          </c:marker>
          <c:trendline>
            <c:spPr>
              <a:ln w="25400">
                <a:solidFill>
                  <a:srgbClr val="C2410C"/>
                </a:solidFill>
              </a:ln>
            </c:spPr>
            <c:trendlineType val="linear"/>
            <c:dispRSqr val="1"/>
            <c:dispEq val="1"/>
            <c:trendlineLbl>
              <c:numFmt formatCode="General" sourceLinked="0"/>
            </c:trendlineLbl>
          </c:trendline>
          <c:cat>
            <c:strRef>
              <c:f>Pivot_Calculations!$I$4:$I$10</c:f>
              <c:strCache>
                <c:ptCount val="6"/>
                <c:pt idx="0">
                  <c:v>2020</c:v>
                </c:pt>
                <c:pt idx="1">
                  <c:v>2021</c:v>
                </c:pt>
                <c:pt idx="2">
                  <c:v>2022</c:v>
                </c:pt>
                <c:pt idx="3">
                  <c:v>2023</c:v>
                </c:pt>
                <c:pt idx="4">
                  <c:v>2024</c:v>
                </c:pt>
                <c:pt idx="5">
                  <c:v>2025</c:v>
                </c:pt>
              </c:strCache>
            </c:strRef>
          </c:cat>
          <c:val>
            <c:numRef>
              <c:f>Pivot_Calculations!$J$4:$J$10</c:f>
              <c:numCache>
                <c:formatCode>General</c:formatCode>
                <c:ptCount val="6"/>
                <c:pt idx="0">
                  <c:v>6055238</c:v>
                </c:pt>
                <c:pt idx="1">
                  <c:v>6482591</c:v>
                </c:pt>
                <c:pt idx="2">
                  <c:v>6546525</c:v>
                </c:pt>
                <c:pt idx="3">
                  <c:v>6221006</c:v>
                </c:pt>
                <c:pt idx="4">
                  <c:v>7241686</c:v>
                </c:pt>
                <c:pt idx="5">
                  <c:v>6746392</c:v>
                </c:pt>
              </c:numCache>
            </c:numRef>
          </c:val>
          <c:smooth val="0"/>
          <c:extLst>
            <c:ext xmlns:c16="http://schemas.microsoft.com/office/drawing/2014/chart" uri="{C3380CC4-5D6E-409C-BE32-E72D297353CC}">
              <c16:uniqueId val="{00000003-4D8F-448D-A733-87C9B5AFC692}"/>
            </c:ext>
          </c:extLst>
        </c:ser>
        <c:dLbls>
          <c:showLegendKey val="0"/>
          <c:showVal val="0"/>
          <c:showCatName val="0"/>
          <c:showSerName val="0"/>
          <c:showPercent val="0"/>
          <c:showBubbleSize val="0"/>
        </c:dLbls>
        <c:smooth val="0"/>
        <c:axId val="835672288"/>
        <c:axId val="888541392"/>
      </c:lineChart>
      <c:catAx>
        <c:axId val="835672288"/>
        <c:scaling>
          <c:orientation val="minMax"/>
        </c:scaling>
        <c:delete val="0"/>
        <c:axPos val="b"/>
        <c:numFmt formatCode="General" sourceLinked="1"/>
        <c:majorTickMark val="out"/>
        <c:minorTickMark val="none"/>
        <c:tickLblPos val="nextTo"/>
        <c:crossAx val="888541392"/>
        <c:crosses val="autoZero"/>
        <c:auto val="1"/>
        <c:lblAlgn val="ctr"/>
        <c:lblOffset val="100"/>
        <c:noMultiLvlLbl val="0"/>
      </c:catAx>
      <c:valAx>
        <c:axId val="888541392"/>
        <c:scaling>
          <c:orientation val="minMax"/>
        </c:scaling>
        <c:delete val="0"/>
        <c:axPos val="l"/>
        <c:majorGridlines/>
        <c:numFmt formatCode="General" sourceLinked="1"/>
        <c:majorTickMark val="out"/>
        <c:minorTickMark val="none"/>
        <c:tickLblPos val="nextTo"/>
        <c:crossAx val="835672288"/>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ANALYSIS MACRO.xlsx]Pivot_Calculations!PT_Plot2</c:name>
    <c:fmtId val="0"/>
  </c:pivotSource>
  <c:chart>
    <c:title>
      <c:tx>
        <c:rich>
          <a:bodyPr/>
          <a:lstStyle/>
          <a:p>
            <a:pPr>
              <a:defRPr sz="950" b="1">
                <a:latin typeface="Georgia"/>
                <a:ea typeface="Georgia"/>
                <a:cs typeface="Georgia"/>
              </a:defRPr>
            </a:pPr>
            <a:r>
              <a:rPr lang="en-IN"/>
              <a:t>Ranked Contribution by segment</a:t>
            </a:r>
          </a:p>
        </c:rich>
      </c:tx>
      <c:overlay val="0"/>
    </c:title>
    <c:autoTitleDeleted val="0"/>
    <c:pivotFmts>
      <c:pivotFmt>
        <c:idx val="0"/>
        <c:spPr>
          <a:solidFill>
            <a:srgbClr val="1A1A1A"/>
          </a:solidFill>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Pivot_Calculations!$N$3</c:f>
              <c:strCache>
                <c:ptCount val="1"/>
                <c:pt idx="0">
                  <c:v>Total</c:v>
                </c:pt>
              </c:strCache>
            </c:strRef>
          </c:tx>
          <c:spPr>
            <a:solidFill>
              <a:srgbClr val="1A1A1A"/>
            </a:solidFill>
          </c:spPr>
          <c:invertIfNegative val="0"/>
          <c:cat>
            <c:strRef>
              <c:f>Pivot_Calculations!$M$4:$M$7</c:f>
              <c:strCache>
                <c:ptCount val="3"/>
                <c:pt idx="0">
                  <c:v>budget</c:v>
                </c:pt>
                <c:pt idx="1">
                  <c:v>mid</c:v>
                </c:pt>
                <c:pt idx="2">
                  <c:v>premium</c:v>
                </c:pt>
              </c:strCache>
            </c:strRef>
          </c:cat>
          <c:val>
            <c:numRef>
              <c:f>Pivot_Calculations!$N$4:$N$7</c:f>
              <c:numCache>
                <c:formatCode>General</c:formatCode>
                <c:ptCount val="3"/>
                <c:pt idx="0">
                  <c:v>4652150</c:v>
                </c:pt>
                <c:pt idx="1">
                  <c:v>13802031</c:v>
                </c:pt>
                <c:pt idx="2">
                  <c:v>20839257</c:v>
                </c:pt>
              </c:numCache>
            </c:numRef>
          </c:val>
          <c:extLst>
            <c:ext xmlns:c16="http://schemas.microsoft.com/office/drawing/2014/chart" uri="{C3380CC4-5D6E-409C-BE32-E72D297353CC}">
              <c16:uniqueId val="{00000003-A33A-4C42-9409-72C1EC66690E}"/>
            </c:ext>
          </c:extLst>
        </c:ser>
        <c:dLbls>
          <c:showLegendKey val="0"/>
          <c:showVal val="0"/>
          <c:showCatName val="0"/>
          <c:showSerName val="0"/>
          <c:showPercent val="0"/>
          <c:showBubbleSize val="0"/>
        </c:dLbls>
        <c:gapWidth val="150"/>
        <c:axId val="835623104"/>
        <c:axId val="888468432"/>
      </c:barChart>
      <c:catAx>
        <c:axId val="835623104"/>
        <c:scaling>
          <c:orientation val="minMax"/>
        </c:scaling>
        <c:delete val="0"/>
        <c:axPos val="l"/>
        <c:numFmt formatCode="General" sourceLinked="1"/>
        <c:majorTickMark val="out"/>
        <c:minorTickMark val="none"/>
        <c:tickLblPos val="nextTo"/>
        <c:crossAx val="888468432"/>
        <c:crosses val="autoZero"/>
        <c:auto val="1"/>
        <c:lblAlgn val="ctr"/>
        <c:lblOffset val="100"/>
        <c:noMultiLvlLbl val="0"/>
      </c:catAx>
      <c:valAx>
        <c:axId val="888468432"/>
        <c:scaling>
          <c:orientation val="minMax"/>
        </c:scaling>
        <c:delete val="0"/>
        <c:axPos val="b"/>
        <c:majorGridlines/>
        <c:numFmt formatCode="General" sourceLinked="1"/>
        <c:majorTickMark val="out"/>
        <c:minorTickMark val="none"/>
        <c:tickLblPos val="nextTo"/>
        <c:crossAx val="835623104"/>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ANALYSIS MACRO.xlsx]Pivot_Calculations!PT_Plot3</c:name>
    <c:fmtId val="0"/>
  </c:pivotSource>
  <c:chart>
    <c:title>
      <c:tx>
        <c:rich>
          <a:bodyPr/>
          <a:lstStyle/>
          <a:p>
            <a:pPr>
              <a:defRPr sz="950" b="1">
                <a:latin typeface="Georgia"/>
                <a:ea typeface="Georgia"/>
                <a:cs typeface="Georgia"/>
              </a:defRPr>
            </a:pPr>
            <a:r>
              <a:rPr lang="en-IN"/>
              <a:t>Segment Share (speedometer_type)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Pivot_Calculations!$R$3</c:f>
              <c:strCache>
                <c:ptCount val="1"/>
                <c:pt idx="0">
                  <c:v>Total</c:v>
                </c:pt>
              </c:strCache>
            </c:strRef>
          </c:tx>
          <c:cat>
            <c:strRef>
              <c:f>Pivot_Calculations!$Q$4:$Q$7</c:f>
              <c:strCache>
                <c:ptCount val="3"/>
                <c:pt idx="0">
                  <c:v>Analog</c:v>
                </c:pt>
                <c:pt idx="1">
                  <c:v>Digital</c:v>
                </c:pt>
                <c:pt idx="2">
                  <c:v>Semi-Digital</c:v>
                </c:pt>
              </c:strCache>
            </c:strRef>
          </c:cat>
          <c:val>
            <c:numRef>
              <c:f>Pivot_Calculations!$R$4:$R$7</c:f>
              <c:numCache>
                <c:formatCode>General</c:formatCode>
                <c:ptCount val="3"/>
                <c:pt idx="0">
                  <c:v>4391643</c:v>
                </c:pt>
                <c:pt idx="1">
                  <c:v>27161075</c:v>
                </c:pt>
                <c:pt idx="2">
                  <c:v>7740720</c:v>
                </c:pt>
              </c:numCache>
            </c:numRef>
          </c:val>
          <c:extLst>
            <c:ext xmlns:c16="http://schemas.microsoft.com/office/drawing/2014/chart" uri="{C3380CC4-5D6E-409C-BE32-E72D297353CC}">
              <c16:uniqueId val="{00000003-21B5-4E35-AD68-49CB14C09FC1}"/>
            </c:ext>
          </c:extLst>
        </c:ser>
        <c:dLbls>
          <c:showLegendKey val="0"/>
          <c:showVal val="0"/>
          <c:showCatName val="0"/>
          <c:showSerName val="0"/>
          <c:showPercent val="0"/>
          <c:showBubbleSize val="0"/>
          <c:showLeaderLines val="1"/>
        </c:dLbls>
        <c:firstSliceAng val="0"/>
        <c:holeSize val="50"/>
      </c:doughnutChart>
    </c:plotArea>
    <c:legend>
      <c:legendPos val="b"/>
      <c:overlay val="0"/>
      <c:txPr>
        <a:bodyPr/>
        <a:lstStyle/>
        <a:p>
          <a:pPr>
            <a:defRPr sz="750">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 ANALYSIS MACRO.xlsx]Pivot_Calculations!PT_Plot4</c:name>
    <c:fmtId val="0"/>
  </c:pivotSource>
  <c:chart>
    <c:title>
      <c:tx>
        <c:rich>
          <a:bodyPr/>
          <a:lstStyle/>
          <a:p>
            <a:pPr>
              <a:defRPr sz="950" b="1">
                <a:latin typeface="Georgia"/>
                <a:ea typeface="Georgia"/>
                <a:cs typeface="Georgia"/>
              </a:defRPr>
            </a:pPr>
            <a:r>
              <a:rPr lang="en-IN"/>
              <a:t>Metric Covariance: gst_amount_inr vs factory_price_inr</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Pivot_Calculations!$V$3</c:f>
              <c:strCache>
                <c:ptCount val="1"/>
                <c:pt idx="0">
                  <c:v>Primary_gst_amou</c:v>
                </c:pt>
              </c:strCache>
            </c:strRef>
          </c:tx>
          <c:invertIfNegative val="0"/>
          <c:cat>
            <c:strRef>
              <c:f>Pivot_Calculations!$U$4:$U$7</c:f>
              <c:strCache>
                <c:ptCount val="3"/>
                <c:pt idx="0">
                  <c:v>budget</c:v>
                </c:pt>
                <c:pt idx="1">
                  <c:v>mid</c:v>
                </c:pt>
                <c:pt idx="2">
                  <c:v>premium</c:v>
                </c:pt>
              </c:strCache>
            </c:strRef>
          </c:cat>
          <c:val>
            <c:numRef>
              <c:f>Pivot_Calculations!$V$4:$V$7</c:f>
              <c:numCache>
                <c:formatCode>General</c:formatCode>
                <c:ptCount val="3"/>
                <c:pt idx="0">
                  <c:v>4652150</c:v>
                </c:pt>
                <c:pt idx="1">
                  <c:v>13802031</c:v>
                </c:pt>
                <c:pt idx="2">
                  <c:v>20839257</c:v>
                </c:pt>
              </c:numCache>
            </c:numRef>
          </c:val>
          <c:extLst>
            <c:ext xmlns:c16="http://schemas.microsoft.com/office/drawing/2014/chart" uri="{C3380CC4-5D6E-409C-BE32-E72D297353CC}">
              <c16:uniqueId val="{00000003-5D92-4B23-BD5F-A44335B2777C}"/>
            </c:ext>
          </c:extLst>
        </c:ser>
        <c:ser>
          <c:idx val="1"/>
          <c:order val="1"/>
          <c:tx>
            <c:strRef>
              <c:f>Pivot_Calculations!$W$3</c:f>
              <c:strCache>
                <c:ptCount val="1"/>
                <c:pt idx="0">
                  <c:v>Secondary_factory_</c:v>
                </c:pt>
              </c:strCache>
            </c:strRef>
          </c:tx>
          <c:invertIfNegative val="0"/>
          <c:cat>
            <c:strRef>
              <c:f>Pivot_Calculations!$U$4:$U$7</c:f>
              <c:strCache>
                <c:ptCount val="3"/>
                <c:pt idx="0">
                  <c:v>budget</c:v>
                </c:pt>
                <c:pt idx="1">
                  <c:v>mid</c:v>
                </c:pt>
                <c:pt idx="2">
                  <c:v>premium</c:v>
                </c:pt>
              </c:strCache>
            </c:strRef>
          </c:cat>
          <c:val>
            <c:numRef>
              <c:f>Pivot_Calculations!$W$4:$W$7</c:f>
              <c:numCache>
                <c:formatCode>General</c:formatCode>
                <c:ptCount val="3"/>
                <c:pt idx="0">
                  <c:v>16614850</c:v>
                </c:pt>
                <c:pt idx="1">
                  <c:v>49292969</c:v>
                </c:pt>
                <c:pt idx="2">
                  <c:v>70909743</c:v>
                </c:pt>
              </c:numCache>
            </c:numRef>
          </c:val>
          <c:extLst>
            <c:ext xmlns:c16="http://schemas.microsoft.com/office/drawing/2014/chart" uri="{C3380CC4-5D6E-409C-BE32-E72D297353CC}">
              <c16:uniqueId val="{00000004-5D92-4B23-BD5F-A44335B2777C}"/>
            </c:ext>
          </c:extLst>
        </c:ser>
        <c:dLbls>
          <c:showLegendKey val="0"/>
          <c:showVal val="0"/>
          <c:showCatName val="0"/>
          <c:showSerName val="0"/>
          <c:showPercent val="0"/>
          <c:showBubbleSize val="0"/>
        </c:dLbls>
        <c:gapWidth val="150"/>
        <c:axId val="835658832"/>
        <c:axId val="888486672"/>
      </c:barChart>
      <c:catAx>
        <c:axId val="835658832"/>
        <c:scaling>
          <c:orientation val="minMax"/>
        </c:scaling>
        <c:delete val="0"/>
        <c:axPos val="b"/>
        <c:numFmt formatCode="General" sourceLinked="1"/>
        <c:majorTickMark val="out"/>
        <c:minorTickMark val="none"/>
        <c:tickLblPos val="nextTo"/>
        <c:crossAx val="888486672"/>
        <c:crosses val="autoZero"/>
        <c:auto val="1"/>
        <c:lblAlgn val="ctr"/>
        <c:lblOffset val="100"/>
        <c:noMultiLvlLbl val="0"/>
      </c:catAx>
      <c:valAx>
        <c:axId val="888486672"/>
        <c:scaling>
          <c:orientation val="minMax"/>
        </c:scaling>
        <c:delete val="0"/>
        <c:axPos val="l"/>
        <c:majorGridlines/>
        <c:numFmt formatCode="General" sourceLinked="1"/>
        <c:majorTickMark val="out"/>
        <c:minorTickMark val="none"/>
        <c:tickLblPos val="nextTo"/>
        <c:crossAx val="835658832"/>
        <c:crosses val="autoZero"/>
        <c:crossBetween val="between"/>
      </c:valAx>
    </c:plotArea>
    <c:legend>
      <c:legendPos val="b"/>
      <c:overlay val="0"/>
      <c:txPr>
        <a:bodyPr/>
        <a:lstStyle/>
        <a:p>
          <a:pPr>
            <a:defRPr sz="750">
              <a:latin typeface="Segoe UI"/>
              <a:ea typeface="Segoe UI"/>
              <a:cs typeface="Segoe U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17</xdr:row>
      <xdr:rowOff>0</xdr:rowOff>
    </xdr:from>
    <xdr:to>
      <xdr:col>5</xdr:col>
      <xdr:colOff>365760</xdr:colOff>
      <xdr:row>31</xdr:row>
      <xdr:rowOff>106680</xdr:rowOff>
    </xdr:to>
    <xdr:graphicFrame macro="">
      <xdr:nvGraphicFramePr>
        <xdr:cNvPr id="2" name="Chart 1">
          <a:extLst>
            <a:ext uri="{FF2B5EF4-FFF2-40B4-BE49-F238E27FC236}">
              <a16:creationId xmlns:a16="http://schemas.microsoft.com/office/drawing/2014/main" id="{24F212EC-05DD-6B21-8F92-D909DF4D2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127000</xdr:colOff>
      <xdr:row>17</xdr:row>
      <xdr:rowOff>0</xdr:rowOff>
    </xdr:from>
    <xdr:to>
      <xdr:col>11</xdr:col>
      <xdr:colOff>492760</xdr:colOff>
      <xdr:row>31</xdr:row>
      <xdr:rowOff>106680</xdr:rowOff>
    </xdr:to>
    <xdr:graphicFrame macro="">
      <xdr:nvGraphicFramePr>
        <xdr:cNvPr id="3" name="Chart 2">
          <a:extLst>
            <a:ext uri="{FF2B5EF4-FFF2-40B4-BE49-F238E27FC236}">
              <a16:creationId xmlns:a16="http://schemas.microsoft.com/office/drawing/2014/main" id="{173F933A-1647-5F59-2B9B-39A906F94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317499</xdr:colOff>
      <xdr:row>17</xdr:row>
      <xdr:rowOff>0</xdr:rowOff>
    </xdr:from>
    <xdr:to>
      <xdr:col>15</xdr:col>
      <xdr:colOff>119379</xdr:colOff>
      <xdr:row>31</xdr:row>
      <xdr:rowOff>106680</xdr:rowOff>
    </xdr:to>
    <mc:AlternateContent xmlns:mc="http://schemas.openxmlformats.org/markup-compatibility/2006">
      <mc:Choice xmlns:a14="http://schemas.microsoft.com/office/drawing/2010/main" Requires="a14">
        <xdr:graphicFrame macro="">
          <xdr:nvGraphicFramePr>
            <xdr:cNvPr id="4" name="Slicer_Primary">
              <a:extLst>
                <a:ext uri="{FF2B5EF4-FFF2-40B4-BE49-F238E27FC236}">
                  <a16:creationId xmlns:a16="http://schemas.microsoft.com/office/drawing/2014/main" id="{D74BF0CB-5E44-6E25-5A72-69F36771452C}"/>
                </a:ext>
              </a:extLst>
            </xdr:cNvPr>
            <xdr:cNvGraphicFramePr/>
          </xdr:nvGraphicFramePr>
          <xdr:xfrm>
            <a:off x="0" y="0"/>
            <a:ext cx="0" cy="0"/>
          </xdr:xfrm>
          <a:graphic>
            <a:graphicData uri="http://schemas.microsoft.com/office/drawing/2010/slicer">
              <sle:slicer xmlns:sle="http://schemas.microsoft.com/office/drawing/2010/slicer" name="Slicer_Primary"/>
            </a:graphicData>
          </a:graphic>
        </xdr:graphicFrame>
      </mc:Choice>
      <mc:Fallback>
        <xdr:sp macro="" textlink="">
          <xdr:nvSpPr>
            <xdr:cNvPr id="0" name=""/>
            <xdr:cNvSpPr>
              <a:spLocks noTextEdit="1"/>
            </xdr:cNvSpPr>
          </xdr:nvSpPr>
          <xdr:spPr>
            <a:xfrm>
              <a:off x="13164819" y="3299460"/>
              <a:ext cx="19050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317500</xdr:colOff>
      <xdr:row>17</xdr:row>
      <xdr:rowOff>0</xdr:rowOff>
    </xdr:from>
    <xdr:to>
      <xdr:col>17</xdr:col>
      <xdr:colOff>119380</xdr:colOff>
      <xdr:row>31</xdr:row>
      <xdr:rowOff>106680</xdr:rowOff>
    </xdr:to>
    <mc:AlternateContent xmlns:mc="http://schemas.openxmlformats.org/markup-compatibility/2006">
      <mc:Choice xmlns:a14="http://schemas.microsoft.com/office/drawing/2010/main" Requires="a14">
        <xdr:graphicFrame macro="">
          <xdr:nvGraphicFramePr>
            <xdr:cNvPr id="5" name="Slicer_Secondary">
              <a:extLst>
                <a:ext uri="{FF2B5EF4-FFF2-40B4-BE49-F238E27FC236}">
                  <a16:creationId xmlns:a16="http://schemas.microsoft.com/office/drawing/2014/main" id="{E378F11E-05E7-CC69-8256-83AF36E1C202}"/>
                </a:ext>
              </a:extLst>
            </xdr:cNvPr>
            <xdr:cNvGraphicFramePr/>
          </xdr:nvGraphicFramePr>
          <xdr:xfrm>
            <a:off x="0" y="0"/>
            <a:ext cx="0" cy="0"/>
          </xdr:xfrm>
          <a:graphic>
            <a:graphicData uri="http://schemas.microsoft.com/office/drawing/2010/slicer">
              <sle:slicer xmlns:sle="http://schemas.microsoft.com/office/drawing/2010/slicer" name="Slicer_Secondary"/>
            </a:graphicData>
          </a:graphic>
        </xdr:graphicFrame>
      </mc:Choice>
      <mc:Fallback>
        <xdr:sp macro="" textlink="">
          <xdr:nvSpPr>
            <xdr:cNvPr id="0" name=""/>
            <xdr:cNvSpPr>
              <a:spLocks noTextEdit="1"/>
            </xdr:cNvSpPr>
          </xdr:nvSpPr>
          <xdr:spPr>
            <a:xfrm>
              <a:off x="15267940" y="3299460"/>
              <a:ext cx="19050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32</xdr:row>
      <xdr:rowOff>0</xdr:rowOff>
    </xdr:from>
    <xdr:to>
      <xdr:col>5</xdr:col>
      <xdr:colOff>365760</xdr:colOff>
      <xdr:row>46</xdr:row>
      <xdr:rowOff>106680</xdr:rowOff>
    </xdr:to>
    <xdr:graphicFrame macro="">
      <xdr:nvGraphicFramePr>
        <xdr:cNvPr id="6" name="Chart 5">
          <a:extLst>
            <a:ext uri="{FF2B5EF4-FFF2-40B4-BE49-F238E27FC236}">
              <a16:creationId xmlns:a16="http://schemas.microsoft.com/office/drawing/2014/main" id="{A1A40747-8CEF-508A-53BA-14FBC9AC8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127000</xdr:colOff>
      <xdr:row>32</xdr:row>
      <xdr:rowOff>0</xdr:rowOff>
    </xdr:from>
    <xdr:to>
      <xdr:col>11</xdr:col>
      <xdr:colOff>492760</xdr:colOff>
      <xdr:row>46</xdr:row>
      <xdr:rowOff>106680</xdr:rowOff>
    </xdr:to>
    <xdr:graphicFrame macro="">
      <xdr:nvGraphicFramePr>
        <xdr:cNvPr id="7" name="Chart 6">
          <a:extLst>
            <a:ext uri="{FF2B5EF4-FFF2-40B4-BE49-F238E27FC236}">
              <a16:creationId xmlns:a16="http://schemas.microsoft.com/office/drawing/2014/main" id="{153B11BD-0010-E0F4-872C-53FBCA4B5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thaque Mayalankottu" refreshedDate="46287.86054710648" createdVersion="8" refreshedVersion="8" minRefreshableVersion="3" recordCount="1000" xr:uid="{84A024B3-8DDE-41AF-82F8-DA669B28F982}">
  <cacheSource type="worksheet">
    <worksheetSource ref="A1:R1001" sheet="Raw_Data"/>
  </cacheSource>
  <cacheFields count="18">
    <cacheField name="brand" numFmtId="0">
      <sharedItems/>
    </cacheField>
    <cacheField name="model" numFmtId="0">
      <sharedItems/>
    </cacheField>
    <cacheField name="cc" numFmtId="0">
      <sharedItems containsSemiMixedTypes="0" containsString="0" containsNumber="1" containsInteger="1" minValue="97" maxValue="648"/>
    </cacheField>
    <cacheField name="segment" numFmtId="0">
      <sharedItems count="3">
        <s v="mid"/>
        <s v="budget"/>
        <s v="premium"/>
      </sharedItems>
    </cacheField>
    <cacheField name="year" numFmtId="0">
      <sharedItems containsSemiMixedTypes="0" containsString="0" containsNumber="1" containsInteger="1" minValue="2020" maxValue="2025" count="6">
        <n v="2020"/>
        <n v="2024"/>
        <n v="2025"/>
        <n v="2023"/>
        <n v="2021"/>
        <n v="2022"/>
      </sharedItems>
    </cacheField>
    <cacheField name="speedometer_type" numFmtId="0">
      <sharedItems count="3">
        <s v="Digital"/>
        <s v="Analog"/>
        <s v="Semi-Digital"/>
      </sharedItems>
    </cacheField>
    <cacheField name="top_speed_kmh" numFmtId="0">
      <sharedItems containsSemiMixedTypes="0" containsString="0" containsNumber="1" containsInteger="1" minValue="85" maxValue="210"/>
    </cacheField>
    <cacheField name="mileage_kmpl" numFmtId="0">
      <sharedItems containsSemiMixedTypes="0" containsString="0" containsNumber="1" minValue="19.399999999999999" maxValue="78.400000000000006"/>
    </cacheField>
    <cacheField name="fuel_tank_liters" numFmtId="0">
      <sharedItems containsSemiMixedTypes="0" containsString="0" containsNumber="1" minValue="8" maxValue="19.899999999999999"/>
    </cacheField>
    <cacheField name="factory_price_inr" numFmtId="0">
      <sharedItems containsSemiMixedTypes="0" containsString="0" containsNumber="1" containsInteger="1" minValue="42969" maxValue="471756"/>
    </cacheField>
    <cacheField name="gst_rate_pct" numFmtId="0">
      <sharedItems containsSemiMixedTypes="0" containsString="0" containsNumber="1" containsInteger="1" minValue="28" maxValue="31"/>
    </cacheField>
    <cacheField name="gst_amount_inr" numFmtId="0">
      <sharedItems containsSemiMixedTypes="0" containsString="0" containsNumber="1" containsInteger="1" minValue="12031" maxValue="146244"/>
    </cacheField>
    <cacheField name="ex_showroom_inr" numFmtId="0">
      <sharedItems containsSemiMixedTypes="0" containsString="0" containsNumber="1" containsInteger="1" minValue="55000" maxValue="618000"/>
    </cacheField>
    <cacheField name="on_road_price_inr" numFmtId="0">
      <sharedItems containsSemiMixedTypes="0" containsString="0" containsNumber="1" containsInteger="1" minValue="64255" maxValue="715529"/>
    </cacheField>
    <cacheField name="overall_score" numFmtId="0">
      <sharedItems containsSemiMixedTypes="0" containsString="0" containsNumber="1" containsInteger="1" minValue="50" maxValue="88"/>
    </cacheField>
    <cacheField name="price_increase_scenario_pct" numFmtId="0">
      <sharedItems containsSemiMixedTypes="0" containsString="0" containsNumber="1" minValue="1" maxValue="15"/>
    </cacheField>
    <cacheField name="buyer_behaviour" numFmtId="0">
      <sharedItems/>
    </cacheField>
    <cacheField name="price_sensitivity" numFmtId="0">
      <sharedItems/>
    </cacheField>
  </cacheFields>
  <extLst>
    <ext xmlns:x14="http://schemas.microsoft.com/office/spreadsheetml/2009/9/main" uri="{725AE2AE-9491-48be-B2B4-4EB974FC3084}">
      <x14:pivotCacheDefinition pivotCacheId="1400842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Honda"/>
    <s v="Hornet 2.0"/>
    <n v="184"/>
    <x v="0"/>
    <x v="0"/>
    <x v="0"/>
    <n v="137"/>
    <n v="43.8"/>
    <n v="10.1"/>
    <n v="100781"/>
    <n v="28"/>
    <n v="28219"/>
    <n v="129000"/>
    <n v="147604"/>
    <n v="70"/>
    <n v="9.3000000000000007"/>
    <s v="Will likely switch brand"/>
    <s v="High"/>
  </r>
  <r>
    <s v="Bajaj"/>
    <s v="Pulsar N250"/>
    <n v="249"/>
    <x v="0"/>
    <x v="1"/>
    <x v="0"/>
    <n v="157"/>
    <n v="33.200000000000003"/>
    <n v="14.9"/>
    <n v="123438"/>
    <n v="28"/>
    <n v="34562"/>
    <n v="158000"/>
    <n v="185890"/>
    <n v="71"/>
    <n v="4.0999999999999996"/>
    <s v="Might reconsider"/>
    <s v="Medium"/>
  </r>
  <r>
    <s v="Hero"/>
    <s v="Splendor Plus"/>
    <n v="97"/>
    <x v="1"/>
    <x v="0"/>
    <x v="1"/>
    <n v="95"/>
    <n v="64.2"/>
    <n v="8.6999999999999993"/>
    <n v="60156"/>
    <n v="28"/>
    <n v="16844"/>
    <n v="77000"/>
    <n v="89751"/>
    <n v="57"/>
    <n v="2.2999999999999998"/>
    <s v="Might reconsider"/>
    <s v="Medium"/>
  </r>
  <r>
    <s v="Royal Enfield"/>
    <s v="Thunderbird 350X"/>
    <n v="346"/>
    <x v="2"/>
    <x v="2"/>
    <x v="2"/>
    <n v="152"/>
    <n v="29.1"/>
    <n v="17.3"/>
    <n v="146875"/>
    <n v="28"/>
    <n v="41125"/>
    <n v="188000"/>
    <n v="221689"/>
    <n v="67"/>
    <n v="8.6999999999999993"/>
    <s v="Will likely switch brand"/>
    <s v="High"/>
  </r>
  <r>
    <s v="Royal Enfield"/>
    <s v="Scram 411"/>
    <n v="411"/>
    <x v="2"/>
    <x v="3"/>
    <x v="2"/>
    <n v="165"/>
    <n v="23.4"/>
    <n v="14.9"/>
    <n v="166412"/>
    <n v="31"/>
    <n v="51588"/>
    <n v="218000"/>
    <n v="251257"/>
    <n v="73"/>
    <n v="13.1"/>
    <s v="Will definitely switch"/>
    <s v="Very High"/>
  </r>
  <r>
    <s v="Royal Enfield"/>
    <s v="Scram 411"/>
    <n v="411"/>
    <x v="2"/>
    <x v="4"/>
    <x v="2"/>
    <n v="201"/>
    <n v="24.3"/>
    <n v="16.7"/>
    <n v="154962"/>
    <n v="31"/>
    <n v="48038"/>
    <n v="203000"/>
    <n v="235810"/>
    <n v="71"/>
    <n v="9.5"/>
    <s v="Will likely switch brand"/>
    <s v="High"/>
  </r>
  <r>
    <s v="TVS"/>
    <s v="Star City Plus"/>
    <n v="109"/>
    <x v="1"/>
    <x v="0"/>
    <x v="2"/>
    <n v="92"/>
    <n v="73.2"/>
    <n v="8.5"/>
    <n v="60938"/>
    <n v="28"/>
    <n v="17062"/>
    <n v="78000"/>
    <n v="93929"/>
    <n v="71"/>
    <n v="5.5"/>
    <s v="Will likely switch brand"/>
    <s v="High"/>
  </r>
  <r>
    <s v="Hero"/>
    <s v="Super Splendor"/>
    <n v="125"/>
    <x v="1"/>
    <x v="3"/>
    <x v="2"/>
    <n v="115"/>
    <n v="60"/>
    <n v="13.5"/>
    <n v="73438"/>
    <n v="28"/>
    <n v="20562"/>
    <n v="94000"/>
    <n v="110296"/>
    <n v="66"/>
    <n v="10.199999999999999"/>
    <s v="Will definitely switch"/>
    <s v="Very High"/>
  </r>
  <r>
    <s v="Yamaha"/>
    <s v="FZ-S V3"/>
    <n v="149"/>
    <x v="0"/>
    <x v="4"/>
    <x v="2"/>
    <n v="118"/>
    <n v="51.9"/>
    <n v="14"/>
    <n v="96094"/>
    <n v="28"/>
    <n v="26906"/>
    <n v="123000"/>
    <n v="143257"/>
    <n v="71"/>
    <n v="6.6"/>
    <s v="Will likely switch brand"/>
    <s v="High"/>
  </r>
  <r>
    <s v="Honda"/>
    <s v="CB350 H'ness"/>
    <n v="348"/>
    <x v="2"/>
    <x v="0"/>
    <x v="0"/>
    <n v="145"/>
    <n v="29.3"/>
    <n v="15.7"/>
    <n v="164062"/>
    <n v="28"/>
    <n v="45938"/>
    <n v="210000"/>
    <n v="236511"/>
    <n v="82"/>
    <n v="6.9"/>
    <s v="Will likely switch brand"/>
    <s v="High"/>
  </r>
  <r>
    <s v="Yamaha"/>
    <s v="FZ-X"/>
    <n v="149"/>
    <x v="0"/>
    <x v="5"/>
    <x v="0"/>
    <n v="108"/>
    <n v="57.4"/>
    <n v="13.1"/>
    <n v="106250"/>
    <n v="28"/>
    <n v="29750"/>
    <n v="136000"/>
    <n v="160631"/>
    <n v="79"/>
    <n v="13.4"/>
    <s v="Will definitely switch"/>
    <s v="Very High"/>
  </r>
  <r>
    <s v="Royal Enfield"/>
    <s v="Hunter 350"/>
    <n v="349"/>
    <x v="2"/>
    <x v="1"/>
    <x v="2"/>
    <n v="148"/>
    <n v="34.9"/>
    <n v="19.399999999999999"/>
    <n v="121094"/>
    <n v="28"/>
    <n v="33906"/>
    <n v="155000"/>
    <n v="181109"/>
    <n v="74"/>
    <n v="11.7"/>
    <s v="Will definitely switch"/>
    <s v="Very High"/>
  </r>
  <r>
    <s v="TVS"/>
    <s v="Apache RR 310"/>
    <n v="312"/>
    <x v="2"/>
    <x v="1"/>
    <x v="0"/>
    <n v="157"/>
    <n v="34"/>
    <n v="15.3"/>
    <n v="230469"/>
    <n v="28"/>
    <n v="64531"/>
    <n v="295000"/>
    <n v="338145"/>
    <n v="77"/>
    <n v="13.9"/>
    <s v="Will definitely switch"/>
    <s v="Very High"/>
  </r>
  <r>
    <s v="Hero"/>
    <s v="Passion Pro"/>
    <n v="110"/>
    <x v="1"/>
    <x v="0"/>
    <x v="2"/>
    <n v="92"/>
    <n v="65.599999999999994"/>
    <n v="9.5"/>
    <n v="58594"/>
    <n v="28"/>
    <n v="16406"/>
    <n v="75000"/>
    <n v="89076"/>
    <n v="72"/>
    <n v="14.3"/>
    <s v="Will definitely switch"/>
    <s v="Very High"/>
  </r>
  <r>
    <s v="Hero"/>
    <s v="Xpulse 200 4V"/>
    <n v="199"/>
    <x v="0"/>
    <x v="1"/>
    <x v="0"/>
    <n v="137"/>
    <n v="41.8"/>
    <n v="11.7"/>
    <n v="130469"/>
    <n v="28"/>
    <n v="36531"/>
    <n v="167000"/>
    <n v="194051"/>
    <n v="70"/>
    <n v="4.7"/>
    <s v="Might reconsider"/>
    <s v="Medium"/>
  </r>
  <r>
    <s v="Bajaj"/>
    <s v="Pulsar N250"/>
    <n v="249"/>
    <x v="0"/>
    <x v="1"/>
    <x v="0"/>
    <n v="161"/>
    <n v="30.6"/>
    <n v="16.2"/>
    <n v="137500"/>
    <n v="28"/>
    <n v="38500"/>
    <n v="176000"/>
    <n v="208025"/>
    <n v="75"/>
    <n v="6.2"/>
    <s v="Will likely switch brand"/>
    <s v="High"/>
  </r>
  <r>
    <s v="TVS"/>
    <s v="Star City Plus"/>
    <n v="109"/>
    <x v="1"/>
    <x v="0"/>
    <x v="2"/>
    <n v="85"/>
    <n v="71.5"/>
    <n v="8.5"/>
    <n v="60938"/>
    <n v="28"/>
    <n v="17062"/>
    <n v="78000"/>
    <n v="91495"/>
    <n v="62"/>
    <n v="10.9"/>
    <s v="Will definitely switch"/>
    <s v="Very High"/>
  </r>
  <r>
    <s v="Hero"/>
    <s v="Super Splendor"/>
    <n v="125"/>
    <x v="1"/>
    <x v="4"/>
    <x v="2"/>
    <n v="109"/>
    <n v="54.8"/>
    <n v="13.1"/>
    <n v="74219"/>
    <n v="28"/>
    <n v="20781"/>
    <n v="95000"/>
    <n v="110911"/>
    <n v="67"/>
    <n v="9.1"/>
    <s v="Will likely switch brand"/>
    <s v="High"/>
  </r>
  <r>
    <s v="KTM"/>
    <s v="Duke 250"/>
    <n v="248"/>
    <x v="2"/>
    <x v="2"/>
    <x v="0"/>
    <n v="163"/>
    <n v="31.3"/>
    <n v="13.7"/>
    <n v="174219"/>
    <n v="28"/>
    <n v="48781"/>
    <n v="223000"/>
    <n v="254051"/>
    <n v="71"/>
    <n v="10.4"/>
    <s v="Will definitely switch"/>
    <s v="Very High"/>
  </r>
  <r>
    <s v="KTM"/>
    <s v="Duke 200"/>
    <n v="199"/>
    <x v="0"/>
    <x v="5"/>
    <x v="0"/>
    <n v="134"/>
    <n v="38.9"/>
    <n v="11.9"/>
    <n v="161719"/>
    <n v="28"/>
    <n v="45281"/>
    <n v="207000"/>
    <n v="239635"/>
    <n v="70"/>
    <n v="6.9"/>
    <s v="Will likely switch brand"/>
    <s v="High"/>
  </r>
  <r>
    <s v="Hero"/>
    <s v="Mavrick 440"/>
    <n v="440"/>
    <x v="2"/>
    <x v="4"/>
    <x v="0"/>
    <n v="194"/>
    <n v="22.8"/>
    <n v="14.2"/>
    <n v="170229"/>
    <n v="31"/>
    <n v="52771"/>
    <n v="223000"/>
    <n v="259875"/>
    <n v="75"/>
    <n v="14.6"/>
    <s v="Will definitely switch"/>
    <s v="Very High"/>
  </r>
  <r>
    <s v="Yamaha"/>
    <s v="R15 V4"/>
    <n v="155"/>
    <x v="0"/>
    <x v="3"/>
    <x v="0"/>
    <n v="132"/>
    <n v="40.799999999999997"/>
    <n v="11.1"/>
    <n v="139844"/>
    <n v="28"/>
    <n v="39156"/>
    <n v="179000"/>
    <n v="210786"/>
    <n v="71"/>
    <n v="14"/>
    <s v="Will definitely switch"/>
    <s v="Very High"/>
  </r>
  <r>
    <s v="Suzuki"/>
    <s v="V-Strom SX"/>
    <n v="249"/>
    <x v="2"/>
    <x v="5"/>
    <x v="0"/>
    <n v="158"/>
    <n v="35.6"/>
    <n v="13.4"/>
    <n v="176562"/>
    <n v="28"/>
    <n v="49438"/>
    <n v="226000"/>
    <n v="259009"/>
    <n v="82"/>
    <n v="1.9"/>
    <s v="Likely to buy"/>
    <s v="Low"/>
  </r>
  <r>
    <s v="Yamaha"/>
    <s v="MT-15 V2"/>
    <n v="155"/>
    <x v="0"/>
    <x v="2"/>
    <x v="0"/>
    <n v="125"/>
    <n v="37.799999999999997"/>
    <n v="13.4"/>
    <n v="132812"/>
    <n v="28"/>
    <n v="37188"/>
    <n v="170000"/>
    <n v="199114"/>
    <n v="68"/>
    <n v="9.3000000000000007"/>
    <s v="Will likely switch brand"/>
    <s v="High"/>
  </r>
  <r>
    <s v="KTM"/>
    <s v="Duke 200"/>
    <n v="199"/>
    <x v="0"/>
    <x v="1"/>
    <x v="0"/>
    <n v="122"/>
    <n v="37.4"/>
    <n v="12.1"/>
    <n v="146875"/>
    <n v="28"/>
    <n v="41125"/>
    <n v="188000"/>
    <n v="220736"/>
    <n v="74"/>
    <n v="10.199999999999999"/>
    <s v="Will definitely switch"/>
    <s v="Very High"/>
  </r>
  <r>
    <s v="TVS"/>
    <s v="Jupiter 110"/>
    <n v="109"/>
    <x v="1"/>
    <x v="0"/>
    <x v="2"/>
    <n v="94"/>
    <n v="63.8"/>
    <n v="8"/>
    <n v="59375"/>
    <n v="28"/>
    <n v="16625"/>
    <n v="76000"/>
    <n v="90521"/>
    <n v="68"/>
    <n v="5.4"/>
    <s v="Will likely switch brand"/>
    <s v="High"/>
  </r>
  <r>
    <s v="Honda"/>
    <s v="SP 125"/>
    <n v="124"/>
    <x v="1"/>
    <x v="3"/>
    <x v="0"/>
    <n v="112"/>
    <n v="60"/>
    <n v="13.3"/>
    <n v="71094"/>
    <n v="28"/>
    <n v="19906"/>
    <n v="91000"/>
    <n v="105698"/>
    <n v="76"/>
    <n v="5"/>
    <s v="Might reconsider"/>
    <s v="Medium"/>
  </r>
  <r>
    <s v="TVS"/>
    <s v="Apache RR 310"/>
    <n v="312"/>
    <x v="2"/>
    <x v="0"/>
    <x v="0"/>
    <n v="157"/>
    <n v="33.299999999999997"/>
    <n v="19.600000000000001"/>
    <n v="222656"/>
    <n v="28"/>
    <n v="62344"/>
    <n v="285000"/>
    <n v="333364"/>
    <n v="73"/>
    <n v="14"/>
    <s v="Will definitely switch"/>
    <s v="Very High"/>
  </r>
  <r>
    <s v="Honda"/>
    <s v="CB350 H'ness"/>
    <n v="348"/>
    <x v="2"/>
    <x v="4"/>
    <x v="0"/>
    <n v="159"/>
    <n v="30.3"/>
    <n v="17.8"/>
    <n v="157812"/>
    <n v="28"/>
    <n v="44188"/>
    <n v="202000"/>
    <n v="237044"/>
    <n v="75"/>
    <n v="11"/>
    <s v="Will definitely switch"/>
    <s v="Very High"/>
  </r>
  <r>
    <s v="TVS"/>
    <s v="Jupiter 110"/>
    <n v="109"/>
    <x v="1"/>
    <x v="5"/>
    <x v="2"/>
    <n v="98"/>
    <n v="63.2"/>
    <n v="9.5"/>
    <n v="62500"/>
    <n v="28"/>
    <n v="17500"/>
    <n v="80000"/>
    <n v="93265"/>
    <n v="65"/>
    <n v="1.6"/>
    <s v="Likely to buy"/>
    <s v="Low"/>
  </r>
  <r>
    <s v="TVS"/>
    <s v="Jupiter 110"/>
    <n v="109"/>
    <x v="1"/>
    <x v="5"/>
    <x v="2"/>
    <n v="87"/>
    <n v="61.8"/>
    <n v="9.1999999999999993"/>
    <n v="59375"/>
    <n v="28"/>
    <n v="16625"/>
    <n v="76000"/>
    <n v="91073"/>
    <n v="63"/>
    <n v="8.6"/>
    <s v="Will definitely switch"/>
    <s v="Very High"/>
  </r>
  <r>
    <s v="Honda"/>
    <s v="CB350RS"/>
    <n v="348"/>
    <x v="2"/>
    <x v="0"/>
    <x v="0"/>
    <n v="146"/>
    <n v="35.1"/>
    <n v="15.5"/>
    <n v="170312"/>
    <n v="28"/>
    <n v="47688"/>
    <n v="218000"/>
    <n v="246098"/>
    <n v="88"/>
    <n v="4.5"/>
    <s v="Might reconsider"/>
    <s v="Medium"/>
  </r>
  <r>
    <s v="Suzuki"/>
    <s v="V-Strom SX"/>
    <n v="249"/>
    <x v="2"/>
    <x v="4"/>
    <x v="0"/>
    <n v="147"/>
    <n v="35.299999999999997"/>
    <n v="19.2"/>
    <n v="182812"/>
    <n v="28"/>
    <n v="51188"/>
    <n v="234000"/>
    <n v="269081"/>
    <n v="76"/>
    <n v="14.7"/>
    <s v="Will definitely switch"/>
    <s v="Very High"/>
  </r>
  <r>
    <s v="Hero"/>
    <s v="Glamour"/>
    <n v="125"/>
    <x v="1"/>
    <x v="2"/>
    <x v="2"/>
    <n v="112"/>
    <n v="59"/>
    <n v="10.4"/>
    <n v="70312"/>
    <n v="28"/>
    <n v="19688"/>
    <n v="90000"/>
    <n v="108322"/>
    <n v="62"/>
    <n v="3.2"/>
    <s v="Might reconsider"/>
    <s v="Medium"/>
  </r>
  <r>
    <s v="Hero"/>
    <s v="Super Splendor"/>
    <n v="125"/>
    <x v="1"/>
    <x v="4"/>
    <x v="2"/>
    <n v="112"/>
    <n v="53"/>
    <n v="11.6"/>
    <n v="74219"/>
    <n v="28"/>
    <n v="20781"/>
    <n v="95000"/>
    <n v="111732"/>
    <n v="61"/>
    <n v="1.3"/>
    <s v="Likely to buy"/>
    <s v="Low"/>
  </r>
  <r>
    <s v="TVS"/>
    <s v="Apache RTR 160"/>
    <n v="159"/>
    <x v="0"/>
    <x v="0"/>
    <x v="2"/>
    <n v="137"/>
    <n v="42.1"/>
    <n v="13.5"/>
    <n v="99219"/>
    <n v="28"/>
    <n v="27781"/>
    <n v="127000"/>
    <n v="151218"/>
    <n v="64"/>
    <n v="14.1"/>
    <s v="Will definitely switch"/>
    <s v="Very High"/>
  </r>
  <r>
    <s v="TVS"/>
    <s v="Jupiter 110"/>
    <n v="109"/>
    <x v="1"/>
    <x v="1"/>
    <x v="2"/>
    <n v="96"/>
    <n v="71.599999999999994"/>
    <n v="8.1999999999999993"/>
    <n v="59375"/>
    <n v="28"/>
    <n v="16625"/>
    <n v="76000"/>
    <n v="90134"/>
    <n v="66"/>
    <n v="7.1"/>
    <s v="Will definitely switch"/>
    <s v="Very High"/>
  </r>
  <r>
    <s v="Bajaj"/>
    <s v="Pulsar 150"/>
    <n v="149"/>
    <x v="0"/>
    <x v="2"/>
    <x v="2"/>
    <n v="111"/>
    <n v="57.5"/>
    <n v="13.7"/>
    <n v="85938"/>
    <n v="28"/>
    <n v="24062"/>
    <n v="110000"/>
    <n v="129427"/>
    <n v="67"/>
    <n v="7"/>
    <s v="Will likely switch brand"/>
    <s v="High"/>
  </r>
  <r>
    <s v="Royal Enfield"/>
    <s v="Meteor 350"/>
    <n v="349"/>
    <x v="2"/>
    <x v="5"/>
    <x v="2"/>
    <n v="153"/>
    <n v="30.5"/>
    <n v="16.899999999999999"/>
    <n v="167969"/>
    <n v="28"/>
    <n v="47031"/>
    <n v="215000"/>
    <n v="247669"/>
    <n v="71"/>
    <n v="6.6"/>
    <s v="Will likely switch brand"/>
    <s v="High"/>
  </r>
  <r>
    <s v="Bajaj"/>
    <s v="Pulsar 150"/>
    <n v="149"/>
    <x v="0"/>
    <x v="0"/>
    <x v="2"/>
    <n v="114"/>
    <n v="56.5"/>
    <n v="11.2"/>
    <n v="89062"/>
    <n v="28"/>
    <n v="24938"/>
    <n v="114000"/>
    <n v="135084"/>
    <n v="68"/>
    <n v="8.6999999999999993"/>
    <s v="Will likely switch brand"/>
    <s v="High"/>
  </r>
  <r>
    <s v="Bajaj"/>
    <s v="Pulsar NS200"/>
    <n v="199"/>
    <x v="0"/>
    <x v="2"/>
    <x v="0"/>
    <n v="126"/>
    <n v="41.4"/>
    <n v="10.7"/>
    <n v="115625"/>
    <n v="28"/>
    <n v="32375"/>
    <n v="148000"/>
    <n v="173555"/>
    <n v="75"/>
    <n v="7.6"/>
    <s v="Will likely switch brand"/>
    <s v="High"/>
  </r>
  <r>
    <s v="Honda"/>
    <s v="CD 110 Dream"/>
    <n v="109"/>
    <x v="1"/>
    <x v="4"/>
    <x v="1"/>
    <n v="92"/>
    <n v="75.3"/>
    <n v="8.3000000000000007"/>
    <n v="58594"/>
    <n v="28"/>
    <n v="16406"/>
    <n v="75000"/>
    <n v="88552"/>
    <n v="67"/>
    <n v="5.3"/>
    <s v="Will likely switch brand"/>
    <s v="High"/>
  </r>
  <r>
    <s v="Hero"/>
    <s v="Xtreme 125R"/>
    <n v="125"/>
    <x v="1"/>
    <x v="4"/>
    <x v="0"/>
    <n v="111"/>
    <n v="54.4"/>
    <n v="10.6"/>
    <n v="78906"/>
    <n v="28"/>
    <n v="22094"/>
    <n v="101000"/>
    <n v="118044"/>
    <n v="71"/>
    <n v="7.9"/>
    <s v="Will likely switch brand"/>
    <s v="High"/>
  </r>
  <r>
    <s v="Hero"/>
    <s v="Splendor Plus"/>
    <n v="97"/>
    <x v="1"/>
    <x v="0"/>
    <x v="1"/>
    <n v="99"/>
    <n v="65.3"/>
    <n v="8.9"/>
    <n v="61719"/>
    <n v="28"/>
    <n v="17281"/>
    <n v="79000"/>
    <n v="95549"/>
    <n v="56"/>
    <n v="8.8000000000000007"/>
    <s v="Will definitely switch"/>
    <s v="Very High"/>
  </r>
  <r>
    <s v="Yamaha"/>
    <s v="FZ-X"/>
    <n v="149"/>
    <x v="0"/>
    <x v="4"/>
    <x v="0"/>
    <n v="118"/>
    <n v="56.5"/>
    <n v="13"/>
    <n v="108594"/>
    <n v="28"/>
    <n v="30406"/>
    <n v="139000"/>
    <n v="165250"/>
    <n v="77"/>
    <n v="7.2"/>
    <s v="Will likely switch brand"/>
    <s v="High"/>
  </r>
  <r>
    <s v="Yamaha"/>
    <s v="FZS 25"/>
    <n v="249"/>
    <x v="0"/>
    <x v="5"/>
    <x v="0"/>
    <n v="156"/>
    <n v="34"/>
    <n v="16.100000000000001"/>
    <n v="128125"/>
    <n v="28"/>
    <n v="35875"/>
    <n v="164000"/>
    <n v="192861"/>
    <n v="72"/>
    <n v="9.8000000000000007"/>
    <s v="Will likely switch brand"/>
    <s v="High"/>
  </r>
  <r>
    <s v="TVS"/>
    <s v="Apache RTR 160 4V"/>
    <n v="159"/>
    <x v="0"/>
    <x v="2"/>
    <x v="0"/>
    <n v="127"/>
    <n v="38.4"/>
    <n v="10.9"/>
    <n v="100781"/>
    <n v="28"/>
    <n v="28219"/>
    <n v="129000"/>
    <n v="149557"/>
    <n v="72"/>
    <n v="10.7"/>
    <s v="Will definitely switch"/>
    <s v="Very High"/>
  </r>
  <r>
    <s v="KTM"/>
    <s v="Duke 390"/>
    <n v="373"/>
    <x v="2"/>
    <x v="0"/>
    <x v="0"/>
    <n v="184"/>
    <n v="23.8"/>
    <n v="19"/>
    <n v="232824"/>
    <n v="31"/>
    <n v="72176"/>
    <n v="305000"/>
    <n v="350553"/>
    <n v="80"/>
    <n v="14.2"/>
    <s v="Will definitely switch"/>
    <s v="Very High"/>
  </r>
  <r>
    <s v="Royal Enfield"/>
    <s v="Continental GT 650"/>
    <n v="648"/>
    <x v="2"/>
    <x v="1"/>
    <x v="1"/>
    <n v="186"/>
    <n v="23.9"/>
    <n v="18.600000000000001"/>
    <n v="258779"/>
    <n v="31"/>
    <n v="80221"/>
    <n v="339000"/>
    <n v="394695"/>
    <n v="71"/>
    <n v="11.5"/>
    <s v="Will definitely switch"/>
    <s v="Very High"/>
  </r>
  <r>
    <s v="Bajaj"/>
    <s v="Pulsar RS200"/>
    <n v="199"/>
    <x v="0"/>
    <x v="4"/>
    <x v="0"/>
    <n v="132"/>
    <n v="40.299999999999997"/>
    <n v="13.9"/>
    <n v="136719"/>
    <n v="28"/>
    <n v="38281"/>
    <n v="175000"/>
    <n v="201452"/>
    <n v="69"/>
    <n v="12.8"/>
    <s v="Will definitely switch"/>
    <s v="Very High"/>
  </r>
  <r>
    <s v="Suzuki"/>
    <s v="Gixxer SF"/>
    <n v="155"/>
    <x v="0"/>
    <x v="4"/>
    <x v="2"/>
    <n v="133"/>
    <n v="37.799999999999997"/>
    <n v="10.199999999999999"/>
    <n v="104688"/>
    <n v="28"/>
    <n v="29312"/>
    <n v="134000"/>
    <n v="154476"/>
    <n v="60"/>
    <n v="13.1"/>
    <s v="Will definitely switch"/>
    <s v="Very High"/>
  </r>
  <r>
    <s v="Royal Enfield"/>
    <s v="Continental GT 650"/>
    <n v="648"/>
    <x v="2"/>
    <x v="3"/>
    <x v="1"/>
    <n v="186"/>
    <n v="20.8"/>
    <n v="13.1"/>
    <n v="252672"/>
    <n v="31"/>
    <n v="78328"/>
    <n v="331000"/>
    <n v="379216"/>
    <n v="67"/>
    <n v="12.7"/>
    <s v="Will definitely switch"/>
    <s v="Very High"/>
  </r>
  <r>
    <s v="Suzuki"/>
    <s v="Gixxer 250"/>
    <n v="249"/>
    <x v="0"/>
    <x v="4"/>
    <x v="0"/>
    <n v="160"/>
    <n v="34.200000000000003"/>
    <n v="14.4"/>
    <n v="134375"/>
    <n v="28"/>
    <n v="37625"/>
    <n v="172000"/>
    <n v="200522"/>
    <n v="63"/>
    <n v="11.6"/>
    <s v="Will definitely switch"/>
    <s v="Very High"/>
  </r>
  <r>
    <s v="Hero"/>
    <s v="Passion Pro"/>
    <n v="110"/>
    <x v="1"/>
    <x v="5"/>
    <x v="2"/>
    <n v="91"/>
    <n v="71.099999999999994"/>
    <n v="8.3000000000000007"/>
    <n v="64062"/>
    <n v="28"/>
    <n v="17938"/>
    <n v="82000"/>
    <n v="95047"/>
    <n v="70"/>
    <n v="10.8"/>
    <s v="Will definitely switch"/>
    <s v="Very High"/>
  </r>
  <r>
    <s v="Honda"/>
    <s v="Hornet 2.0"/>
    <n v="184"/>
    <x v="0"/>
    <x v="3"/>
    <x v="0"/>
    <n v="129"/>
    <n v="37.200000000000003"/>
    <n v="11.6"/>
    <n v="114062"/>
    <n v="28"/>
    <n v="31938"/>
    <n v="146000"/>
    <n v="168295"/>
    <n v="78"/>
    <n v="10.5"/>
    <s v="Will definitely switch"/>
    <s v="Very High"/>
  </r>
  <r>
    <s v="Bajaj"/>
    <s v="Pulsar N160"/>
    <n v="160"/>
    <x v="0"/>
    <x v="0"/>
    <x v="0"/>
    <n v="129"/>
    <n v="44"/>
    <n v="13.2"/>
    <n v="94531"/>
    <n v="28"/>
    <n v="26469"/>
    <n v="121000"/>
    <n v="141588"/>
    <n v="77"/>
    <n v="9.4"/>
    <s v="Will likely switch brand"/>
    <s v="High"/>
  </r>
  <r>
    <s v="Hero"/>
    <s v="Xtreme 125R"/>
    <n v="125"/>
    <x v="1"/>
    <x v="0"/>
    <x v="0"/>
    <n v="105"/>
    <n v="56.9"/>
    <n v="11.7"/>
    <n v="79688"/>
    <n v="28"/>
    <n v="22312"/>
    <n v="102000"/>
    <n v="119796"/>
    <n v="71"/>
    <n v="12.5"/>
    <s v="Will definitely switch"/>
    <s v="Very High"/>
  </r>
  <r>
    <s v="Royal Enfield"/>
    <s v="Scram 411"/>
    <n v="411"/>
    <x v="2"/>
    <x v="1"/>
    <x v="2"/>
    <n v="193"/>
    <n v="20.3"/>
    <n v="18.399999999999999"/>
    <n v="167939"/>
    <n v="31"/>
    <n v="52061"/>
    <n v="220000"/>
    <n v="258388"/>
    <n v="80"/>
    <n v="4.8"/>
    <s v="Might reconsider"/>
    <s v="Medium"/>
  </r>
  <r>
    <s v="Yamaha"/>
    <s v="FZ-X"/>
    <n v="149"/>
    <x v="0"/>
    <x v="4"/>
    <x v="0"/>
    <n v="107"/>
    <n v="59.4"/>
    <n v="13"/>
    <n v="104688"/>
    <n v="28"/>
    <n v="29312"/>
    <n v="134000"/>
    <n v="156383"/>
    <n v="73"/>
    <n v="13.3"/>
    <s v="Will definitely switch"/>
    <s v="Very High"/>
  </r>
  <r>
    <s v="Royal Enfield"/>
    <s v="Continental GT 650"/>
    <n v="648"/>
    <x v="2"/>
    <x v="1"/>
    <x v="1"/>
    <n v="176"/>
    <n v="20.5"/>
    <n v="17.899999999999999"/>
    <n v="252672"/>
    <n v="31"/>
    <n v="78328"/>
    <n v="331000"/>
    <n v="380103"/>
    <n v="68"/>
    <n v="4.9000000000000004"/>
    <s v="Might reconsider"/>
    <s v="Medium"/>
  </r>
  <r>
    <s v="TVS"/>
    <s v="Apache RTR 160"/>
    <n v="159"/>
    <x v="0"/>
    <x v="2"/>
    <x v="2"/>
    <n v="135"/>
    <n v="44.2"/>
    <n v="11.9"/>
    <n v="94531"/>
    <n v="28"/>
    <n v="26469"/>
    <n v="121000"/>
    <n v="140261"/>
    <n v="67"/>
    <n v="11.6"/>
    <s v="Will definitely switch"/>
    <s v="Very High"/>
  </r>
  <r>
    <s v="Yamaha"/>
    <s v="R15 V4"/>
    <n v="155"/>
    <x v="0"/>
    <x v="3"/>
    <x v="0"/>
    <n v="129"/>
    <n v="43.9"/>
    <n v="12.2"/>
    <n v="139844"/>
    <n v="28"/>
    <n v="39156"/>
    <n v="179000"/>
    <n v="203523"/>
    <n v="77"/>
    <n v="9.1"/>
    <s v="Will likely switch brand"/>
    <s v="High"/>
  </r>
  <r>
    <s v="Royal Enfield"/>
    <s v="Thunderbird 350X"/>
    <n v="346"/>
    <x v="2"/>
    <x v="2"/>
    <x v="2"/>
    <n v="149"/>
    <n v="31.6"/>
    <n v="14.3"/>
    <n v="142969"/>
    <n v="28"/>
    <n v="40031"/>
    <n v="183000"/>
    <n v="214679"/>
    <n v="70"/>
    <n v="4.2"/>
    <s v="Might reconsider"/>
    <s v="Medium"/>
  </r>
  <r>
    <s v="Honda"/>
    <s v="CB200X"/>
    <n v="184"/>
    <x v="0"/>
    <x v="1"/>
    <x v="0"/>
    <n v="135"/>
    <n v="39.1"/>
    <n v="12.4"/>
    <n v="121875"/>
    <n v="28"/>
    <n v="34125"/>
    <n v="156000"/>
    <n v="184031"/>
    <n v="73"/>
    <n v="11.1"/>
    <s v="Will definitely switch"/>
    <s v="Very High"/>
  </r>
  <r>
    <s v="Honda"/>
    <s v="SP 125"/>
    <n v="124"/>
    <x v="1"/>
    <x v="0"/>
    <x v="0"/>
    <n v="109"/>
    <n v="48.6"/>
    <n v="12.2"/>
    <n v="80469"/>
    <n v="28"/>
    <n v="22531"/>
    <n v="103000"/>
    <n v="119532"/>
    <n v="70"/>
    <n v="1.6"/>
    <s v="Likely to buy"/>
    <s v="Low"/>
  </r>
  <r>
    <s v="Honda"/>
    <s v="CB300R"/>
    <n v="293"/>
    <x v="2"/>
    <x v="4"/>
    <x v="0"/>
    <n v="155"/>
    <n v="32.6"/>
    <n v="19.8"/>
    <n v="215625"/>
    <n v="28"/>
    <n v="60375"/>
    <n v="276000"/>
    <n v="317287"/>
    <n v="79"/>
    <n v="7.2"/>
    <s v="Will likely switch brand"/>
    <s v="High"/>
  </r>
  <r>
    <s v="TVS"/>
    <s v="Radeon"/>
    <n v="109"/>
    <x v="1"/>
    <x v="1"/>
    <x v="1"/>
    <n v="86"/>
    <n v="69.900000000000006"/>
    <n v="9.9"/>
    <n v="65625"/>
    <n v="28"/>
    <n v="18375"/>
    <n v="84000"/>
    <n v="99867"/>
    <n v="56"/>
    <n v="3.1"/>
    <s v="Might reconsider"/>
    <s v="Medium"/>
  </r>
  <r>
    <s v="Honda"/>
    <s v="CD 110 Dream"/>
    <n v="109"/>
    <x v="1"/>
    <x v="3"/>
    <x v="1"/>
    <n v="92"/>
    <n v="71.599999999999994"/>
    <n v="8.6"/>
    <n v="65625"/>
    <n v="28"/>
    <n v="18375"/>
    <n v="84000"/>
    <n v="99405"/>
    <n v="65"/>
    <n v="6.3"/>
    <s v="Will definitely switch"/>
    <s v="Very High"/>
  </r>
  <r>
    <s v="KTM"/>
    <s v="RC 200"/>
    <n v="199"/>
    <x v="0"/>
    <x v="2"/>
    <x v="0"/>
    <n v="126"/>
    <n v="46.5"/>
    <n v="10.3"/>
    <n v="162500"/>
    <n v="28"/>
    <n v="45500"/>
    <n v="208000"/>
    <n v="240989"/>
    <n v="84"/>
    <n v="4"/>
    <s v="Might reconsider"/>
    <s v="Medium"/>
  </r>
  <r>
    <s v="TVS"/>
    <s v="Sport"/>
    <n v="99"/>
    <x v="1"/>
    <x v="5"/>
    <x v="1"/>
    <n v="100"/>
    <n v="73.2"/>
    <n v="9.4"/>
    <n v="50000"/>
    <n v="28"/>
    <n v="14000"/>
    <n v="64000"/>
    <n v="75081"/>
    <n v="58"/>
    <n v="1.5"/>
    <s v="Likely to buy"/>
    <s v="Low"/>
  </r>
  <r>
    <s v="Yamaha"/>
    <s v="FZ-S V3"/>
    <n v="149"/>
    <x v="0"/>
    <x v="4"/>
    <x v="2"/>
    <n v="111"/>
    <n v="56.2"/>
    <n v="12.6"/>
    <n v="94531"/>
    <n v="28"/>
    <n v="26469"/>
    <n v="121000"/>
    <n v="140640"/>
    <n v="68"/>
    <n v="2.6"/>
    <s v="Might reconsider"/>
    <s v="Medium"/>
  </r>
  <r>
    <s v="TVS"/>
    <s v="Raider 125"/>
    <n v="124"/>
    <x v="1"/>
    <x v="2"/>
    <x v="0"/>
    <n v="114"/>
    <n v="56.3"/>
    <n v="11.2"/>
    <n v="78125"/>
    <n v="28"/>
    <n v="21875"/>
    <n v="100000"/>
    <n v="114876"/>
    <n v="70"/>
    <n v="2.7"/>
    <s v="Might reconsider"/>
    <s v="Medium"/>
  </r>
  <r>
    <s v="KTM"/>
    <s v="Duke 200"/>
    <n v="199"/>
    <x v="0"/>
    <x v="0"/>
    <x v="0"/>
    <n v="133"/>
    <n v="43"/>
    <n v="10.4"/>
    <n v="167188"/>
    <n v="28"/>
    <n v="46812"/>
    <n v="214000"/>
    <n v="246266"/>
    <n v="73"/>
    <n v="9.5"/>
    <s v="Will likely switch brand"/>
    <s v="High"/>
  </r>
  <r>
    <s v="Hero"/>
    <s v="Passion Pro"/>
    <n v="110"/>
    <x v="1"/>
    <x v="3"/>
    <x v="2"/>
    <n v="90"/>
    <n v="74.400000000000006"/>
    <n v="9.8000000000000007"/>
    <n v="67188"/>
    <n v="28"/>
    <n v="18812"/>
    <n v="86000"/>
    <n v="100400"/>
    <n v="70"/>
    <n v="8.3000000000000007"/>
    <s v="Will likely switch brand"/>
    <s v="High"/>
  </r>
  <r>
    <s v="Bajaj"/>
    <s v="Pulsar 125"/>
    <n v="124"/>
    <x v="1"/>
    <x v="0"/>
    <x v="2"/>
    <n v="118"/>
    <n v="54.6"/>
    <n v="13.4"/>
    <n v="80469"/>
    <n v="28"/>
    <n v="22531"/>
    <n v="103000"/>
    <n v="120176"/>
    <n v="62"/>
    <n v="5.5"/>
    <s v="Will definitely switch"/>
    <s v="Very High"/>
  </r>
  <r>
    <s v="Royal Enfield"/>
    <s v="Bullet 350"/>
    <n v="346"/>
    <x v="2"/>
    <x v="5"/>
    <x v="1"/>
    <n v="157"/>
    <n v="34.4"/>
    <n v="14.8"/>
    <n v="135156"/>
    <n v="28"/>
    <n v="37844"/>
    <n v="173000"/>
    <n v="201391"/>
    <n v="59"/>
    <n v="7.4"/>
    <s v="Will definitely switch"/>
    <s v="Very High"/>
  </r>
  <r>
    <s v="Honda"/>
    <s v="Hornet 2.0"/>
    <n v="184"/>
    <x v="0"/>
    <x v="4"/>
    <x v="0"/>
    <n v="137"/>
    <n v="43.6"/>
    <n v="12.1"/>
    <n v="117969"/>
    <n v="28"/>
    <n v="33031"/>
    <n v="151000"/>
    <n v="173609"/>
    <n v="76"/>
    <n v="6.8"/>
    <s v="Will likely switch brand"/>
    <s v="High"/>
  </r>
  <r>
    <s v="Yamaha"/>
    <s v="R15M"/>
    <n v="155"/>
    <x v="0"/>
    <x v="3"/>
    <x v="0"/>
    <n v="129"/>
    <n v="38.299999999999997"/>
    <n v="10.5"/>
    <n v="159375"/>
    <n v="28"/>
    <n v="44625"/>
    <n v="204000"/>
    <n v="237721"/>
    <n v="74"/>
    <n v="13.3"/>
    <s v="Will definitely switch"/>
    <s v="Very High"/>
  </r>
  <r>
    <s v="TVS"/>
    <s v="Sport"/>
    <n v="99"/>
    <x v="1"/>
    <x v="2"/>
    <x v="1"/>
    <n v="88"/>
    <n v="63.2"/>
    <n v="9.6999999999999993"/>
    <n v="54688"/>
    <n v="28"/>
    <n v="15312"/>
    <n v="70000"/>
    <n v="82260"/>
    <n v="61"/>
    <n v="14.3"/>
    <s v="Will definitely switch"/>
    <s v="Very High"/>
  </r>
  <r>
    <s v="Yamaha"/>
    <s v="R15M"/>
    <n v="155"/>
    <x v="0"/>
    <x v="4"/>
    <x v="0"/>
    <n v="135"/>
    <n v="45.4"/>
    <n v="11.5"/>
    <n v="167188"/>
    <n v="28"/>
    <n v="46812"/>
    <n v="214000"/>
    <n v="246758"/>
    <n v="76"/>
    <n v="7.4"/>
    <s v="Will likely switch brand"/>
    <s v="High"/>
  </r>
  <r>
    <s v="Yamaha"/>
    <s v="MT-03"/>
    <n v="321"/>
    <x v="2"/>
    <x v="0"/>
    <x v="0"/>
    <n v="165"/>
    <n v="30.8"/>
    <n v="15"/>
    <n v="373438"/>
    <n v="28"/>
    <n v="104562"/>
    <n v="478000"/>
    <n v="537556"/>
    <n v="78"/>
    <n v="4.7"/>
    <s v="Might reconsider"/>
    <s v="Medium"/>
  </r>
  <r>
    <s v="TVS"/>
    <s v="Apache RR 310"/>
    <n v="312"/>
    <x v="2"/>
    <x v="1"/>
    <x v="0"/>
    <n v="155"/>
    <n v="31.6"/>
    <n v="15.6"/>
    <n v="230469"/>
    <n v="28"/>
    <n v="64531"/>
    <n v="295000"/>
    <n v="340795"/>
    <n v="74"/>
    <n v="5.7"/>
    <s v="Will likely switch brand"/>
    <s v="High"/>
  </r>
  <r>
    <s v="Royal Enfield"/>
    <s v="Classic 350"/>
    <n v="349"/>
    <x v="2"/>
    <x v="2"/>
    <x v="2"/>
    <n v="164"/>
    <n v="30"/>
    <n v="16.3"/>
    <n v="161719"/>
    <n v="28"/>
    <n v="45281"/>
    <n v="207000"/>
    <n v="242447"/>
    <n v="72"/>
    <n v="1.6"/>
    <s v="Likely to buy"/>
    <s v="Low"/>
  </r>
  <r>
    <s v="Royal Enfield"/>
    <s v="Continental GT 650"/>
    <n v="648"/>
    <x v="2"/>
    <x v="1"/>
    <x v="1"/>
    <n v="162"/>
    <n v="22"/>
    <n v="15.3"/>
    <n v="254962"/>
    <n v="31"/>
    <n v="79038"/>
    <n v="334000"/>
    <n v="387712"/>
    <n v="65"/>
    <n v="8"/>
    <s v="Will definitely switch"/>
    <s v="Very High"/>
  </r>
  <r>
    <s v="Honda"/>
    <s v="SP 125"/>
    <n v="124"/>
    <x v="1"/>
    <x v="4"/>
    <x v="0"/>
    <n v="109"/>
    <n v="48.6"/>
    <n v="10.3"/>
    <n v="81250"/>
    <n v="28"/>
    <n v="22750"/>
    <n v="104000"/>
    <n v="122237"/>
    <n v="72"/>
    <n v="13.2"/>
    <s v="Will definitely switch"/>
    <s v="Very High"/>
  </r>
  <r>
    <s v="TVS"/>
    <s v="Jupiter 110"/>
    <n v="109"/>
    <x v="1"/>
    <x v="3"/>
    <x v="2"/>
    <n v="97"/>
    <n v="75.900000000000006"/>
    <n v="9.6999999999999993"/>
    <n v="60938"/>
    <n v="28"/>
    <n v="17062"/>
    <n v="78000"/>
    <n v="93100"/>
    <n v="66"/>
    <n v="9.8000000000000007"/>
    <s v="Will definitely switch"/>
    <s v="Very High"/>
  </r>
  <r>
    <s v="Hero"/>
    <s v="Super Splendor"/>
    <n v="125"/>
    <x v="1"/>
    <x v="2"/>
    <x v="2"/>
    <n v="107"/>
    <n v="61.6"/>
    <n v="12.8"/>
    <n v="71875"/>
    <n v="28"/>
    <n v="20125"/>
    <n v="92000"/>
    <n v="107420"/>
    <n v="69"/>
    <n v="14.7"/>
    <s v="Will definitely switch"/>
    <s v="Very High"/>
  </r>
  <r>
    <s v="Honda"/>
    <s v="SP 125"/>
    <n v="124"/>
    <x v="1"/>
    <x v="3"/>
    <x v="0"/>
    <n v="106"/>
    <n v="52.7"/>
    <n v="10.6"/>
    <n v="75781"/>
    <n v="28"/>
    <n v="21219"/>
    <n v="97000"/>
    <n v="114303"/>
    <n v="70"/>
    <n v="6"/>
    <s v="Will likely switch brand"/>
    <s v="High"/>
  </r>
  <r>
    <s v="Suzuki"/>
    <s v="Gixxer"/>
    <n v="155"/>
    <x v="0"/>
    <x v="3"/>
    <x v="2"/>
    <n v="132"/>
    <n v="37.799999999999997"/>
    <n v="13.7"/>
    <n v="103906"/>
    <n v="28"/>
    <n v="29094"/>
    <n v="133000"/>
    <n v="154453"/>
    <n v="67"/>
    <n v="10.6"/>
    <s v="Will definitely switch"/>
    <s v="Very High"/>
  </r>
  <r>
    <s v="Honda"/>
    <s v="CB350RS"/>
    <n v="348"/>
    <x v="2"/>
    <x v="2"/>
    <x v="0"/>
    <n v="165"/>
    <n v="28.2"/>
    <n v="16.8"/>
    <n v="164844"/>
    <n v="28"/>
    <n v="46156"/>
    <n v="211000"/>
    <n v="246264"/>
    <n v="79"/>
    <n v="13.6"/>
    <s v="Will definitely switch"/>
    <s v="Very High"/>
  </r>
  <r>
    <s v="Hero"/>
    <s v="Mavrick 440"/>
    <n v="440"/>
    <x v="2"/>
    <x v="5"/>
    <x v="0"/>
    <n v="204"/>
    <n v="24.4"/>
    <n v="14.4"/>
    <n v="170229"/>
    <n v="31"/>
    <n v="52771"/>
    <n v="223000"/>
    <n v="257850"/>
    <n v="79"/>
    <n v="7.4"/>
    <s v="Will likely switch brand"/>
    <s v="High"/>
  </r>
  <r>
    <s v="Royal Enfield"/>
    <s v="Interceptor 650"/>
    <n v="648"/>
    <x v="2"/>
    <x v="2"/>
    <x v="1"/>
    <n v="204"/>
    <n v="22.4"/>
    <n v="15.8"/>
    <n v="261832"/>
    <n v="31"/>
    <n v="81168"/>
    <n v="343000"/>
    <n v="388279"/>
    <n v="67"/>
    <n v="1.3"/>
    <s v="Likely to buy"/>
    <s v="Low"/>
  </r>
  <r>
    <s v="Hero"/>
    <s v="HF Deluxe"/>
    <n v="97"/>
    <x v="1"/>
    <x v="4"/>
    <x v="1"/>
    <n v="100"/>
    <n v="76.900000000000006"/>
    <n v="9.1999999999999993"/>
    <n v="55469"/>
    <n v="28"/>
    <n v="15531"/>
    <n v="71000"/>
    <n v="84015"/>
    <n v="60"/>
    <n v="11.9"/>
    <s v="Will definitely switch"/>
    <s v="Very High"/>
  </r>
  <r>
    <s v="Royal Enfield"/>
    <s v="Himalayan 450"/>
    <n v="452"/>
    <x v="2"/>
    <x v="2"/>
    <x v="0"/>
    <n v="203"/>
    <n v="23.4"/>
    <n v="17.5"/>
    <n v="207634"/>
    <n v="31"/>
    <n v="64366"/>
    <n v="272000"/>
    <n v="310304"/>
    <n v="79"/>
    <n v="9.8000000000000007"/>
    <s v="Will likely switch brand"/>
    <s v="High"/>
  </r>
  <r>
    <s v="TVS"/>
    <s v="Ronin"/>
    <n v="225"/>
    <x v="0"/>
    <x v="4"/>
    <x v="0"/>
    <n v="149"/>
    <n v="28.9"/>
    <n v="14.4"/>
    <n v="135156"/>
    <n v="28"/>
    <n v="37844"/>
    <n v="173000"/>
    <n v="196061"/>
    <n v="69"/>
    <n v="11.5"/>
    <s v="Will definitely switch"/>
    <s v="Very High"/>
  </r>
  <r>
    <s v="Suzuki"/>
    <s v="Gixxer 250"/>
    <n v="249"/>
    <x v="0"/>
    <x v="5"/>
    <x v="0"/>
    <n v="148"/>
    <n v="34.5"/>
    <n v="18.2"/>
    <n v="153125"/>
    <n v="28"/>
    <n v="42875"/>
    <n v="196000"/>
    <n v="225511"/>
    <n v="70"/>
    <n v="14.5"/>
    <s v="Will definitely switch"/>
    <s v="Very High"/>
  </r>
  <r>
    <s v="Royal Enfield"/>
    <s v="Hunter 350"/>
    <n v="349"/>
    <x v="2"/>
    <x v="1"/>
    <x v="2"/>
    <n v="163"/>
    <n v="34.799999999999997"/>
    <n v="15.6"/>
    <n v="135156"/>
    <n v="28"/>
    <n v="37844"/>
    <n v="173000"/>
    <n v="198455"/>
    <n v="76"/>
    <n v="14.7"/>
    <s v="Will definitely switch"/>
    <s v="Very High"/>
  </r>
  <r>
    <s v="KTM"/>
    <s v="Duke 125"/>
    <n v="124"/>
    <x v="0"/>
    <x v="2"/>
    <x v="0"/>
    <n v="113"/>
    <n v="58.3"/>
    <n v="13.8"/>
    <n v="125781"/>
    <n v="28"/>
    <n v="35219"/>
    <n v="161000"/>
    <n v="188385"/>
    <n v="79"/>
    <n v="6.3"/>
    <s v="Will likely switch brand"/>
    <s v="High"/>
  </r>
  <r>
    <s v="Honda"/>
    <s v="Unicorn"/>
    <n v="160"/>
    <x v="0"/>
    <x v="2"/>
    <x v="2"/>
    <n v="139"/>
    <n v="40.299999999999997"/>
    <n v="13.3"/>
    <n v="92188"/>
    <n v="28"/>
    <n v="25812"/>
    <n v="118000"/>
    <n v="138967"/>
    <n v="65"/>
    <n v="10.1"/>
    <s v="Will definitely switch"/>
    <s v="Very High"/>
  </r>
  <r>
    <s v="TVS"/>
    <s v="Apache RR 310"/>
    <n v="312"/>
    <x v="2"/>
    <x v="1"/>
    <x v="0"/>
    <n v="155"/>
    <n v="30.5"/>
    <n v="13.9"/>
    <n v="224219"/>
    <n v="28"/>
    <n v="62781"/>
    <n v="287000"/>
    <n v="322322"/>
    <n v="70"/>
    <n v="2.4"/>
    <s v="Might reconsider"/>
    <s v="Medium"/>
  </r>
  <r>
    <s v="Yamaha"/>
    <s v="FZ-S V3"/>
    <n v="149"/>
    <x v="0"/>
    <x v="3"/>
    <x v="2"/>
    <n v="109"/>
    <n v="53.9"/>
    <n v="12.5"/>
    <n v="99219"/>
    <n v="28"/>
    <n v="27781"/>
    <n v="127000"/>
    <n v="151774"/>
    <n v="68"/>
    <n v="10.199999999999999"/>
    <s v="Will definitely switch"/>
    <s v="Very High"/>
  </r>
  <r>
    <s v="TVS"/>
    <s v="Apache RTR 160"/>
    <n v="159"/>
    <x v="0"/>
    <x v="2"/>
    <x v="2"/>
    <n v="123"/>
    <n v="45.6"/>
    <n v="11.4"/>
    <n v="86719"/>
    <n v="28"/>
    <n v="24281"/>
    <n v="111000"/>
    <n v="128806"/>
    <n v="75"/>
    <n v="6.1"/>
    <s v="Will likely switch brand"/>
    <s v="High"/>
  </r>
  <r>
    <s v="KTM"/>
    <s v="Duke 125"/>
    <n v="124"/>
    <x v="0"/>
    <x v="0"/>
    <x v="0"/>
    <n v="111"/>
    <n v="49.6"/>
    <n v="10.199999999999999"/>
    <n v="132031"/>
    <n v="28"/>
    <n v="36969"/>
    <n v="169000"/>
    <n v="201205"/>
    <n v="80"/>
    <n v="10"/>
    <s v="Will likely switch brand"/>
    <s v="High"/>
  </r>
  <r>
    <s v="Royal Enfield"/>
    <s v="Bullet 350"/>
    <n v="346"/>
    <x v="2"/>
    <x v="4"/>
    <x v="1"/>
    <n v="157"/>
    <n v="34.5"/>
    <n v="15.3"/>
    <n v="131250"/>
    <n v="28"/>
    <n v="36750"/>
    <n v="168000"/>
    <n v="191504"/>
    <n v="62"/>
    <n v="9.1999999999999993"/>
    <s v="Will definitely switch"/>
    <s v="Very High"/>
  </r>
  <r>
    <s v="Honda"/>
    <s v="CB350RS"/>
    <n v="348"/>
    <x v="2"/>
    <x v="0"/>
    <x v="0"/>
    <n v="157"/>
    <n v="35.700000000000003"/>
    <n v="17.600000000000001"/>
    <n v="179688"/>
    <n v="28"/>
    <n v="50312"/>
    <n v="230000"/>
    <n v="264650"/>
    <n v="82"/>
    <n v="12.2"/>
    <s v="Will definitely switch"/>
    <s v="Very High"/>
  </r>
  <r>
    <s v="Hero"/>
    <s v="Glamour"/>
    <n v="125"/>
    <x v="1"/>
    <x v="2"/>
    <x v="2"/>
    <n v="110"/>
    <n v="52.7"/>
    <n v="11.7"/>
    <n v="69531"/>
    <n v="28"/>
    <n v="19469"/>
    <n v="89000"/>
    <n v="105880"/>
    <n v="62"/>
    <n v="1.7"/>
    <s v="Likely to buy"/>
    <s v="Low"/>
  </r>
  <r>
    <s v="Honda"/>
    <s v="Hornet 2.0"/>
    <n v="184"/>
    <x v="0"/>
    <x v="1"/>
    <x v="0"/>
    <n v="134"/>
    <n v="42.9"/>
    <n v="10.199999999999999"/>
    <n v="114062"/>
    <n v="28"/>
    <n v="31938"/>
    <n v="146000"/>
    <n v="171215"/>
    <n v="77"/>
    <n v="4.0999999999999996"/>
    <s v="Might reconsider"/>
    <s v="Medium"/>
  </r>
  <r>
    <s v="Suzuki"/>
    <s v="Access 125"/>
    <n v="124"/>
    <x v="1"/>
    <x v="2"/>
    <x v="2"/>
    <n v="118"/>
    <n v="59.6"/>
    <n v="13.6"/>
    <n v="67969"/>
    <n v="28"/>
    <n v="19031"/>
    <n v="87000"/>
    <n v="102824"/>
    <n v="65"/>
    <n v="2.5"/>
    <s v="Might reconsider"/>
    <s v="Medium"/>
  </r>
  <r>
    <s v="Hero"/>
    <s v="Mavrick 440"/>
    <n v="440"/>
    <x v="2"/>
    <x v="5"/>
    <x v="0"/>
    <n v="200"/>
    <n v="20.8"/>
    <n v="15.7"/>
    <n v="182443"/>
    <n v="31"/>
    <n v="56557"/>
    <n v="239000"/>
    <n v="271594"/>
    <n v="84"/>
    <n v="8.6999999999999993"/>
    <s v="Will likely switch brand"/>
    <s v="High"/>
  </r>
  <r>
    <s v="Suzuki"/>
    <s v="Gixxer"/>
    <n v="155"/>
    <x v="0"/>
    <x v="1"/>
    <x v="2"/>
    <n v="140"/>
    <n v="38.1"/>
    <n v="12.9"/>
    <n v="102344"/>
    <n v="28"/>
    <n v="28656"/>
    <n v="131000"/>
    <n v="154060"/>
    <n v="68"/>
    <n v="13.3"/>
    <s v="Will definitely switch"/>
    <s v="Very High"/>
  </r>
  <r>
    <s v="Bajaj"/>
    <s v="Pulsar N250"/>
    <n v="249"/>
    <x v="0"/>
    <x v="5"/>
    <x v="0"/>
    <n v="163"/>
    <n v="31.2"/>
    <n v="17.7"/>
    <n v="127344"/>
    <n v="28"/>
    <n v="35656"/>
    <n v="163000"/>
    <n v="191926"/>
    <n v="66"/>
    <n v="5.4"/>
    <s v="Will definitely switch"/>
    <s v="Very High"/>
  </r>
  <r>
    <s v="Royal Enfield"/>
    <s v="Guerrilla 450"/>
    <n v="452"/>
    <x v="2"/>
    <x v="2"/>
    <x v="0"/>
    <n v="165"/>
    <n v="23.8"/>
    <n v="15.6"/>
    <n v="237405"/>
    <n v="31"/>
    <n v="73595"/>
    <n v="311000"/>
    <n v="359077"/>
    <n v="83"/>
    <n v="2.4"/>
    <s v="Might reconsider"/>
    <s v="Medium"/>
  </r>
  <r>
    <s v="Honda"/>
    <s v="CB300R"/>
    <n v="293"/>
    <x v="2"/>
    <x v="3"/>
    <x v="0"/>
    <n v="153"/>
    <n v="33.299999999999997"/>
    <n v="19.100000000000001"/>
    <n v="212500"/>
    <n v="28"/>
    <n v="59500"/>
    <n v="272000"/>
    <n v="314706"/>
    <n v="77"/>
    <n v="13.2"/>
    <s v="Will definitely switch"/>
    <s v="Very High"/>
  </r>
  <r>
    <s v="Hero"/>
    <s v="Xtreme 160R"/>
    <n v="163"/>
    <x v="0"/>
    <x v="0"/>
    <x v="0"/>
    <n v="124"/>
    <n v="42.1"/>
    <n v="11.4"/>
    <n v="113281"/>
    <n v="28"/>
    <n v="31719"/>
    <n v="145000"/>
    <n v="169819"/>
    <n v="78"/>
    <n v="7.8"/>
    <s v="Will likely switch brand"/>
    <s v="High"/>
  </r>
  <r>
    <s v="Suzuki"/>
    <s v="V-Strom SX"/>
    <n v="249"/>
    <x v="2"/>
    <x v="2"/>
    <x v="0"/>
    <n v="164"/>
    <n v="34.700000000000003"/>
    <n v="16.899999999999999"/>
    <n v="167969"/>
    <n v="28"/>
    <n v="47031"/>
    <n v="215000"/>
    <n v="251434"/>
    <n v="77"/>
    <n v="9.6"/>
    <s v="Will likely switch brand"/>
    <s v="High"/>
  </r>
  <r>
    <s v="TVS"/>
    <s v="Raider 125"/>
    <n v="124"/>
    <x v="1"/>
    <x v="3"/>
    <x v="0"/>
    <n v="110"/>
    <n v="53"/>
    <n v="10.3"/>
    <n v="68750"/>
    <n v="28"/>
    <n v="19250"/>
    <n v="88000"/>
    <n v="103375"/>
    <n v="65"/>
    <n v="8.9"/>
    <s v="Will definitely switch"/>
    <s v="Very High"/>
  </r>
  <r>
    <s v="Hero"/>
    <s v="Glamour"/>
    <n v="125"/>
    <x v="1"/>
    <x v="1"/>
    <x v="2"/>
    <n v="116"/>
    <n v="52.9"/>
    <n v="12.4"/>
    <n v="69531"/>
    <n v="28"/>
    <n v="19469"/>
    <n v="89000"/>
    <n v="105206"/>
    <n v="62"/>
    <n v="11.1"/>
    <s v="Will definitely switch"/>
    <s v="Very High"/>
  </r>
  <r>
    <s v="Hero"/>
    <s v="Xtreme 160R"/>
    <n v="163"/>
    <x v="0"/>
    <x v="3"/>
    <x v="0"/>
    <n v="133"/>
    <n v="39.700000000000003"/>
    <n v="11.1"/>
    <n v="100000"/>
    <n v="28"/>
    <n v="28000"/>
    <n v="128000"/>
    <n v="148404"/>
    <n v="75"/>
    <n v="9.5"/>
    <s v="Will likely switch brand"/>
    <s v="High"/>
  </r>
  <r>
    <s v="Yamaha"/>
    <s v="MT-03"/>
    <n v="321"/>
    <x v="2"/>
    <x v="4"/>
    <x v="0"/>
    <n v="156"/>
    <n v="32.700000000000003"/>
    <n v="15.8"/>
    <n v="337500"/>
    <n v="28"/>
    <n v="94500"/>
    <n v="432000"/>
    <n v="494175"/>
    <n v="80"/>
    <n v="5.3"/>
    <s v="Will likely switch brand"/>
    <s v="High"/>
  </r>
  <r>
    <s v="Hero"/>
    <s v="Xpulse 200"/>
    <n v="199"/>
    <x v="0"/>
    <x v="3"/>
    <x v="0"/>
    <n v="129"/>
    <n v="44.7"/>
    <n v="13"/>
    <n v="104688"/>
    <n v="28"/>
    <n v="29312"/>
    <n v="134000"/>
    <n v="153484"/>
    <n v="73"/>
    <n v="2.7"/>
    <s v="Might reconsider"/>
    <s v="Medium"/>
  </r>
  <r>
    <s v="Bajaj"/>
    <s v="Platina 110 H-Gear"/>
    <n v="115"/>
    <x v="1"/>
    <x v="2"/>
    <x v="2"/>
    <n v="116"/>
    <n v="59.4"/>
    <n v="10.199999999999999"/>
    <n v="58594"/>
    <n v="28"/>
    <n v="16406"/>
    <n v="75000"/>
    <n v="89481"/>
    <n v="58"/>
    <n v="6.6"/>
    <s v="Will definitely switch"/>
    <s v="Very High"/>
  </r>
  <r>
    <s v="Hero"/>
    <s v="Passion Pro"/>
    <n v="110"/>
    <x v="1"/>
    <x v="0"/>
    <x v="2"/>
    <n v="98"/>
    <n v="71.2"/>
    <n v="9.9"/>
    <n v="61719"/>
    <n v="28"/>
    <n v="17281"/>
    <n v="79000"/>
    <n v="92189"/>
    <n v="67"/>
    <n v="2.6"/>
    <s v="Might reconsider"/>
    <s v="Medium"/>
  </r>
  <r>
    <s v="Bajaj"/>
    <s v="Platina 100"/>
    <n v="102"/>
    <x v="1"/>
    <x v="3"/>
    <x v="1"/>
    <n v="88"/>
    <n v="63.1"/>
    <n v="9"/>
    <n v="55469"/>
    <n v="28"/>
    <n v="15531"/>
    <n v="71000"/>
    <n v="85229"/>
    <n v="58"/>
    <n v="7.1"/>
    <s v="Will definitely switch"/>
    <s v="Very High"/>
  </r>
  <r>
    <s v="KTM"/>
    <s v="Duke 125"/>
    <n v="124"/>
    <x v="0"/>
    <x v="5"/>
    <x v="0"/>
    <n v="108"/>
    <n v="49.4"/>
    <n v="11.4"/>
    <n v="144531"/>
    <n v="28"/>
    <n v="40469"/>
    <n v="185000"/>
    <n v="214377"/>
    <n v="78"/>
    <n v="8.1"/>
    <s v="Will likely switch brand"/>
    <s v="High"/>
  </r>
  <r>
    <s v="Honda"/>
    <s v="CB350RS"/>
    <n v="348"/>
    <x v="2"/>
    <x v="2"/>
    <x v="0"/>
    <n v="164"/>
    <n v="29.3"/>
    <n v="16.5"/>
    <n v="164844"/>
    <n v="28"/>
    <n v="46156"/>
    <n v="211000"/>
    <n v="240745"/>
    <n v="82"/>
    <n v="2.1"/>
    <s v="Might reconsider"/>
    <s v="Medium"/>
  </r>
  <r>
    <s v="Yamaha"/>
    <s v="Saluto RX"/>
    <n v="113"/>
    <x v="1"/>
    <x v="3"/>
    <x v="1"/>
    <n v="115"/>
    <n v="52.7"/>
    <n v="11.8"/>
    <n v="60156"/>
    <n v="28"/>
    <n v="16844"/>
    <n v="77000"/>
    <n v="93735"/>
    <n v="52"/>
    <n v="7.2"/>
    <s v="Will definitely switch"/>
    <s v="Very High"/>
  </r>
  <r>
    <s v="TVS"/>
    <s v="Apache RR 310"/>
    <n v="312"/>
    <x v="2"/>
    <x v="5"/>
    <x v="0"/>
    <n v="154"/>
    <n v="30.5"/>
    <n v="13.5"/>
    <n v="228906"/>
    <n v="28"/>
    <n v="64094"/>
    <n v="293000"/>
    <n v="336527"/>
    <n v="69"/>
    <n v="1.8"/>
    <s v="Likely to buy"/>
    <s v="Low"/>
  </r>
  <r>
    <s v="Honda"/>
    <s v="Shine"/>
    <n v="124"/>
    <x v="1"/>
    <x v="1"/>
    <x v="2"/>
    <n v="106"/>
    <n v="61"/>
    <n v="12.6"/>
    <n v="71875"/>
    <n v="28"/>
    <n v="20125"/>
    <n v="92000"/>
    <n v="109107"/>
    <n v="71"/>
    <n v="13.7"/>
    <s v="Will definitely switch"/>
    <s v="Very High"/>
  </r>
  <r>
    <s v="Royal Enfield"/>
    <s v="Classic 350"/>
    <n v="349"/>
    <x v="2"/>
    <x v="4"/>
    <x v="2"/>
    <n v="150"/>
    <n v="29"/>
    <n v="13.3"/>
    <n v="154688"/>
    <n v="28"/>
    <n v="43312"/>
    <n v="198000"/>
    <n v="231388"/>
    <n v="67"/>
    <n v="8.1"/>
    <s v="Will likely switch brand"/>
    <s v="High"/>
  </r>
  <r>
    <s v="KTM"/>
    <s v="Adventure 390"/>
    <n v="373"/>
    <x v="2"/>
    <x v="5"/>
    <x v="0"/>
    <n v="178"/>
    <n v="21.3"/>
    <n v="17.8"/>
    <n v="296183"/>
    <n v="31"/>
    <n v="91817"/>
    <n v="388000"/>
    <n v="447036"/>
    <n v="77"/>
    <n v="6.7"/>
    <s v="Will likely switch brand"/>
    <s v="High"/>
  </r>
  <r>
    <s v="Hero"/>
    <s v="Xtreme 160R"/>
    <n v="163"/>
    <x v="0"/>
    <x v="2"/>
    <x v="0"/>
    <n v="132"/>
    <n v="42.6"/>
    <n v="13.9"/>
    <n v="110156"/>
    <n v="28"/>
    <n v="30844"/>
    <n v="141000"/>
    <n v="162734"/>
    <n v="72"/>
    <n v="4.5"/>
    <s v="Might reconsider"/>
    <s v="Medium"/>
  </r>
  <r>
    <s v="Honda"/>
    <s v="CB500X"/>
    <n v="471"/>
    <x v="2"/>
    <x v="1"/>
    <x v="0"/>
    <n v="201"/>
    <n v="21"/>
    <n v="18"/>
    <n v="431298"/>
    <n v="31"/>
    <n v="133702"/>
    <n v="565000"/>
    <n v="645350"/>
    <n v="86"/>
    <n v="6.5"/>
    <s v="Will likely switch brand"/>
    <s v="High"/>
  </r>
  <r>
    <s v="Honda"/>
    <s v="CD 110 Dream"/>
    <n v="109"/>
    <x v="1"/>
    <x v="1"/>
    <x v="1"/>
    <n v="87"/>
    <n v="72.900000000000006"/>
    <n v="8.6999999999999993"/>
    <n v="59375"/>
    <n v="28"/>
    <n v="16625"/>
    <n v="76000"/>
    <n v="89231"/>
    <n v="67"/>
    <n v="10.4"/>
    <s v="Will definitely switch"/>
    <s v="Very High"/>
  </r>
  <r>
    <s v="Royal Enfield"/>
    <s v="Scram 411"/>
    <n v="411"/>
    <x v="2"/>
    <x v="0"/>
    <x v="2"/>
    <n v="168"/>
    <n v="20.399999999999999"/>
    <n v="16.600000000000001"/>
    <n v="158779"/>
    <n v="31"/>
    <n v="49221"/>
    <n v="208000"/>
    <n v="244206"/>
    <n v="72"/>
    <n v="2.1"/>
    <s v="Might reconsider"/>
    <s v="Medium"/>
  </r>
  <r>
    <s v="Suzuki"/>
    <s v="Gixxer 250"/>
    <n v="249"/>
    <x v="0"/>
    <x v="4"/>
    <x v="0"/>
    <n v="159"/>
    <n v="34.9"/>
    <n v="14.1"/>
    <n v="152344"/>
    <n v="28"/>
    <n v="42656"/>
    <n v="195000"/>
    <n v="226869"/>
    <n v="65"/>
    <n v="9.4"/>
    <s v="Will definitely switch"/>
    <s v="Very High"/>
  </r>
  <r>
    <s v="Bajaj"/>
    <s v="Platina 100"/>
    <n v="102"/>
    <x v="1"/>
    <x v="2"/>
    <x v="1"/>
    <n v="99"/>
    <n v="65.599999999999994"/>
    <n v="9.6"/>
    <n v="54688"/>
    <n v="28"/>
    <n v="15312"/>
    <n v="70000"/>
    <n v="83279"/>
    <n v="64"/>
    <n v="5"/>
    <s v="Might reconsider"/>
    <s v="Medium"/>
  </r>
  <r>
    <s v="Bajaj"/>
    <s v="Dominar 400"/>
    <n v="373"/>
    <x v="2"/>
    <x v="1"/>
    <x v="0"/>
    <n v="172"/>
    <n v="24.1"/>
    <n v="19.899999999999999"/>
    <n v="183969"/>
    <n v="31"/>
    <n v="57031"/>
    <n v="241000"/>
    <n v="278312"/>
    <n v="75"/>
    <n v="10.5"/>
    <s v="Will definitely switch"/>
    <s v="Very High"/>
  </r>
  <r>
    <s v="Yamaha"/>
    <s v="FZ-X"/>
    <n v="149"/>
    <x v="0"/>
    <x v="5"/>
    <x v="0"/>
    <n v="111"/>
    <n v="61.2"/>
    <n v="10.199999999999999"/>
    <n v="110156"/>
    <n v="28"/>
    <n v="30844"/>
    <n v="141000"/>
    <n v="166031"/>
    <n v="83"/>
    <n v="2.9"/>
    <s v="Might reconsider"/>
    <s v="Medium"/>
  </r>
  <r>
    <s v="Yamaha"/>
    <s v="MT-15 V2"/>
    <n v="155"/>
    <x v="0"/>
    <x v="5"/>
    <x v="0"/>
    <n v="129"/>
    <n v="45.5"/>
    <n v="11.8"/>
    <n v="140625"/>
    <n v="28"/>
    <n v="39375"/>
    <n v="180000"/>
    <n v="208275"/>
    <n v="74"/>
    <n v="11.7"/>
    <s v="Will definitely switch"/>
    <s v="Very High"/>
  </r>
  <r>
    <s v="Yamaha"/>
    <s v="MT-03"/>
    <n v="321"/>
    <x v="2"/>
    <x v="3"/>
    <x v="0"/>
    <n v="151"/>
    <n v="34.4"/>
    <n v="16.5"/>
    <n v="339062"/>
    <n v="28"/>
    <n v="94938"/>
    <n v="434000"/>
    <n v="500458"/>
    <n v="70"/>
    <n v="6.8"/>
    <s v="Will likely switch brand"/>
    <s v="High"/>
  </r>
  <r>
    <s v="TVS"/>
    <s v="Sport"/>
    <n v="99"/>
    <x v="1"/>
    <x v="5"/>
    <x v="1"/>
    <n v="95"/>
    <n v="77.2"/>
    <n v="9.8000000000000007"/>
    <n v="52344"/>
    <n v="28"/>
    <n v="14656"/>
    <n v="67000"/>
    <n v="78195"/>
    <n v="56"/>
    <n v="2.9"/>
    <s v="Might reconsider"/>
    <s v="Medium"/>
  </r>
  <r>
    <s v="Yamaha"/>
    <s v="FZS 25"/>
    <n v="249"/>
    <x v="0"/>
    <x v="4"/>
    <x v="0"/>
    <n v="142"/>
    <n v="32.9"/>
    <n v="16.8"/>
    <n v="132812"/>
    <n v="28"/>
    <n v="37188"/>
    <n v="170000"/>
    <n v="195880"/>
    <n v="65"/>
    <n v="4.5999999999999996"/>
    <s v="Might reconsider"/>
    <s v="Medium"/>
  </r>
  <r>
    <s v="Suzuki"/>
    <s v="Gixxer"/>
    <n v="155"/>
    <x v="0"/>
    <x v="3"/>
    <x v="2"/>
    <n v="133"/>
    <n v="37.4"/>
    <n v="10.3"/>
    <n v="103906"/>
    <n v="28"/>
    <n v="29094"/>
    <n v="133000"/>
    <n v="154890"/>
    <n v="68"/>
    <n v="12.1"/>
    <s v="Will definitely switch"/>
    <s v="Very High"/>
  </r>
  <r>
    <s v="Yamaha"/>
    <s v="R15M"/>
    <n v="155"/>
    <x v="0"/>
    <x v="5"/>
    <x v="0"/>
    <n v="129"/>
    <n v="44.2"/>
    <n v="11"/>
    <n v="158594"/>
    <n v="28"/>
    <n v="44406"/>
    <n v="203000"/>
    <n v="230546"/>
    <n v="73"/>
    <n v="1"/>
    <s v="Likely to buy"/>
    <s v="Low"/>
  </r>
  <r>
    <s v="KTM"/>
    <s v="Duke 390"/>
    <n v="373"/>
    <x v="2"/>
    <x v="1"/>
    <x v="0"/>
    <n v="193"/>
    <n v="19.7"/>
    <n v="16.899999999999999"/>
    <n v="224427"/>
    <n v="31"/>
    <n v="69573"/>
    <n v="294000"/>
    <n v="340753"/>
    <n v="79"/>
    <n v="8.1"/>
    <s v="Will likely switch brand"/>
    <s v="High"/>
  </r>
  <r>
    <s v="Royal Enfield"/>
    <s v="Interceptor 650"/>
    <n v="648"/>
    <x v="2"/>
    <x v="5"/>
    <x v="1"/>
    <n v="161"/>
    <n v="20.7"/>
    <n v="14.7"/>
    <n v="262595"/>
    <n v="31"/>
    <n v="81405"/>
    <n v="344000"/>
    <n v="388630"/>
    <n v="68"/>
    <n v="12"/>
    <s v="Will definitely switch"/>
    <s v="Very High"/>
  </r>
  <r>
    <s v="Honda"/>
    <s v="Unicorn"/>
    <n v="160"/>
    <x v="0"/>
    <x v="2"/>
    <x v="2"/>
    <n v="130"/>
    <n v="40.5"/>
    <n v="11.9"/>
    <n v="93750"/>
    <n v="28"/>
    <n v="26250"/>
    <n v="120000"/>
    <n v="139708"/>
    <n v="72"/>
    <n v="3.5"/>
    <s v="Might reconsider"/>
    <s v="Medium"/>
  </r>
  <r>
    <s v="Yamaha"/>
    <s v="MT-15 V2"/>
    <n v="155"/>
    <x v="0"/>
    <x v="0"/>
    <x v="0"/>
    <n v="126"/>
    <n v="37.299999999999997"/>
    <n v="11.3"/>
    <n v="135938"/>
    <n v="28"/>
    <n v="38062"/>
    <n v="174000"/>
    <n v="202882"/>
    <n v="67"/>
    <n v="12.1"/>
    <s v="Will definitely switch"/>
    <s v="Very High"/>
  </r>
  <r>
    <s v="TVS"/>
    <s v="Ronin"/>
    <n v="225"/>
    <x v="0"/>
    <x v="0"/>
    <x v="0"/>
    <n v="160"/>
    <n v="28.4"/>
    <n v="19.100000000000001"/>
    <n v="128906"/>
    <n v="28"/>
    <n v="36094"/>
    <n v="165000"/>
    <n v="194507"/>
    <n v="67"/>
    <n v="5"/>
    <s v="Might reconsider"/>
    <s v="Medium"/>
  </r>
  <r>
    <s v="Royal Enfield"/>
    <s v="Bullet 350"/>
    <n v="346"/>
    <x v="2"/>
    <x v="3"/>
    <x v="1"/>
    <n v="152"/>
    <n v="33.9"/>
    <n v="17.8"/>
    <n v="132031"/>
    <n v="28"/>
    <n v="36969"/>
    <n v="169000"/>
    <n v="198108"/>
    <n v="64"/>
    <n v="14.6"/>
    <s v="Will definitely switch"/>
    <s v="Very High"/>
  </r>
  <r>
    <s v="Royal Enfield"/>
    <s v="Guerrilla 450"/>
    <n v="452"/>
    <x v="2"/>
    <x v="4"/>
    <x v="0"/>
    <n v="187"/>
    <n v="21.6"/>
    <n v="16.8"/>
    <n v="236641"/>
    <n v="31"/>
    <n v="73359"/>
    <n v="310000"/>
    <n v="360484"/>
    <n v="86"/>
    <n v="14.9"/>
    <s v="Will definitely switch"/>
    <s v="Very High"/>
  </r>
  <r>
    <s v="Royal Enfield"/>
    <s v="Classic 350"/>
    <n v="349"/>
    <x v="2"/>
    <x v="5"/>
    <x v="2"/>
    <n v="153"/>
    <n v="32.799999999999997"/>
    <n v="16.100000000000001"/>
    <n v="142969"/>
    <n v="28"/>
    <n v="40031"/>
    <n v="183000"/>
    <n v="210438"/>
    <n v="68"/>
    <n v="10.7"/>
    <s v="Will definitely switch"/>
    <s v="Very High"/>
  </r>
  <r>
    <s v="Royal Enfield"/>
    <s v="Himalayan 450"/>
    <n v="452"/>
    <x v="2"/>
    <x v="2"/>
    <x v="0"/>
    <n v="200"/>
    <n v="19.8"/>
    <n v="17.8"/>
    <n v="221374"/>
    <n v="31"/>
    <n v="68626"/>
    <n v="290000"/>
    <n v="332888"/>
    <n v="83"/>
    <n v="6.1"/>
    <s v="Will likely switch brand"/>
    <s v="High"/>
  </r>
  <r>
    <s v="Hero"/>
    <s v="Glamour"/>
    <n v="125"/>
    <x v="1"/>
    <x v="3"/>
    <x v="2"/>
    <n v="112"/>
    <n v="50.1"/>
    <n v="13.8"/>
    <n v="70312"/>
    <n v="28"/>
    <n v="19688"/>
    <n v="90000"/>
    <n v="105636"/>
    <n v="68"/>
    <n v="6.1"/>
    <s v="Will likely switch brand"/>
    <s v="High"/>
  </r>
  <r>
    <s v="Hero"/>
    <s v="Super Splendor"/>
    <n v="125"/>
    <x v="1"/>
    <x v="5"/>
    <x v="2"/>
    <n v="107"/>
    <n v="54.3"/>
    <n v="11.6"/>
    <n v="71875"/>
    <n v="28"/>
    <n v="20125"/>
    <n v="92000"/>
    <n v="109888"/>
    <n v="67"/>
    <n v="2.9"/>
    <s v="Might reconsider"/>
    <s v="Medium"/>
  </r>
  <r>
    <s v="TVS"/>
    <s v="Apache RTR 160"/>
    <n v="159"/>
    <x v="0"/>
    <x v="5"/>
    <x v="2"/>
    <n v="137"/>
    <n v="42.2"/>
    <n v="12.8"/>
    <n v="89844"/>
    <n v="28"/>
    <n v="25156"/>
    <n v="115000"/>
    <n v="133908"/>
    <n v="60"/>
    <n v="4.7"/>
    <s v="Might reconsider"/>
    <s v="Medium"/>
  </r>
  <r>
    <s v="Bajaj"/>
    <s v="Pulsar N250"/>
    <n v="249"/>
    <x v="0"/>
    <x v="2"/>
    <x v="0"/>
    <n v="144"/>
    <n v="29.7"/>
    <n v="16.100000000000001"/>
    <n v="139062"/>
    <n v="28"/>
    <n v="38938"/>
    <n v="178000"/>
    <n v="206887"/>
    <n v="66"/>
    <n v="7.3"/>
    <s v="Will definitely switch"/>
    <s v="Very High"/>
  </r>
  <r>
    <s v="Honda"/>
    <s v="Shine"/>
    <n v="124"/>
    <x v="1"/>
    <x v="5"/>
    <x v="2"/>
    <n v="107"/>
    <n v="53"/>
    <n v="13.4"/>
    <n v="73438"/>
    <n v="28"/>
    <n v="20562"/>
    <n v="94000"/>
    <n v="114568"/>
    <n v="67"/>
    <n v="8.6"/>
    <s v="Will likely switch brand"/>
    <s v="High"/>
  </r>
  <r>
    <s v="Bajaj"/>
    <s v="Platina 110 H-Gear"/>
    <n v="115"/>
    <x v="1"/>
    <x v="1"/>
    <x v="2"/>
    <n v="112"/>
    <n v="58.9"/>
    <n v="12.3"/>
    <n v="65625"/>
    <n v="28"/>
    <n v="18375"/>
    <n v="84000"/>
    <n v="97976"/>
    <n v="64"/>
    <n v="1.4"/>
    <s v="Likely to buy"/>
    <s v="Low"/>
  </r>
  <r>
    <s v="Yamaha"/>
    <s v="FZ-X"/>
    <n v="149"/>
    <x v="0"/>
    <x v="3"/>
    <x v="0"/>
    <n v="117"/>
    <n v="49.3"/>
    <n v="13.3"/>
    <n v="110938"/>
    <n v="28"/>
    <n v="31062"/>
    <n v="142000"/>
    <n v="164844"/>
    <n v="76"/>
    <n v="8.4"/>
    <s v="Will likely switch brand"/>
    <s v="High"/>
  </r>
  <r>
    <s v="Hero"/>
    <s v="Mavrick 440"/>
    <n v="440"/>
    <x v="2"/>
    <x v="1"/>
    <x v="0"/>
    <n v="182"/>
    <n v="23"/>
    <n v="17.5"/>
    <n v="161832"/>
    <n v="31"/>
    <n v="50168"/>
    <n v="212000"/>
    <n v="242231"/>
    <n v="77"/>
    <n v="13.3"/>
    <s v="Will definitely switch"/>
    <s v="Very High"/>
  </r>
  <r>
    <s v="Bajaj"/>
    <s v="Pulsar 125"/>
    <n v="124"/>
    <x v="1"/>
    <x v="5"/>
    <x v="2"/>
    <n v="109"/>
    <n v="59.4"/>
    <n v="13.7"/>
    <n v="77344"/>
    <n v="28"/>
    <n v="21656"/>
    <n v="99000"/>
    <n v="113623"/>
    <n v="61"/>
    <n v="3.3"/>
    <s v="Might reconsider"/>
    <s v="Medium"/>
  </r>
  <r>
    <s v="Bajaj"/>
    <s v="Pulsar RS200"/>
    <n v="199"/>
    <x v="0"/>
    <x v="2"/>
    <x v="0"/>
    <n v="140"/>
    <n v="39.5"/>
    <n v="11.2"/>
    <n v="133594"/>
    <n v="28"/>
    <n v="37406"/>
    <n v="171000"/>
    <n v="201629"/>
    <n v="75"/>
    <n v="4.8"/>
    <s v="Might reconsider"/>
    <s v="Medium"/>
  </r>
  <r>
    <s v="Suzuki"/>
    <s v="Gixxer SF"/>
    <n v="155"/>
    <x v="0"/>
    <x v="1"/>
    <x v="2"/>
    <n v="139"/>
    <n v="38.5"/>
    <n v="10.199999999999999"/>
    <n v="106250"/>
    <n v="28"/>
    <n v="29750"/>
    <n v="136000"/>
    <n v="160435"/>
    <n v="67"/>
    <n v="5.7"/>
    <s v="Will likely switch brand"/>
    <s v="High"/>
  </r>
  <r>
    <s v="Hero"/>
    <s v="Glamour"/>
    <n v="125"/>
    <x v="1"/>
    <x v="3"/>
    <x v="2"/>
    <n v="118"/>
    <n v="57"/>
    <n v="13.6"/>
    <n v="69531"/>
    <n v="28"/>
    <n v="19469"/>
    <n v="89000"/>
    <n v="106623"/>
    <n v="67"/>
    <n v="9.9"/>
    <s v="Will likely switch brand"/>
    <s v="High"/>
  </r>
  <r>
    <s v="Suzuki"/>
    <s v="Gixxer 250"/>
    <n v="249"/>
    <x v="0"/>
    <x v="4"/>
    <x v="0"/>
    <n v="154"/>
    <n v="31.3"/>
    <n v="16.100000000000001"/>
    <n v="139844"/>
    <n v="28"/>
    <n v="39156"/>
    <n v="179000"/>
    <n v="212074"/>
    <n v="64"/>
    <n v="10.6"/>
    <s v="Will definitely switch"/>
    <s v="Very High"/>
  </r>
  <r>
    <s v="Yamaha"/>
    <s v="MT-15 V2"/>
    <n v="155"/>
    <x v="0"/>
    <x v="5"/>
    <x v="0"/>
    <n v="131"/>
    <n v="40.200000000000003"/>
    <n v="12.1"/>
    <n v="132031"/>
    <n v="28"/>
    <n v="36969"/>
    <n v="169000"/>
    <n v="195317"/>
    <n v="73"/>
    <n v="2.8"/>
    <s v="Might reconsider"/>
    <s v="Medium"/>
  </r>
  <r>
    <s v="Honda"/>
    <s v="Unicorn"/>
    <n v="160"/>
    <x v="0"/>
    <x v="1"/>
    <x v="2"/>
    <n v="121"/>
    <n v="38.4"/>
    <n v="11.7"/>
    <n v="87500"/>
    <n v="28"/>
    <n v="24500"/>
    <n v="112000"/>
    <n v="130024"/>
    <n v="66"/>
    <n v="14.2"/>
    <s v="Will definitely switch"/>
    <s v="Very High"/>
  </r>
  <r>
    <s v="Bajaj"/>
    <s v="CT100"/>
    <n v="102"/>
    <x v="1"/>
    <x v="5"/>
    <x v="1"/>
    <n v="100"/>
    <n v="74.400000000000006"/>
    <n v="9"/>
    <n v="49219"/>
    <n v="28"/>
    <n v="13781"/>
    <n v="63000"/>
    <n v="75969"/>
    <n v="63"/>
    <n v="7.5"/>
    <s v="Will definitely switch"/>
    <s v="Very High"/>
  </r>
  <r>
    <s v="Honda"/>
    <s v="Shine"/>
    <n v="124"/>
    <x v="1"/>
    <x v="1"/>
    <x v="2"/>
    <n v="106"/>
    <n v="56.1"/>
    <n v="13.5"/>
    <n v="75000"/>
    <n v="28"/>
    <n v="21000"/>
    <n v="96000"/>
    <n v="113238"/>
    <n v="59"/>
    <n v="4.9000000000000004"/>
    <s v="Might reconsider"/>
    <s v="Medium"/>
  </r>
  <r>
    <s v="Yamaha"/>
    <s v="FZS 25"/>
    <n v="249"/>
    <x v="0"/>
    <x v="5"/>
    <x v="0"/>
    <n v="163"/>
    <n v="34.9"/>
    <n v="13.3"/>
    <n v="124219"/>
    <n v="28"/>
    <n v="34781"/>
    <n v="159000"/>
    <n v="179432"/>
    <n v="70"/>
    <n v="11.7"/>
    <s v="Will definitely switch"/>
    <s v="Very High"/>
  </r>
  <r>
    <s v="Hero"/>
    <s v="Xtreme 160R"/>
    <n v="163"/>
    <x v="0"/>
    <x v="1"/>
    <x v="0"/>
    <n v="134"/>
    <n v="40.9"/>
    <n v="12.7"/>
    <n v="107031"/>
    <n v="28"/>
    <n v="29969"/>
    <n v="137000"/>
    <n v="156954"/>
    <n v="76"/>
    <n v="4.9000000000000004"/>
    <s v="Might reconsider"/>
    <s v="Medium"/>
  </r>
  <r>
    <s v="Honda"/>
    <s v="CB200X"/>
    <n v="184"/>
    <x v="0"/>
    <x v="1"/>
    <x v="0"/>
    <n v="131"/>
    <n v="42.6"/>
    <n v="11.6"/>
    <n v="110156"/>
    <n v="28"/>
    <n v="30844"/>
    <n v="141000"/>
    <n v="161496"/>
    <n v="71"/>
    <n v="3.8"/>
    <s v="Might reconsider"/>
    <s v="Medium"/>
  </r>
  <r>
    <s v="Hero"/>
    <s v="Xtreme 125R"/>
    <n v="125"/>
    <x v="1"/>
    <x v="4"/>
    <x v="0"/>
    <n v="109"/>
    <n v="55.3"/>
    <n v="11.3"/>
    <n v="75781"/>
    <n v="28"/>
    <n v="21219"/>
    <n v="97000"/>
    <n v="112788"/>
    <n v="74"/>
    <n v="13.5"/>
    <s v="Will definitely switch"/>
    <s v="Very High"/>
  </r>
  <r>
    <s v="Royal Enfield"/>
    <s v="Meteor 350"/>
    <n v="349"/>
    <x v="2"/>
    <x v="2"/>
    <x v="2"/>
    <n v="156"/>
    <n v="32.700000000000003"/>
    <n v="16.899999999999999"/>
    <n v="155469"/>
    <n v="28"/>
    <n v="43531"/>
    <n v="199000"/>
    <n v="234943"/>
    <n v="74"/>
    <n v="8.5"/>
    <s v="Will likely switch brand"/>
    <s v="High"/>
  </r>
  <r>
    <s v="Yamaha"/>
    <s v="FZS 25"/>
    <n v="249"/>
    <x v="0"/>
    <x v="3"/>
    <x v="0"/>
    <n v="165"/>
    <n v="32.6"/>
    <n v="14.9"/>
    <n v="135156"/>
    <n v="28"/>
    <n v="37844"/>
    <n v="173000"/>
    <n v="200616"/>
    <n v="75"/>
    <n v="1.4"/>
    <s v="Likely to buy"/>
    <s v="Low"/>
  </r>
  <r>
    <s v="Bajaj"/>
    <s v="Dominar 400"/>
    <n v="373"/>
    <x v="2"/>
    <x v="2"/>
    <x v="0"/>
    <n v="209"/>
    <n v="23.2"/>
    <n v="14.7"/>
    <n v="190076"/>
    <n v="31"/>
    <n v="58924"/>
    <n v="249000"/>
    <n v="287627"/>
    <n v="76"/>
    <n v="3.1"/>
    <s v="Might reconsider"/>
    <s v="Medium"/>
  </r>
  <r>
    <s v="Honda"/>
    <s v="Hornet 2.0"/>
    <n v="184"/>
    <x v="0"/>
    <x v="3"/>
    <x v="0"/>
    <n v="133"/>
    <n v="43.9"/>
    <n v="13.5"/>
    <n v="103906"/>
    <n v="28"/>
    <n v="29094"/>
    <n v="133000"/>
    <n v="154781"/>
    <n v="77"/>
    <n v="11.8"/>
    <s v="Will definitely switch"/>
    <s v="Very High"/>
  </r>
  <r>
    <s v="Hero"/>
    <s v="Xpulse 200"/>
    <n v="199"/>
    <x v="0"/>
    <x v="3"/>
    <x v="0"/>
    <n v="132"/>
    <n v="41.8"/>
    <n v="13.6"/>
    <n v="117188"/>
    <n v="28"/>
    <n v="32812"/>
    <n v="150000"/>
    <n v="176007"/>
    <n v="73"/>
    <n v="14.4"/>
    <s v="Will definitely switch"/>
    <s v="Very High"/>
  </r>
  <r>
    <s v="Royal Enfield"/>
    <s v="Hunter 350"/>
    <n v="349"/>
    <x v="2"/>
    <x v="4"/>
    <x v="2"/>
    <n v="162"/>
    <n v="33.1"/>
    <n v="19.7"/>
    <n v="129688"/>
    <n v="28"/>
    <n v="36312"/>
    <n v="166000"/>
    <n v="196416"/>
    <n v="70"/>
    <n v="9.5"/>
    <s v="Will likely switch brand"/>
    <s v="High"/>
  </r>
  <r>
    <s v="TVS"/>
    <s v="Apache RTR 160"/>
    <n v="159"/>
    <x v="0"/>
    <x v="5"/>
    <x v="2"/>
    <n v="126"/>
    <n v="44.7"/>
    <n v="12.2"/>
    <n v="94531"/>
    <n v="28"/>
    <n v="26469"/>
    <n v="121000"/>
    <n v="140972"/>
    <n v="66"/>
    <n v="5.4"/>
    <s v="Will definitely switch"/>
    <s v="Very High"/>
  </r>
  <r>
    <s v="TVS"/>
    <s v="Apache RTR 160"/>
    <n v="159"/>
    <x v="0"/>
    <x v="2"/>
    <x v="2"/>
    <n v="124"/>
    <n v="45.2"/>
    <n v="10.3"/>
    <n v="90625"/>
    <n v="28"/>
    <n v="25375"/>
    <n v="116000"/>
    <n v="136297"/>
    <n v="69"/>
    <n v="1.6"/>
    <s v="Likely to buy"/>
    <s v="Low"/>
  </r>
  <r>
    <s v="KTM"/>
    <s v="Adventure 390"/>
    <n v="373"/>
    <x v="2"/>
    <x v="1"/>
    <x v="0"/>
    <n v="195"/>
    <n v="20.8"/>
    <n v="18.2"/>
    <n v="281679"/>
    <n v="31"/>
    <n v="87321"/>
    <n v="369000"/>
    <n v="426406"/>
    <n v="75"/>
    <n v="2.9"/>
    <s v="Might reconsider"/>
    <s v="Medium"/>
  </r>
  <r>
    <s v="TVS"/>
    <s v="Sport"/>
    <n v="99"/>
    <x v="1"/>
    <x v="3"/>
    <x v="1"/>
    <n v="88"/>
    <n v="65.5"/>
    <n v="8.1999999999999993"/>
    <n v="50781"/>
    <n v="28"/>
    <n v="14219"/>
    <n v="65000"/>
    <n v="79195"/>
    <n v="60"/>
    <n v="5.6"/>
    <s v="Will definitely switch"/>
    <s v="Very High"/>
  </r>
  <r>
    <s v="Honda"/>
    <s v="CB350 H'ness"/>
    <n v="348"/>
    <x v="2"/>
    <x v="5"/>
    <x v="0"/>
    <n v="155"/>
    <n v="33.200000000000003"/>
    <n v="15.2"/>
    <n v="150781"/>
    <n v="28"/>
    <n v="42219"/>
    <n v="193000"/>
    <n v="225731"/>
    <n v="79"/>
    <n v="10.1"/>
    <s v="Will definitely switch"/>
    <s v="Very High"/>
  </r>
  <r>
    <s v="Hero"/>
    <s v="Xpulse 200"/>
    <n v="199"/>
    <x v="0"/>
    <x v="4"/>
    <x v="0"/>
    <n v="121"/>
    <n v="44.4"/>
    <n v="13.7"/>
    <n v="120312"/>
    <n v="28"/>
    <n v="33688"/>
    <n v="154000"/>
    <n v="177450"/>
    <n v="70"/>
    <n v="6.9"/>
    <s v="Will likely switch brand"/>
    <s v="High"/>
  </r>
  <r>
    <s v="Hero"/>
    <s v="Super Splendor"/>
    <n v="125"/>
    <x v="1"/>
    <x v="0"/>
    <x v="2"/>
    <n v="105"/>
    <n v="60"/>
    <n v="13.7"/>
    <n v="75781"/>
    <n v="28"/>
    <n v="21219"/>
    <n v="97000"/>
    <n v="113356"/>
    <n v="67"/>
    <n v="9"/>
    <s v="Will likely switch brand"/>
    <s v="High"/>
  </r>
  <r>
    <s v="Royal Enfield"/>
    <s v="Bullet 350"/>
    <n v="346"/>
    <x v="2"/>
    <x v="4"/>
    <x v="1"/>
    <n v="144"/>
    <n v="35"/>
    <n v="18.7"/>
    <n v="132031"/>
    <n v="28"/>
    <n v="36969"/>
    <n v="169000"/>
    <n v="200136"/>
    <n v="73"/>
    <n v="7.6"/>
    <s v="Will likely switch brand"/>
    <s v="High"/>
  </r>
  <r>
    <s v="Royal Enfield"/>
    <s v="Bullet 350"/>
    <n v="346"/>
    <x v="2"/>
    <x v="4"/>
    <x v="1"/>
    <n v="150"/>
    <n v="28.3"/>
    <n v="14.2"/>
    <n v="129688"/>
    <n v="28"/>
    <n v="36312"/>
    <n v="166000"/>
    <n v="190923"/>
    <n v="63"/>
    <n v="8.9"/>
    <s v="Will definitely switch"/>
    <s v="Very High"/>
  </r>
  <r>
    <s v="KTM"/>
    <s v="Duke 200"/>
    <n v="199"/>
    <x v="0"/>
    <x v="4"/>
    <x v="0"/>
    <n v="124"/>
    <n v="37.9"/>
    <n v="10"/>
    <n v="164062"/>
    <n v="28"/>
    <n v="45938"/>
    <n v="210000"/>
    <n v="242534"/>
    <n v="75"/>
    <n v="5.5"/>
    <s v="Will likely switch brand"/>
    <s v="High"/>
  </r>
  <r>
    <s v="Royal Enfield"/>
    <s v="Interceptor 650"/>
    <n v="648"/>
    <x v="2"/>
    <x v="5"/>
    <x v="1"/>
    <n v="196"/>
    <n v="22.4"/>
    <n v="17.8"/>
    <n v="237405"/>
    <n v="31"/>
    <n v="73595"/>
    <n v="311000"/>
    <n v="363757"/>
    <n v="63"/>
    <n v="4.7"/>
    <s v="Might reconsider"/>
    <s v="Medium"/>
  </r>
  <r>
    <s v="Hero"/>
    <s v="Xpulse 200"/>
    <n v="199"/>
    <x v="0"/>
    <x v="5"/>
    <x v="0"/>
    <n v="129"/>
    <n v="42"/>
    <n v="11.5"/>
    <n v="116406"/>
    <n v="28"/>
    <n v="32594"/>
    <n v="149000"/>
    <n v="173450"/>
    <n v="69"/>
    <n v="9.9"/>
    <s v="Will likely switch brand"/>
    <s v="High"/>
  </r>
  <r>
    <s v="Bajaj"/>
    <s v="Pulsar RS200"/>
    <n v="199"/>
    <x v="0"/>
    <x v="2"/>
    <x v="0"/>
    <n v="137"/>
    <n v="40.700000000000003"/>
    <n v="13.3"/>
    <n v="130469"/>
    <n v="28"/>
    <n v="36531"/>
    <n v="167000"/>
    <n v="191255"/>
    <n v="74"/>
    <n v="11.6"/>
    <s v="Will definitely switch"/>
    <s v="Very High"/>
  </r>
  <r>
    <s v="TVS"/>
    <s v="Star City Plus"/>
    <n v="109"/>
    <x v="1"/>
    <x v="0"/>
    <x v="2"/>
    <n v="96"/>
    <n v="69.099999999999994"/>
    <n v="8.1"/>
    <n v="65625"/>
    <n v="28"/>
    <n v="18375"/>
    <n v="84000"/>
    <n v="100717"/>
    <n v="62"/>
    <n v="13.8"/>
    <s v="Will definitely switch"/>
    <s v="Very High"/>
  </r>
  <r>
    <s v="Suzuki"/>
    <s v="Gixxer SF 250"/>
    <n v="249"/>
    <x v="0"/>
    <x v="4"/>
    <x v="0"/>
    <n v="156"/>
    <n v="30.7"/>
    <n v="18"/>
    <n v="162500"/>
    <n v="28"/>
    <n v="45500"/>
    <n v="208000"/>
    <n v="237467"/>
    <n v="70"/>
    <n v="2.6"/>
    <s v="Might reconsider"/>
    <s v="Medium"/>
  </r>
  <r>
    <s v="Yamaha"/>
    <s v="R15 V4"/>
    <n v="155"/>
    <x v="0"/>
    <x v="1"/>
    <x v="0"/>
    <n v="133"/>
    <n v="38.299999999999997"/>
    <n v="11.8"/>
    <n v="131250"/>
    <n v="28"/>
    <n v="36750"/>
    <n v="168000"/>
    <n v="196484"/>
    <n v="74"/>
    <n v="8.9"/>
    <s v="Will likely switch brand"/>
    <s v="High"/>
  </r>
  <r>
    <s v="TVS"/>
    <s v="Ronin"/>
    <n v="225"/>
    <x v="0"/>
    <x v="0"/>
    <x v="0"/>
    <n v="141"/>
    <n v="32.6"/>
    <n v="16.8"/>
    <n v="133594"/>
    <n v="28"/>
    <n v="37406"/>
    <n v="171000"/>
    <n v="198203"/>
    <n v="70"/>
    <n v="5.8"/>
    <s v="Will likely switch brand"/>
    <s v="High"/>
  </r>
  <r>
    <s v="Hero"/>
    <s v="Xpulse 200"/>
    <n v="199"/>
    <x v="0"/>
    <x v="2"/>
    <x v="0"/>
    <n v="125"/>
    <n v="39.9"/>
    <n v="12.6"/>
    <n v="121094"/>
    <n v="28"/>
    <n v="33906"/>
    <n v="155000"/>
    <n v="177502"/>
    <n v="70"/>
    <n v="11.7"/>
    <s v="Will definitely switch"/>
    <s v="Very High"/>
  </r>
  <r>
    <s v="KTM"/>
    <s v="Duke 390"/>
    <n v="373"/>
    <x v="2"/>
    <x v="4"/>
    <x v="0"/>
    <n v="203"/>
    <n v="21.3"/>
    <n v="17.600000000000001"/>
    <n v="232061"/>
    <n v="31"/>
    <n v="71939"/>
    <n v="304000"/>
    <n v="354552"/>
    <n v="81"/>
    <n v="13.2"/>
    <s v="Will definitely switch"/>
    <s v="Very High"/>
  </r>
  <r>
    <s v="Royal Enfield"/>
    <s v="Thunderbird 350X"/>
    <n v="346"/>
    <x v="2"/>
    <x v="5"/>
    <x v="2"/>
    <n v="147"/>
    <n v="33.700000000000003"/>
    <n v="16.2"/>
    <n v="135938"/>
    <n v="28"/>
    <n v="38062"/>
    <n v="174000"/>
    <n v="203939"/>
    <n v="66"/>
    <n v="11.6"/>
    <s v="Will definitely switch"/>
    <s v="Very High"/>
  </r>
  <r>
    <s v="Suzuki"/>
    <s v="Gixxer 250"/>
    <n v="249"/>
    <x v="0"/>
    <x v="2"/>
    <x v="0"/>
    <n v="148"/>
    <n v="30.8"/>
    <n v="18.399999999999999"/>
    <n v="142969"/>
    <n v="28"/>
    <n v="40031"/>
    <n v="183000"/>
    <n v="210633"/>
    <n v="66"/>
    <n v="14.1"/>
    <s v="Will definitely switch"/>
    <s v="Very High"/>
  </r>
  <r>
    <s v="Hero"/>
    <s v="Super Splendor"/>
    <n v="125"/>
    <x v="1"/>
    <x v="3"/>
    <x v="2"/>
    <n v="107"/>
    <n v="51.6"/>
    <n v="12.4"/>
    <n v="73438"/>
    <n v="28"/>
    <n v="20562"/>
    <n v="94000"/>
    <n v="109421"/>
    <n v="59"/>
    <n v="9.3000000000000007"/>
    <s v="Will definitely switch"/>
    <s v="Very High"/>
  </r>
  <r>
    <s v="Hero"/>
    <s v="Xtreme 160R"/>
    <n v="163"/>
    <x v="0"/>
    <x v="5"/>
    <x v="0"/>
    <n v="121"/>
    <n v="39.200000000000003"/>
    <n v="10.9"/>
    <n v="100781"/>
    <n v="28"/>
    <n v="28219"/>
    <n v="129000"/>
    <n v="148761"/>
    <n v="70"/>
    <n v="8.1"/>
    <s v="Will likely switch brand"/>
    <s v="High"/>
  </r>
  <r>
    <s v="Royal Enfield"/>
    <s v="Meteor 350"/>
    <n v="349"/>
    <x v="2"/>
    <x v="3"/>
    <x v="2"/>
    <n v="144"/>
    <n v="30.5"/>
    <n v="15.1"/>
    <n v="166406"/>
    <n v="28"/>
    <n v="46594"/>
    <n v="213000"/>
    <n v="249468"/>
    <n v="76"/>
    <n v="8.3000000000000007"/>
    <s v="Will likely switch brand"/>
    <s v="High"/>
  </r>
  <r>
    <s v="Hero"/>
    <s v="Xpulse 200"/>
    <n v="199"/>
    <x v="0"/>
    <x v="5"/>
    <x v="0"/>
    <n v="133"/>
    <n v="43.3"/>
    <n v="13.8"/>
    <n v="114062"/>
    <n v="28"/>
    <n v="31938"/>
    <n v="146000"/>
    <n v="170379"/>
    <n v="76"/>
    <n v="7.9"/>
    <s v="Will likely switch brand"/>
    <s v="High"/>
  </r>
  <r>
    <s v="Royal Enfield"/>
    <s v="Continental GT 650"/>
    <n v="648"/>
    <x v="2"/>
    <x v="4"/>
    <x v="1"/>
    <n v="171"/>
    <n v="20.9"/>
    <n v="15.1"/>
    <n v="271756"/>
    <n v="31"/>
    <n v="84244"/>
    <n v="356000"/>
    <n v="405274"/>
    <n v="71"/>
    <n v="7.6"/>
    <s v="Will likely switch brand"/>
    <s v="High"/>
  </r>
  <r>
    <s v="Honda"/>
    <s v="CB350RS"/>
    <n v="348"/>
    <x v="2"/>
    <x v="4"/>
    <x v="0"/>
    <n v="144"/>
    <n v="32.4"/>
    <n v="15.3"/>
    <n v="180469"/>
    <n v="28"/>
    <n v="50531"/>
    <n v="231000"/>
    <n v="271166"/>
    <n v="78"/>
    <n v="4.4000000000000004"/>
    <s v="Might reconsider"/>
    <s v="Medium"/>
  </r>
  <r>
    <s v="Honda"/>
    <s v="CD 110 Dream"/>
    <n v="109"/>
    <x v="1"/>
    <x v="1"/>
    <x v="1"/>
    <n v="86"/>
    <n v="75.5"/>
    <n v="9.1999999999999993"/>
    <n v="64844"/>
    <n v="28"/>
    <n v="18156"/>
    <n v="83000"/>
    <n v="100063"/>
    <n v="61"/>
    <n v="6.3"/>
    <s v="Will definitely switch"/>
    <s v="Very High"/>
  </r>
  <r>
    <s v="Hero"/>
    <s v="Mavrick 440"/>
    <n v="440"/>
    <x v="2"/>
    <x v="0"/>
    <x v="0"/>
    <n v="173"/>
    <n v="20.5"/>
    <n v="14.5"/>
    <n v="163359"/>
    <n v="31"/>
    <n v="50641"/>
    <n v="214000"/>
    <n v="251449"/>
    <n v="80"/>
    <n v="5.2"/>
    <s v="Will likely switch brand"/>
    <s v="High"/>
  </r>
  <r>
    <s v="Bajaj"/>
    <s v="Pulsar 150"/>
    <n v="149"/>
    <x v="0"/>
    <x v="1"/>
    <x v="2"/>
    <n v="111"/>
    <n v="60.5"/>
    <n v="11.3"/>
    <n v="96875"/>
    <n v="28"/>
    <n v="27125"/>
    <n v="124000"/>
    <n v="144662"/>
    <n v="73"/>
    <n v="13.8"/>
    <s v="Will definitely switch"/>
    <s v="Very High"/>
  </r>
  <r>
    <s v="TVS"/>
    <s v="Apache RTR 160 4V"/>
    <n v="159"/>
    <x v="0"/>
    <x v="2"/>
    <x v="0"/>
    <n v="135"/>
    <n v="40.6"/>
    <n v="11.9"/>
    <n v="103125"/>
    <n v="28"/>
    <n v="28875"/>
    <n v="132000"/>
    <n v="153357"/>
    <n v="73"/>
    <n v="2.4"/>
    <s v="Might reconsider"/>
    <s v="Medium"/>
  </r>
  <r>
    <s v="Royal Enfield"/>
    <s v="Meteor 350"/>
    <n v="349"/>
    <x v="2"/>
    <x v="1"/>
    <x v="2"/>
    <n v="163"/>
    <n v="34.799999999999997"/>
    <n v="19.5"/>
    <n v="175000"/>
    <n v="28"/>
    <n v="49000"/>
    <n v="224000"/>
    <n v="258120"/>
    <n v="68"/>
    <n v="1.2"/>
    <s v="Likely to buy"/>
    <s v="Low"/>
  </r>
  <r>
    <s v="KTM"/>
    <s v="Duke 390"/>
    <n v="373"/>
    <x v="2"/>
    <x v="2"/>
    <x v="0"/>
    <n v="191"/>
    <n v="23.8"/>
    <n v="15.4"/>
    <n v="229008"/>
    <n v="31"/>
    <n v="70992"/>
    <n v="300000"/>
    <n v="341067"/>
    <n v="79"/>
    <n v="10.199999999999999"/>
    <s v="Will definitely switch"/>
    <s v="Very High"/>
  </r>
  <r>
    <s v="Yamaha"/>
    <s v="R15 V4"/>
    <n v="155"/>
    <x v="0"/>
    <x v="1"/>
    <x v="0"/>
    <n v="131"/>
    <n v="44.3"/>
    <n v="12"/>
    <n v="150781"/>
    <n v="28"/>
    <n v="42219"/>
    <n v="193000"/>
    <n v="223767"/>
    <n v="69"/>
    <n v="3"/>
    <s v="Might reconsider"/>
    <s v="Medium"/>
  </r>
  <r>
    <s v="Suzuki"/>
    <s v="Gixxer 250"/>
    <n v="249"/>
    <x v="0"/>
    <x v="3"/>
    <x v="0"/>
    <n v="161"/>
    <n v="35.4"/>
    <n v="14"/>
    <n v="156250"/>
    <n v="28"/>
    <n v="43750"/>
    <n v="200000"/>
    <n v="234058"/>
    <n v="69"/>
    <n v="11.7"/>
    <s v="Will definitely switch"/>
    <s v="Very High"/>
  </r>
  <r>
    <s v="Bajaj"/>
    <s v="Dominar 400"/>
    <n v="373"/>
    <x v="2"/>
    <x v="1"/>
    <x v="0"/>
    <n v="199"/>
    <n v="21.3"/>
    <n v="19.399999999999999"/>
    <n v="170229"/>
    <n v="31"/>
    <n v="52771"/>
    <n v="223000"/>
    <n v="253720"/>
    <n v="80"/>
    <n v="10.3"/>
    <s v="Will definitely switch"/>
    <s v="Very High"/>
  </r>
  <r>
    <s v="Yamaha"/>
    <s v="R15 V4"/>
    <n v="155"/>
    <x v="0"/>
    <x v="0"/>
    <x v="0"/>
    <n v="128"/>
    <n v="42.3"/>
    <n v="12"/>
    <n v="129688"/>
    <n v="28"/>
    <n v="36312"/>
    <n v="166000"/>
    <n v="191228"/>
    <n v="75"/>
    <n v="14.7"/>
    <s v="Will definitely switch"/>
    <s v="Very High"/>
  </r>
  <r>
    <s v="KTM"/>
    <s v="RC 390"/>
    <n v="373"/>
    <x v="2"/>
    <x v="5"/>
    <x v="0"/>
    <n v="175"/>
    <n v="22.1"/>
    <n v="18.7"/>
    <n v="267939"/>
    <n v="31"/>
    <n v="83061"/>
    <n v="351000"/>
    <n v="405528"/>
    <n v="74"/>
    <n v="9.6999999999999993"/>
    <s v="Will likely switch brand"/>
    <s v="High"/>
  </r>
  <r>
    <s v="TVS"/>
    <s v="Raider 125"/>
    <n v="124"/>
    <x v="1"/>
    <x v="0"/>
    <x v="0"/>
    <n v="112"/>
    <n v="55.9"/>
    <n v="12.6"/>
    <n v="77344"/>
    <n v="28"/>
    <n v="21656"/>
    <n v="99000"/>
    <n v="115982"/>
    <n v="67"/>
    <n v="10.6"/>
    <s v="Will definitely switch"/>
    <s v="Very High"/>
  </r>
  <r>
    <s v="Hero"/>
    <s v="Super Splendor"/>
    <n v="125"/>
    <x v="1"/>
    <x v="3"/>
    <x v="2"/>
    <n v="110"/>
    <n v="56.8"/>
    <n v="12.6"/>
    <n v="65625"/>
    <n v="28"/>
    <n v="18375"/>
    <n v="84000"/>
    <n v="97672"/>
    <n v="59"/>
    <n v="8"/>
    <s v="Will definitely switch"/>
    <s v="Very High"/>
  </r>
  <r>
    <s v="Royal Enfield"/>
    <s v="Bullet 350"/>
    <n v="346"/>
    <x v="2"/>
    <x v="2"/>
    <x v="1"/>
    <n v="147"/>
    <n v="35.200000000000003"/>
    <n v="19.2"/>
    <n v="138281"/>
    <n v="28"/>
    <n v="38719"/>
    <n v="177000"/>
    <n v="207045"/>
    <n v="68"/>
    <n v="13.6"/>
    <s v="Will definitely switch"/>
    <s v="Very High"/>
  </r>
  <r>
    <s v="Yamaha"/>
    <s v="FZS 25"/>
    <n v="249"/>
    <x v="0"/>
    <x v="5"/>
    <x v="0"/>
    <n v="158"/>
    <n v="35.1"/>
    <n v="13.1"/>
    <n v="124219"/>
    <n v="28"/>
    <n v="34781"/>
    <n v="159000"/>
    <n v="187692"/>
    <n v="81"/>
    <n v="1.5"/>
    <s v="Likely to buy"/>
    <s v="Low"/>
  </r>
  <r>
    <s v="Bajaj"/>
    <s v="Pulsar NS200"/>
    <n v="199"/>
    <x v="0"/>
    <x v="1"/>
    <x v="0"/>
    <n v="129"/>
    <n v="46.3"/>
    <n v="13.3"/>
    <n v="118750"/>
    <n v="28"/>
    <n v="33250"/>
    <n v="152000"/>
    <n v="179091"/>
    <n v="75"/>
    <n v="8.9"/>
    <s v="Will likely switch brand"/>
    <s v="High"/>
  </r>
  <r>
    <s v="Royal Enfield"/>
    <s v="Interceptor 650"/>
    <n v="648"/>
    <x v="2"/>
    <x v="5"/>
    <x v="1"/>
    <n v="204"/>
    <n v="23.5"/>
    <n v="13.4"/>
    <n v="254962"/>
    <n v="31"/>
    <n v="79038"/>
    <n v="334000"/>
    <n v="383099"/>
    <n v="64"/>
    <n v="8"/>
    <s v="Will definitely switch"/>
    <s v="Very High"/>
  </r>
  <r>
    <s v="KTM"/>
    <s v="RC 390"/>
    <n v="373"/>
    <x v="2"/>
    <x v="5"/>
    <x v="0"/>
    <n v="185"/>
    <n v="24.4"/>
    <n v="18.5"/>
    <n v="245038"/>
    <n v="31"/>
    <n v="75962"/>
    <n v="321000"/>
    <n v="365685"/>
    <n v="76"/>
    <n v="1.4"/>
    <s v="Likely to buy"/>
    <s v="Low"/>
  </r>
  <r>
    <s v="Yamaha"/>
    <s v="Saluto RX"/>
    <n v="113"/>
    <x v="1"/>
    <x v="5"/>
    <x v="1"/>
    <n v="117"/>
    <n v="50.9"/>
    <n v="13.2"/>
    <n v="58594"/>
    <n v="28"/>
    <n v="16406"/>
    <n v="75000"/>
    <n v="89497"/>
    <n v="51"/>
    <n v="11.8"/>
    <s v="Will definitely switch"/>
    <s v="Very High"/>
  </r>
  <r>
    <s v="Hero"/>
    <s v="Mavrick 440"/>
    <n v="440"/>
    <x v="2"/>
    <x v="0"/>
    <x v="0"/>
    <n v="184"/>
    <n v="20.2"/>
    <n v="13"/>
    <n v="160305"/>
    <n v="31"/>
    <n v="49695"/>
    <n v="210000"/>
    <n v="241981"/>
    <n v="80"/>
    <n v="6"/>
    <s v="Will likely switch brand"/>
    <s v="High"/>
  </r>
  <r>
    <s v="TVS"/>
    <s v="Ronin"/>
    <n v="225"/>
    <x v="0"/>
    <x v="3"/>
    <x v="0"/>
    <n v="154"/>
    <n v="29.6"/>
    <n v="13.7"/>
    <n v="128125"/>
    <n v="28"/>
    <n v="35875"/>
    <n v="164000"/>
    <n v="189727"/>
    <n v="72"/>
    <n v="8.8000000000000007"/>
    <s v="Will likely switch brand"/>
    <s v="High"/>
  </r>
  <r>
    <s v="Honda"/>
    <s v="Shine"/>
    <n v="124"/>
    <x v="1"/>
    <x v="0"/>
    <x v="2"/>
    <n v="105"/>
    <n v="59.8"/>
    <n v="12.9"/>
    <n v="68750"/>
    <n v="28"/>
    <n v="19250"/>
    <n v="88000"/>
    <n v="102388"/>
    <n v="63"/>
    <n v="6.8"/>
    <s v="Will definitely switch"/>
    <s v="Very High"/>
  </r>
  <r>
    <s v="Suzuki"/>
    <s v="V-Strom SX"/>
    <n v="249"/>
    <x v="2"/>
    <x v="5"/>
    <x v="0"/>
    <n v="145"/>
    <n v="33.4"/>
    <n v="16.5"/>
    <n v="182812"/>
    <n v="28"/>
    <n v="51188"/>
    <n v="234000"/>
    <n v="274266"/>
    <n v="70"/>
    <n v="4.8"/>
    <s v="Might reconsider"/>
    <s v="Medium"/>
  </r>
  <r>
    <s v="Hero"/>
    <s v="Xpulse 200 4V"/>
    <n v="199"/>
    <x v="0"/>
    <x v="1"/>
    <x v="0"/>
    <n v="127"/>
    <n v="40.6"/>
    <n v="10.8"/>
    <n v="114844"/>
    <n v="28"/>
    <n v="32156"/>
    <n v="147000"/>
    <n v="167989"/>
    <n v="78"/>
    <n v="7.9"/>
    <s v="Will likely switch brand"/>
    <s v="High"/>
  </r>
  <r>
    <s v="Honda"/>
    <s v="Unicorn"/>
    <n v="160"/>
    <x v="0"/>
    <x v="2"/>
    <x v="2"/>
    <n v="130"/>
    <n v="40.799999999999997"/>
    <n v="13.9"/>
    <n v="84375"/>
    <n v="28"/>
    <n v="23625"/>
    <n v="108000"/>
    <n v="125304"/>
    <n v="69"/>
    <n v="5.7"/>
    <s v="Will likely switch brand"/>
    <s v="High"/>
  </r>
  <r>
    <s v="Honda"/>
    <s v="CB350 H'ness"/>
    <n v="348"/>
    <x v="2"/>
    <x v="2"/>
    <x v="0"/>
    <n v="152"/>
    <n v="30.6"/>
    <n v="17.399999999999999"/>
    <n v="158594"/>
    <n v="28"/>
    <n v="44406"/>
    <n v="203000"/>
    <n v="237013"/>
    <n v="77"/>
    <n v="5.0999999999999996"/>
    <s v="Will likely switch brand"/>
    <s v="High"/>
  </r>
  <r>
    <s v="TVS"/>
    <s v="Star City Plus"/>
    <n v="109"/>
    <x v="1"/>
    <x v="4"/>
    <x v="2"/>
    <n v="91"/>
    <n v="63.5"/>
    <n v="9.4"/>
    <n v="62500"/>
    <n v="28"/>
    <n v="17500"/>
    <n v="80000"/>
    <n v="94449"/>
    <n v="70"/>
    <n v="15"/>
    <s v="Will definitely switch"/>
    <s v="Very High"/>
  </r>
  <r>
    <s v="Suzuki"/>
    <s v="Gixxer SF 250"/>
    <n v="249"/>
    <x v="0"/>
    <x v="3"/>
    <x v="0"/>
    <n v="149"/>
    <n v="31.5"/>
    <n v="17.7"/>
    <n v="140625"/>
    <n v="28"/>
    <n v="39375"/>
    <n v="180000"/>
    <n v="211289"/>
    <n v="64"/>
    <n v="12.5"/>
    <s v="Will definitely switch"/>
    <s v="Very High"/>
  </r>
  <r>
    <s v="Honda"/>
    <s v="CB350 H'ness"/>
    <n v="348"/>
    <x v="2"/>
    <x v="1"/>
    <x v="0"/>
    <n v="152"/>
    <n v="31.4"/>
    <n v="16.399999999999999"/>
    <n v="167188"/>
    <n v="28"/>
    <n v="46812"/>
    <n v="214000"/>
    <n v="247360"/>
    <n v="73"/>
    <n v="7.3"/>
    <s v="Will likely switch brand"/>
    <s v="High"/>
  </r>
  <r>
    <s v="KTM"/>
    <s v="Duke 200"/>
    <n v="199"/>
    <x v="0"/>
    <x v="0"/>
    <x v="0"/>
    <n v="131"/>
    <n v="42.4"/>
    <n v="10.4"/>
    <n v="157031"/>
    <n v="28"/>
    <n v="43969"/>
    <n v="201000"/>
    <n v="237744"/>
    <n v="76"/>
    <n v="9.3000000000000007"/>
    <s v="Will likely switch brand"/>
    <s v="High"/>
  </r>
  <r>
    <s v="TVS"/>
    <s v="Star City Plus"/>
    <n v="109"/>
    <x v="1"/>
    <x v="3"/>
    <x v="2"/>
    <n v="97"/>
    <n v="71.099999999999994"/>
    <n v="8.1999999999999993"/>
    <n v="65625"/>
    <n v="28"/>
    <n v="18375"/>
    <n v="84000"/>
    <n v="97701"/>
    <n v="66"/>
    <n v="14.5"/>
    <s v="Will definitely switch"/>
    <s v="Very High"/>
  </r>
  <r>
    <s v="Honda"/>
    <s v="SP 125"/>
    <n v="124"/>
    <x v="1"/>
    <x v="3"/>
    <x v="0"/>
    <n v="112"/>
    <n v="57.5"/>
    <n v="13.1"/>
    <n v="73438"/>
    <n v="28"/>
    <n v="20562"/>
    <n v="94000"/>
    <n v="111612"/>
    <n v="73"/>
    <n v="6.2"/>
    <s v="Will likely switch brand"/>
    <s v="High"/>
  </r>
  <r>
    <s v="Yamaha"/>
    <s v="R3"/>
    <n v="321"/>
    <x v="2"/>
    <x v="2"/>
    <x v="0"/>
    <n v="142"/>
    <n v="31.4"/>
    <n v="14"/>
    <n v="332031"/>
    <n v="28"/>
    <n v="92969"/>
    <n v="425000"/>
    <n v="496025"/>
    <n v="71"/>
    <n v="12.6"/>
    <s v="Will definitely switch"/>
    <s v="Very High"/>
  </r>
  <r>
    <s v="TVS"/>
    <s v="Ronin"/>
    <n v="225"/>
    <x v="0"/>
    <x v="5"/>
    <x v="0"/>
    <n v="154"/>
    <n v="31.8"/>
    <n v="13.3"/>
    <n v="125781"/>
    <n v="28"/>
    <n v="35219"/>
    <n v="161000"/>
    <n v="188865"/>
    <n v="71"/>
    <n v="5.5"/>
    <s v="Will likely switch brand"/>
    <s v="High"/>
  </r>
  <r>
    <s v="Honda"/>
    <s v="Hornet 2.0"/>
    <n v="184"/>
    <x v="0"/>
    <x v="4"/>
    <x v="0"/>
    <n v="127"/>
    <n v="46.3"/>
    <n v="11.3"/>
    <n v="100781"/>
    <n v="28"/>
    <n v="28219"/>
    <n v="129000"/>
    <n v="147915"/>
    <n v="83"/>
    <n v="3.4"/>
    <s v="Might reconsider"/>
    <s v="Medium"/>
  </r>
  <r>
    <s v="KTM"/>
    <s v="RC 200"/>
    <n v="199"/>
    <x v="0"/>
    <x v="1"/>
    <x v="0"/>
    <n v="133"/>
    <n v="38.799999999999997"/>
    <n v="13.5"/>
    <n v="180469"/>
    <n v="28"/>
    <n v="50531"/>
    <n v="231000"/>
    <n v="263179"/>
    <n v="74"/>
    <n v="1.4"/>
    <s v="Likely to buy"/>
    <s v="Low"/>
  </r>
  <r>
    <s v="Yamaha"/>
    <s v="Saluto RX"/>
    <n v="113"/>
    <x v="1"/>
    <x v="1"/>
    <x v="1"/>
    <n v="107"/>
    <n v="52.1"/>
    <n v="10.7"/>
    <n v="59375"/>
    <n v="28"/>
    <n v="16625"/>
    <n v="76000"/>
    <n v="89455"/>
    <n v="59"/>
    <n v="2.4"/>
    <s v="Might reconsider"/>
    <s v="Medium"/>
  </r>
  <r>
    <s v="Royal Enfield"/>
    <s v="Classic 350"/>
    <n v="349"/>
    <x v="2"/>
    <x v="1"/>
    <x v="2"/>
    <n v="160"/>
    <n v="32.200000000000003"/>
    <n v="15.7"/>
    <n v="145312"/>
    <n v="28"/>
    <n v="40688"/>
    <n v="186000"/>
    <n v="213807"/>
    <n v="71"/>
    <n v="9.4"/>
    <s v="Will likely switch brand"/>
    <s v="High"/>
  </r>
  <r>
    <s v="Honda"/>
    <s v="Hornet 2.0"/>
    <n v="184"/>
    <x v="0"/>
    <x v="2"/>
    <x v="0"/>
    <n v="129"/>
    <n v="44.1"/>
    <n v="10.5"/>
    <n v="107031"/>
    <n v="28"/>
    <n v="29969"/>
    <n v="137000"/>
    <n v="163154"/>
    <n v="78"/>
    <n v="9.3000000000000007"/>
    <s v="Will likely switch brand"/>
    <s v="High"/>
  </r>
  <r>
    <s v="Honda"/>
    <s v="CB200X"/>
    <n v="184"/>
    <x v="0"/>
    <x v="3"/>
    <x v="0"/>
    <n v="133"/>
    <n v="42.1"/>
    <n v="11.7"/>
    <n v="112500"/>
    <n v="28"/>
    <n v="31500"/>
    <n v="144000"/>
    <n v="164168"/>
    <n v="78"/>
    <n v="2.9"/>
    <s v="Might reconsider"/>
    <s v="Medium"/>
  </r>
  <r>
    <s v="Yamaha"/>
    <s v="R15 V4"/>
    <n v="155"/>
    <x v="0"/>
    <x v="5"/>
    <x v="0"/>
    <n v="135"/>
    <n v="42.6"/>
    <n v="13.4"/>
    <n v="143750"/>
    <n v="28"/>
    <n v="40250"/>
    <n v="184000"/>
    <n v="214427"/>
    <n v="71"/>
    <n v="3"/>
    <s v="Might reconsider"/>
    <s v="Medium"/>
  </r>
  <r>
    <s v="Hero"/>
    <s v="Xtreme 160R"/>
    <n v="163"/>
    <x v="0"/>
    <x v="3"/>
    <x v="0"/>
    <n v="137"/>
    <n v="45.2"/>
    <n v="12.7"/>
    <n v="111719"/>
    <n v="28"/>
    <n v="31281"/>
    <n v="143000"/>
    <n v="168360"/>
    <n v="82"/>
    <n v="10.1"/>
    <s v="Will definitely switch"/>
    <s v="Very High"/>
  </r>
  <r>
    <s v="KTM"/>
    <s v="Duke 390"/>
    <n v="373"/>
    <x v="2"/>
    <x v="5"/>
    <x v="0"/>
    <n v="208"/>
    <n v="19.5"/>
    <n v="14.6"/>
    <n v="244275"/>
    <n v="31"/>
    <n v="75725"/>
    <n v="320000"/>
    <n v="366267"/>
    <n v="74"/>
    <n v="5.0999999999999996"/>
    <s v="Will likely switch brand"/>
    <s v="High"/>
  </r>
  <r>
    <s v="TVS"/>
    <s v="Apache RTR 160 4V"/>
    <n v="159"/>
    <x v="0"/>
    <x v="1"/>
    <x v="0"/>
    <n v="123"/>
    <n v="42.5"/>
    <n v="13.3"/>
    <n v="100000"/>
    <n v="28"/>
    <n v="28000"/>
    <n v="128000"/>
    <n v="150350"/>
    <n v="75"/>
    <n v="2.6"/>
    <s v="Might reconsider"/>
    <s v="Medium"/>
  </r>
  <r>
    <s v="Royal Enfield"/>
    <s v="Scram 411"/>
    <n v="411"/>
    <x v="2"/>
    <x v="2"/>
    <x v="2"/>
    <n v="187"/>
    <n v="22.2"/>
    <n v="18.3"/>
    <n v="164885"/>
    <n v="31"/>
    <n v="51115"/>
    <n v="216000"/>
    <n v="253389"/>
    <n v="71"/>
    <n v="11.3"/>
    <s v="Will definitely switch"/>
    <s v="Very High"/>
  </r>
  <r>
    <s v="TVS"/>
    <s v="Apache RR 310"/>
    <n v="312"/>
    <x v="2"/>
    <x v="2"/>
    <x v="0"/>
    <n v="143"/>
    <n v="31.5"/>
    <n v="17.100000000000001"/>
    <n v="232031"/>
    <n v="28"/>
    <n v="64969"/>
    <n v="297000"/>
    <n v="333970"/>
    <n v="72"/>
    <n v="3.9"/>
    <s v="Might reconsider"/>
    <s v="Medium"/>
  </r>
  <r>
    <s v="Royal Enfield"/>
    <s v="Thunderbird 350X"/>
    <n v="346"/>
    <x v="2"/>
    <x v="1"/>
    <x v="2"/>
    <n v="146"/>
    <n v="29.2"/>
    <n v="15.5"/>
    <n v="153125"/>
    <n v="28"/>
    <n v="42875"/>
    <n v="196000"/>
    <n v="228546"/>
    <n v="69"/>
    <n v="12.3"/>
    <s v="Will definitely switch"/>
    <s v="Very High"/>
  </r>
  <r>
    <s v="TVS"/>
    <s v="Apache RTR 160"/>
    <n v="159"/>
    <x v="0"/>
    <x v="2"/>
    <x v="2"/>
    <n v="128"/>
    <n v="39.9"/>
    <n v="13.3"/>
    <n v="95312"/>
    <n v="28"/>
    <n v="26688"/>
    <n v="122000"/>
    <n v="141828"/>
    <n v="67"/>
    <n v="14.8"/>
    <s v="Will definitely switch"/>
    <s v="Very High"/>
  </r>
  <r>
    <s v="Honda"/>
    <s v="CB350 H'ness"/>
    <n v="348"/>
    <x v="2"/>
    <x v="2"/>
    <x v="0"/>
    <n v="144"/>
    <n v="34.799999999999997"/>
    <n v="15.3"/>
    <n v="176562"/>
    <n v="28"/>
    <n v="49438"/>
    <n v="226000"/>
    <n v="265250"/>
    <n v="74"/>
    <n v="4.5"/>
    <s v="Might reconsider"/>
    <s v="Medium"/>
  </r>
  <r>
    <s v="TVS"/>
    <s v="Star City Plus"/>
    <n v="109"/>
    <x v="1"/>
    <x v="2"/>
    <x v="2"/>
    <n v="98"/>
    <n v="72.2"/>
    <n v="9.6"/>
    <n v="66406"/>
    <n v="28"/>
    <n v="18594"/>
    <n v="85000"/>
    <n v="101846"/>
    <n v="67"/>
    <n v="7.3"/>
    <s v="Will likely switch brand"/>
    <s v="High"/>
  </r>
  <r>
    <s v="Honda"/>
    <s v="Shine"/>
    <n v="124"/>
    <x v="1"/>
    <x v="2"/>
    <x v="2"/>
    <n v="120"/>
    <n v="54.4"/>
    <n v="10.4"/>
    <n v="69531"/>
    <n v="28"/>
    <n v="19469"/>
    <n v="89000"/>
    <n v="106207"/>
    <n v="64"/>
    <n v="9.1"/>
    <s v="Will definitely switch"/>
    <s v="Very High"/>
  </r>
  <r>
    <s v="Yamaha"/>
    <s v="FZ-S V3"/>
    <n v="149"/>
    <x v="0"/>
    <x v="5"/>
    <x v="2"/>
    <n v="118"/>
    <n v="53.6"/>
    <n v="13.3"/>
    <n v="103906"/>
    <n v="28"/>
    <n v="29094"/>
    <n v="133000"/>
    <n v="157790"/>
    <n v="65"/>
    <n v="7.9"/>
    <s v="Will definitely switch"/>
    <s v="Very High"/>
  </r>
  <r>
    <s v="Royal Enfield"/>
    <s v="Hunter 350"/>
    <n v="349"/>
    <x v="2"/>
    <x v="2"/>
    <x v="2"/>
    <n v="164"/>
    <n v="35"/>
    <n v="18.5"/>
    <n v="129688"/>
    <n v="28"/>
    <n v="36312"/>
    <n v="166000"/>
    <n v="191364"/>
    <n v="72"/>
    <n v="1.6"/>
    <s v="Likely to buy"/>
    <s v="Low"/>
  </r>
  <r>
    <s v="Yamaha"/>
    <s v="FZ-S V3"/>
    <n v="149"/>
    <x v="0"/>
    <x v="4"/>
    <x v="2"/>
    <n v="118"/>
    <n v="48.4"/>
    <n v="13.5"/>
    <n v="93750"/>
    <n v="28"/>
    <n v="26250"/>
    <n v="120000"/>
    <n v="141909"/>
    <n v="65"/>
    <n v="14.9"/>
    <s v="Will definitely switch"/>
    <s v="Very High"/>
  </r>
  <r>
    <s v="TVS"/>
    <s v="Apache RR 310"/>
    <n v="312"/>
    <x v="2"/>
    <x v="2"/>
    <x v="0"/>
    <n v="142"/>
    <n v="30.9"/>
    <n v="14.2"/>
    <n v="207031"/>
    <n v="28"/>
    <n v="57969"/>
    <n v="265000"/>
    <n v="310170"/>
    <n v="74"/>
    <n v="10.3"/>
    <s v="Will definitely switch"/>
    <s v="Very High"/>
  </r>
  <r>
    <s v="KTM"/>
    <s v="Duke 125"/>
    <n v="124"/>
    <x v="0"/>
    <x v="0"/>
    <x v="0"/>
    <n v="108"/>
    <n v="57.1"/>
    <n v="10.5"/>
    <n v="139844"/>
    <n v="28"/>
    <n v="39156"/>
    <n v="179000"/>
    <n v="210350"/>
    <n v="70"/>
    <n v="4"/>
    <s v="Might reconsider"/>
    <s v="Medium"/>
  </r>
  <r>
    <s v="Bajaj"/>
    <s v="Pulsar RS200"/>
    <n v="199"/>
    <x v="0"/>
    <x v="4"/>
    <x v="0"/>
    <n v="133"/>
    <n v="45.2"/>
    <n v="11.5"/>
    <n v="137500"/>
    <n v="28"/>
    <n v="38500"/>
    <n v="176000"/>
    <n v="201929"/>
    <n v="75"/>
    <n v="7.7"/>
    <s v="Will likely switch brand"/>
    <s v="High"/>
  </r>
  <r>
    <s v="Honda"/>
    <s v="Unicorn"/>
    <n v="160"/>
    <x v="0"/>
    <x v="4"/>
    <x v="2"/>
    <n v="124"/>
    <n v="44.8"/>
    <n v="10.3"/>
    <n v="84375"/>
    <n v="28"/>
    <n v="23625"/>
    <n v="108000"/>
    <n v="125681"/>
    <n v="72"/>
    <n v="14.9"/>
    <s v="Will definitely switch"/>
    <s v="Very High"/>
  </r>
  <r>
    <s v="Hero"/>
    <s v="HF Deluxe"/>
    <n v="97"/>
    <x v="1"/>
    <x v="3"/>
    <x v="1"/>
    <n v="89"/>
    <n v="72.2"/>
    <n v="9.6999999999999993"/>
    <n v="55469"/>
    <n v="28"/>
    <n v="15531"/>
    <n v="71000"/>
    <n v="82647"/>
    <n v="62"/>
    <n v="9.6"/>
    <s v="Will definitely switch"/>
    <s v="Very High"/>
  </r>
  <r>
    <s v="Honda"/>
    <s v="Shine"/>
    <n v="124"/>
    <x v="1"/>
    <x v="4"/>
    <x v="2"/>
    <n v="118"/>
    <n v="53.5"/>
    <n v="11.1"/>
    <n v="75000"/>
    <n v="28"/>
    <n v="21000"/>
    <n v="96000"/>
    <n v="112324"/>
    <n v="64"/>
    <n v="12.1"/>
    <s v="Will definitely switch"/>
    <s v="Very High"/>
  </r>
  <r>
    <s v="Honda"/>
    <s v="CD 110 Dream"/>
    <n v="109"/>
    <x v="1"/>
    <x v="4"/>
    <x v="1"/>
    <n v="85"/>
    <n v="74.7"/>
    <n v="9"/>
    <n v="58594"/>
    <n v="28"/>
    <n v="16406"/>
    <n v="75000"/>
    <n v="89302"/>
    <n v="67"/>
    <n v="13.3"/>
    <s v="Will definitely switch"/>
    <s v="Very High"/>
  </r>
  <r>
    <s v="Yamaha"/>
    <s v="MT-03"/>
    <n v="321"/>
    <x v="2"/>
    <x v="1"/>
    <x v="0"/>
    <n v="143"/>
    <n v="32"/>
    <n v="13.5"/>
    <n v="341406"/>
    <n v="28"/>
    <n v="95594"/>
    <n v="437000"/>
    <n v="500545"/>
    <n v="73"/>
    <n v="8"/>
    <s v="Will likely switch brand"/>
    <s v="High"/>
  </r>
  <r>
    <s v="Hero"/>
    <s v="HF Deluxe"/>
    <n v="97"/>
    <x v="1"/>
    <x v="0"/>
    <x v="1"/>
    <n v="90"/>
    <n v="68.7"/>
    <n v="8"/>
    <n v="58594"/>
    <n v="28"/>
    <n v="16406"/>
    <n v="75000"/>
    <n v="90578"/>
    <n v="63"/>
    <n v="14.4"/>
    <s v="Will definitely switch"/>
    <s v="Very High"/>
  </r>
  <r>
    <s v="Hero"/>
    <s v="Xpulse 200 4V"/>
    <n v="199"/>
    <x v="0"/>
    <x v="3"/>
    <x v="0"/>
    <n v="140"/>
    <n v="42.1"/>
    <n v="12.8"/>
    <n v="111719"/>
    <n v="28"/>
    <n v="31281"/>
    <n v="143000"/>
    <n v="166233"/>
    <n v="76"/>
    <n v="11.7"/>
    <s v="Will definitely switch"/>
    <s v="Very High"/>
  </r>
  <r>
    <s v="Honda"/>
    <s v="CD 110 Dream"/>
    <n v="109"/>
    <x v="1"/>
    <x v="3"/>
    <x v="1"/>
    <n v="91"/>
    <n v="66.8"/>
    <n v="9.1999999999999993"/>
    <n v="62500"/>
    <n v="28"/>
    <n v="17500"/>
    <n v="80000"/>
    <n v="93107"/>
    <n v="59"/>
    <n v="8.5"/>
    <s v="Will definitely switch"/>
    <s v="Very High"/>
  </r>
  <r>
    <s v="Hero"/>
    <s v="Xpulse 200 4V"/>
    <n v="199"/>
    <x v="0"/>
    <x v="1"/>
    <x v="0"/>
    <n v="122"/>
    <n v="37.5"/>
    <n v="12.4"/>
    <n v="117188"/>
    <n v="28"/>
    <n v="32812"/>
    <n v="150000"/>
    <n v="174962"/>
    <n v="74"/>
    <n v="2.6"/>
    <s v="Might reconsider"/>
    <s v="Medium"/>
  </r>
  <r>
    <s v="TVS"/>
    <s v="Ronin"/>
    <n v="225"/>
    <x v="0"/>
    <x v="5"/>
    <x v="0"/>
    <n v="162"/>
    <n v="33.6"/>
    <n v="16.7"/>
    <n v="132031"/>
    <n v="28"/>
    <n v="36969"/>
    <n v="169000"/>
    <n v="194683"/>
    <n v="64"/>
    <n v="3.3"/>
    <s v="Might reconsider"/>
    <s v="Medium"/>
  </r>
  <r>
    <s v="TVS"/>
    <s v="Jupiter 110"/>
    <n v="109"/>
    <x v="1"/>
    <x v="3"/>
    <x v="2"/>
    <n v="88"/>
    <n v="73.900000000000006"/>
    <n v="8.5"/>
    <n v="59375"/>
    <n v="28"/>
    <n v="16625"/>
    <n v="76000"/>
    <n v="89033"/>
    <n v="61"/>
    <n v="5.7"/>
    <s v="Will definitely switch"/>
    <s v="Very High"/>
  </r>
  <r>
    <s v="Hero"/>
    <s v="Xpulse 200 4V"/>
    <n v="199"/>
    <x v="0"/>
    <x v="1"/>
    <x v="0"/>
    <n v="131"/>
    <n v="41.5"/>
    <n v="10.7"/>
    <n v="116406"/>
    <n v="28"/>
    <n v="32594"/>
    <n v="149000"/>
    <n v="177103"/>
    <n v="68"/>
    <n v="8"/>
    <s v="Will likely switch brand"/>
    <s v="High"/>
  </r>
  <r>
    <s v="Bajaj"/>
    <s v="CT100"/>
    <n v="102"/>
    <x v="1"/>
    <x v="0"/>
    <x v="1"/>
    <n v="85"/>
    <n v="63.5"/>
    <n v="8.5"/>
    <n v="45312"/>
    <n v="28"/>
    <n v="12688"/>
    <n v="58000"/>
    <n v="70244"/>
    <n v="55"/>
    <n v="13"/>
    <s v="Will definitely switch"/>
    <s v="Very High"/>
  </r>
  <r>
    <s v="Yamaha"/>
    <s v="FZS 25"/>
    <n v="249"/>
    <x v="0"/>
    <x v="5"/>
    <x v="0"/>
    <n v="162"/>
    <n v="32.4"/>
    <n v="14.7"/>
    <n v="125781"/>
    <n v="28"/>
    <n v="35219"/>
    <n v="161000"/>
    <n v="187357"/>
    <n v="75"/>
    <n v="6.9"/>
    <s v="Will likely switch brand"/>
    <s v="High"/>
  </r>
  <r>
    <s v="Royal Enfield"/>
    <s v="Meteor 350"/>
    <n v="349"/>
    <x v="2"/>
    <x v="1"/>
    <x v="2"/>
    <n v="141"/>
    <n v="33.299999999999997"/>
    <n v="19.899999999999999"/>
    <n v="157812"/>
    <n v="28"/>
    <n v="44188"/>
    <n v="202000"/>
    <n v="230411"/>
    <n v="68"/>
    <n v="4.0999999999999996"/>
    <s v="Might reconsider"/>
    <s v="Medium"/>
  </r>
  <r>
    <s v="KTM"/>
    <s v="Duke 200"/>
    <n v="199"/>
    <x v="0"/>
    <x v="4"/>
    <x v="0"/>
    <n v="137"/>
    <n v="40.299999999999997"/>
    <n v="11.2"/>
    <n v="145312"/>
    <n v="28"/>
    <n v="40688"/>
    <n v="186000"/>
    <n v="214242"/>
    <n v="75"/>
    <n v="1.1000000000000001"/>
    <s v="Likely to buy"/>
    <s v="Low"/>
  </r>
  <r>
    <s v="TVS"/>
    <s v="Apache RR 310"/>
    <n v="312"/>
    <x v="2"/>
    <x v="1"/>
    <x v="0"/>
    <n v="164"/>
    <n v="35.799999999999997"/>
    <n v="18.3"/>
    <n v="227344"/>
    <n v="28"/>
    <n v="63656"/>
    <n v="291000"/>
    <n v="331997"/>
    <n v="78"/>
    <n v="11.3"/>
    <s v="Will definitely switch"/>
    <s v="Very High"/>
  </r>
  <r>
    <s v="TVS"/>
    <s v="Star City Plus"/>
    <n v="109"/>
    <x v="1"/>
    <x v="2"/>
    <x v="2"/>
    <n v="85"/>
    <n v="67.400000000000006"/>
    <n v="8.8000000000000007"/>
    <n v="60156"/>
    <n v="28"/>
    <n v="16844"/>
    <n v="77000"/>
    <n v="92597"/>
    <n v="66"/>
    <n v="1"/>
    <s v="Likely to buy"/>
    <s v="Low"/>
  </r>
  <r>
    <s v="TVS"/>
    <s v="Ronin"/>
    <n v="225"/>
    <x v="0"/>
    <x v="4"/>
    <x v="0"/>
    <n v="144"/>
    <n v="35.5"/>
    <n v="19.3"/>
    <n v="121094"/>
    <n v="28"/>
    <n v="33906"/>
    <n v="155000"/>
    <n v="180088"/>
    <n v="74"/>
    <n v="2.2999999999999998"/>
    <s v="Might reconsider"/>
    <s v="Medium"/>
  </r>
  <r>
    <s v="Suzuki"/>
    <s v="Access 125"/>
    <n v="124"/>
    <x v="1"/>
    <x v="0"/>
    <x v="2"/>
    <n v="109"/>
    <n v="56.1"/>
    <n v="12.4"/>
    <n v="69531"/>
    <n v="28"/>
    <n v="19469"/>
    <n v="89000"/>
    <n v="105141"/>
    <n v="65"/>
    <n v="12.5"/>
    <s v="Will definitely switch"/>
    <s v="Very High"/>
  </r>
  <r>
    <s v="Hero"/>
    <s v="Xpulse 200"/>
    <n v="199"/>
    <x v="0"/>
    <x v="5"/>
    <x v="0"/>
    <n v="132"/>
    <n v="45.5"/>
    <n v="10.9"/>
    <n v="111719"/>
    <n v="28"/>
    <n v="31281"/>
    <n v="143000"/>
    <n v="167991"/>
    <n v="79"/>
    <n v="5.5"/>
    <s v="Will likely switch brand"/>
    <s v="High"/>
  </r>
  <r>
    <s v="Bajaj"/>
    <s v="Pulsar N160"/>
    <n v="160"/>
    <x v="0"/>
    <x v="1"/>
    <x v="0"/>
    <n v="134"/>
    <n v="38.6"/>
    <n v="11.4"/>
    <n v="95312"/>
    <n v="28"/>
    <n v="26688"/>
    <n v="122000"/>
    <n v="141876"/>
    <n v="72"/>
    <n v="6.7"/>
    <s v="Will likely switch brand"/>
    <s v="High"/>
  </r>
  <r>
    <s v="Bajaj"/>
    <s v="Pulsar NS200"/>
    <n v="199"/>
    <x v="0"/>
    <x v="5"/>
    <x v="0"/>
    <n v="129"/>
    <n v="38.5"/>
    <n v="10.6"/>
    <n v="116406"/>
    <n v="28"/>
    <n v="32594"/>
    <n v="149000"/>
    <n v="173062"/>
    <n v="76"/>
    <n v="1.6"/>
    <s v="Likely to buy"/>
    <s v="Low"/>
  </r>
  <r>
    <s v="TVS"/>
    <s v="Star City Plus"/>
    <n v="109"/>
    <x v="1"/>
    <x v="3"/>
    <x v="2"/>
    <n v="90"/>
    <n v="66"/>
    <n v="9.1"/>
    <n v="68750"/>
    <n v="28"/>
    <n v="19250"/>
    <n v="88000"/>
    <n v="102385"/>
    <n v="61"/>
    <n v="14.3"/>
    <s v="Will definitely switch"/>
    <s v="Very High"/>
  </r>
  <r>
    <s v="Suzuki"/>
    <s v="Gixxer SF 250"/>
    <n v="249"/>
    <x v="0"/>
    <x v="3"/>
    <x v="0"/>
    <n v="141"/>
    <n v="29.1"/>
    <n v="15.6"/>
    <n v="146094"/>
    <n v="28"/>
    <n v="40906"/>
    <n v="187000"/>
    <n v="216605"/>
    <n v="66"/>
    <n v="2.8"/>
    <s v="Might reconsider"/>
    <s v="Medium"/>
  </r>
  <r>
    <s v="Honda"/>
    <s v="CD 110 Dream"/>
    <n v="109"/>
    <x v="1"/>
    <x v="4"/>
    <x v="1"/>
    <n v="91"/>
    <n v="78.400000000000006"/>
    <n v="8.1999999999999993"/>
    <n v="61719"/>
    <n v="28"/>
    <n v="17281"/>
    <n v="79000"/>
    <n v="91881"/>
    <n v="67"/>
    <n v="7.2"/>
    <s v="Will likely switch brand"/>
    <s v="High"/>
  </r>
  <r>
    <s v="Royal Enfield"/>
    <s v="Bullet 350"/>
    <n v="346"/>
    <x v="2"/>
    <x v="3"/>
    <x v="1"/>
    <n v="163"/>
    <n v="31.5"/>
    <n v="17.8"/>
    <n v="128125"/>
    <n v="28"/>
    <n v="35875"/>
    <n v="164000"/>
    <n v="192737"/>
    <n v="65"/>
    <n v="7.9"/>
    <s v="Will definitely switch"/>
    <s v="Very High"/>
  </r>
  <r>
    <s v="Bajaj"/>
    <s v="Platina 110 H-Gear"/>
    <n v="115"/>
    <x v="1"/>
    <x v="4"/>
    <x v="2"/>
    <n v="106"/>
    <n v="60.1"/>
    <n v="12.6"/>
    <n v="60938"/>
    <n v="28"/>
    <n v="17062"/>
    <n v="78000"/>
    <n v="93669"/>
    <n v="71"/>
    <n v="9.6999999999999993"/>
    <s v="Will likely switch brand"/>
    <s v="High"/>
  </r>
  <r>
    <s v="Yamaha"/>
    <s v="R15M"/>
    <n v="155"/>
    <x v="0"/>
    <x v="1"/>
    <x v="0"/>
    <n v="133"/>
    <n v="40.799999999999997"/>
    <n v="11"/>
    <n v="153906"/>
    <n v="28"/>
    <n v="43094"/>
    <n v="197000"/>
    <n v="226395"/>
    <n v="70"/>
    <n v="10"/>
    <s v="Will likely switch brand"/>
    <s v="High"/>
  </r>
  <r>
    <s v="Suzuki"/>
    <s v="Gixxer 250"/>
    <n v="249"/>
    <x v="0"/>
    <x v="1"/>
    <x v="0"/>
    <n v="165"/>
    <n v="31.8"/>
    <n v="16.5"/>
    <n v="151562"/>
    <n v="28"/>
    <n v="42438"/>
    <n v="194000"/>
    <n v="229522"/>
    <n v="70"/>
    <n v="5.8"/>
    <s v="Will likely switch brand"/>
    <s v="High"/>
  </r>
  <r>
    <s v="Royal Enfield"/>
    <s v="Interceptor 650"/>
    <n v="648"/>
    <x v="2"/>
    <x v="3"/>
    <x v="1"/>
    <n v="209"/>
    <n v="24.1"/>
    <n v="16.7"/>
    <n v="238931"/>
    <n v="31"/>
    <n v="74069"/>
    <n v="313000"/>
    <n v="353614"/>
    <n v="67"/>
    <n v="1.8"/>
    <s v="Likely to buy"/>
    <s v="Low"/>
  </r>
  <r>
    <s v="Bajaj"/>
    <s v="Dominar 400"/>
    <n v="373"/>
    <x v="2"/>
    <x v="4"/>
    <x v="0"/>
    <n v="210"/>
    <n v="22.2"/>
    <n v="17"/>
    <n v="196947"/>
    <n v="31"/>
    <n v="61053"/>
    <n v="258000"/>
    <n v="293894"/>
    <n v="70"/>
    <n v="11.7"/>
    <s v="Will definitely switch"/>
    <s v="Very High"/>
  </r>
  <r>
    <s v="Royal Enfield"/>
    <s v="Interceptor 650"/>
    <n v="648"/>
    <x v="2"/>
    <x v="0"/>
    <x v="1"/>
    <n v="180"/>
    <n v="20.6"/>
    <n v="17.899999999999999"/>
    <n v="241985"/>
    <n v="31"/>
    <n v="75015"/>
    <n v="317000"/>
    <n v="370591"/>
    <n v="68"/>
    <n v="13.8"/>
    <s v="Will definitely switch"/>
    <s v="Very High"/>
  </r>
  <r>
    <s v="Royal Enfield"/>
    <s v="Himalayan 450"/>
    <n v="452"/>
    <x v="2"/>
    <x v="3"/>
    <x v="0"/>
    <n v="191"/>
    <n v="23.8"/>
    <n v="13.3"/>
    <n v="232824"/>
    <n v="31"/>
    <n v="72176"/>
    <n v="305000"/>
    <n v="351632"/>
    <n v="85"/>
    <n v="5.3"/>
    <s v="Will likely switch brand"/>
    <s v="High"/>
  </r>
  <r>
    <s v="Hero"/>
    <s v="Xpulse 200"/>
    <n v="199"/>
    <x v="0"/>
    <x v="5"/>
    <x v="0"/>
    <n v="139"/>
    <n v="40.299999999999997"/>
    <n v="12.9"/>
    <n v="108594"/>
    <n v="28"/>
    <n v="30406"/>
    <n v="139000"/>
    <n v="158972"/>
    <n v="71"/>
    <n v="12.3"/>
    <s v="Will definitely switch"/>
    <s v="Very High"/>
  </r>
  <r>
    <s v="Royal Enfield"/>
    <s v="Classic 350"/>
    <n v="349"/>
    <x v="2"/>
    <x v="5"/>
    <x v="2"/>
    <n v="156"/>
    <n v="34.1"/>
    <n v="17.899999999999999"/>
    <n v="141406"/>
    <n v="28"/>
    <n v="39594"/>
    <n v="181000"/>
    <n v="207110"/>
    <n v="71"/>
    <n v="14.4"/>
    <s v="Will definitely switch"/>
    <s v="Very High"/>
  </r>
  <r>
    <s v="KTM"/>
    <s v="Duke 125"/>
    <n v="124"/>
    <x v="0"/>
    <x v="2"/>
    <x v="0"/>
    <n v="118"/>
    <n v="58.1"/>
    <n v="11.3"/>
    <n v="138281"/>
    <n v="28"/>
    <n v="38719"/>
    <n v="177000"/>
    <n v="202640"/>
    <n v="80"/>
    <n v="14.4"/>
    <s v="Will definitely switch"/>
    <s v="Very High"/>
  </r>
  <r>
    <s v="Suzuki"/>
    <s v="V-Strom SX"/>
    <n v="249"/>
    <x v="2"/>
    <x v="2"/>
    <x v="0"/>
    <n v="145"/>
    <n v="33.299999999999997"/>
    <n v="15.1"/>
    <n v="177344"/>
    <n v="28"/>
    <n v="49656"/>
    <n v="227000"/>
    <n v="266891"/>
    <n v="74"/>
    <n v="5.3"/>
    <s v="Will likely switch brand"/>
    <s v="High"/>
  </r>
  <r>
    <s v="Bajaj"/>
    <s v="Platina 110 H-Gear"/>
    <n v="115"/>
    <x v="1"/>
    <x v="1"/>
    <x v="2"/>
    <n v="106"/>
    <n v="59.6"/>
    <n v="10.9"/>
    <n v="64844"/>
    <n v="28"/>
    <n v="18156"/>
    <n v="83000"/>
    <n v="100458"/>
    <n v="59"/>
    <n v="9.4"/>
    <s v="Will definitely switch"/>
    <s v="Very High"/>
  </r>
  <r>
    <s v="Honda"/>
    <s v="Unicorn"/>
    <n v="160"/>
    <x v="0"/>
    <x v="0"/>
    <x v="2"/>
    <n v="130"/>
    <n v="40.5"/>
    <n v="13.3"/>
    <n v="96094"/>
    <n v="28"/>
    <n v="26906"/>
    <n v="123000"/>
    <n v="142030"/>
    <n v="64"/>
    <n v="9.9"/>
    <s v="Will definitely switch"/>
    <s v="Very High"/>
  </r>
  <r>
    <s v="Royal Enfield"/>
    <s v="Bullet 350"/>
    <n v="346"/>
    <x v="2"/>
    <x v="0"/>
    <x v="1"/>
    <n v="165"/>
    <n v="30.9"/>
    <n v="15.7"/>
    <n v="135938"/>
    <n v="28"/>
    <n v="38062"/>
    <n v="174000"/>
    <n v="198131"/>
    <n v="60"/>
    <n v="11.1"/>
    <s v="Will definitely switch"/>
    <s v="Very High"/>
  </r>
  <r>
    <s v="KTM"/>
    <s v="Duke 390"/>
    <n v="373"/>
    <x v="2"/>
    <x v="1"/>
    <x v="0"/>
    <n v="184"/>
    <n v="21.2"/>
    <n v="17.600000000000001"/>
    <n v="254198"/>
    <n v="31"/>
    <n v="78802"/>
    <n v="333000"/>
    <n v="388247"/>
    <n v="72"/>
    <n v="12.6"/>
    <s v="Will definitely switch"/>
    <s v="Very High"/>
  </r>
  <r>
    <s v="Bajaj"/>
    <s v="Pulsar RS200"/>
    <n v="199"/>
    <x v="0"/>
    <x v="4"/>
    <x v="0"/>
    <n v="128"/>
    <n v="37.200000000000003"/>
    <n v="13.6"/>
    <n v="129688"/>
    <n v="28"/>
    <n v="36312"/>
    <n v="166000"/>
    <n v="190764"/>
    <n v="68"/>
    <n v="2"/>
    <s v="Likely to buy"/>
    <s v="Low"/>
  </r>
  <r>
    <s v="Bajaj"/>
    <s v="CT100"/>
    <n v="102"/>
    <x v="1"/>
    <x v="2"/>
    <x v="1"/>
    <n v="100"/>
    <n v="67.3"/>
    <n v="8.3000000000000007"/>
    <n v="48438"/>
    <n v="28"/>
    <n v="13562"/>
    <n v="62000"/>
    <n v="73671"/>
    <n v="55"/>
    <n v="7"/>
    <s v="Will definitely switch"/>
    <s v="Very High"/>
  </r>
  <r>
    <s v="KTM"/>
    <s v="RC 390"/>
    <n v="373"/>
    <x v="2"/>
    <x v="5"/>
    <x v="0"/>
    <n v="195"/>
    <n v="21.5"/>
    <n v="15.1"/>
    <n v="241985"/>
    <n v="31"/>
    <n v="75015"/>
    <n v="317000"/>
    <n v="357235"/>
    <n v="79"/>
    <n v="4.7"/>
    <s v="Might reconsider"/>
    <s v="Medium"/>
  </r>
  <r>
    <s v="Honda"/>
    <s v="SP 125"/>
    <n v="124"/>
    <x v="1"/>
    <x v="2"/>
    <x v="0"/>
    <n v="105"/>
    <n v="49.1"/>
    <n v="12.5"/>
    <n v="71094"/>
    <n v="28"/>
    <n v="19906"/>
    <n v="91000"/>
    <n v="107249"/>
    <n v="72"/>
    <n v="2.2000000000000002"/>
    <s v="Might reconsider"/>
    <s v="Medium"/>
  </r>
  <r>
    <s v="Yamaha"/>
    <s v="MT-15 V2"/>
    <n v="155"/>
    <x v="0"/>
    <x v="3"/>
    <x v="0"/>
    <n v="135"/>
    <n v="46.8"/>
    <n v="11.9"/>
    <n v="126562"/>
    <n v="28"/>
    <n v="35438"/>
    <n v="162000"/>
    <n v="183735"/>
    <n v="74"/>
    <n v="5.3"/>
    <s v="Will likely switch brand"/>
    <s v="High"/>
  </r>
  <r>
    <s v="TVS"/>
    <s v="Jupiter 110"/>
    <n v="109"/>
    <x v="1"/>
    <x v="3"/>
    <x v="2"/>
    <n v="99"/>
    <n v="67.8"/>
    <n v="8.5"/>
    <n v="58594"/>
    <n v="28"/>
    <n v="16406"/>
    <n v="75000"/>
    <n v="88722"/>
    <n v="61"/>
    <n v="4.7"/>
    <s v="Might reconsider"/>
    <s v="Medium"/>
  </r>
  <r>
    <s v="TVS"/>
    <s v="Raider 125"/>
    <n v="124"/>
    <x v="1"/>
    <x v="1"/>
    <x v="0"/>
    <n v="116"/>
    <n v="49.5"/>
    <n v="10.9"/>
    <n v="75000"/>
    <n v="28"/>
    <n v="21000"/>
    <n v="96000"/>
    <n v="110874"/>
    <n v="71"/>
    <n v="6.8"/>
    <s v="Will likely switch brand"/>
    <s v="High"/>
  </r>
  <r>
    <s v="Hero"/>
    <s v="Xpulse 200"/>
    <n v="199"/>
    <x v="0"/>
    <x v="3"/>
    <x v="0"/>
    <n v="135"/>
    <n v="43.9"/>
    <n v="11.2"/>
    <n v="119531"/>
    <n v="28"/>
    <n v="33469"/>
    <n v="153000"/>
    <n v="180313"/>
    <n v="77"/>
    <n v="13.3"/>
    <s v="Will definitely switch"/>
    <s v="Very High"/>
  </r>
  <r>
    <s v="KTM"/>
    <s v="Duke 125"/>
    <n v="124"/>
    <x v="0"/>
    <x v="3"/>
    <x v="0"/>
    <n v="109"/>
    <n v="59"/>
    <n v="10.7"/>
    <n v="145312"/>
    <n v="28"/>
    <n v="40688"/>
    <n v="186000"/>
    <n v="217758"/>
    <n v="71"/>
    <n v="14.3"/>
    <s v="Will definitely switch"/>
    <s v="Very High"/>
  </r>
  <r>
    <s v="Bajaj"/>
    <s v="Platina 100"/>
    <n v="102"/>
    <x v="1"/>
    <x v="2"/>
    <x v="1"/>
    <n v="98"/>
    <n v="62.9"/>
    <n v="8.3000000000000007"/>
    <n v="57031"/>
    <n v="28"/>
    <n v="15969"/>
    <n v="73000"/>
    <n v="87309"/>
    <n v="58"/>
    <n v="15"/>
    <s v="Will definitely switch"/>
    <s v="Very High"/>
  </r>
  <r>
    <s v="TVS"/>
    <s v="Jupiter 110"/>
    <n v="109"/>
    <x v="1"/>
    <x v="5"/>
    <x v="2"/>
    <n v="97"/>
    <n v="68.099999999999994"/>
    <n v="9"/>
    <n v="60938"/>
    <n v="28"/>
    <n v="17062"/>
    <n v="78000"/>
    <n v="92464"/>
    <n v="69"/>
    <n v="5.6"/>
    <s v="Will likely switch brand"/>
    <s v="High"/>
  </r>
  <r>
    <s v="Hero"/>
    <s v="HF Deluxe"/>
    <n v="97"/>
    <x v="1"/>
    <x v="1"/>
    <x v="1"/>
    <n v="89"/>
    <n v="63.5"/>
    <n v="9.5"/>
    <n v="57031"/>
    <n v="28"/>
    <n v="15969"/>
    <n v="73000"/>
    <n v="87330"/>
    <n v="58"/>
    <n v="8.9"/>
    <s v="Will definitely switch"/>
    <s v="Very High"/>
  </r>
  <r>
    <s v="Honda"/>
    <s v="SP 125"/>
    <n v="124"/>
    <x v="1"/>
    <x v="2"/>
    <x v="0"/>
    <n v="116"/>
    <n v="59.9"/>
    <n v="11.9"/>
    <n v="82031"/>
    <n v="28"/>
    <n v="22969"/>
    <n v="105000"/>
    <n v="122296"/>
    <n v="72"/>
    <n v="4.7"/>
    <s v="Might reconsider"/>
    <s v="Medium"/>
  </r>
  <r>
    <s v="Yamaha"/>
    <s v="FZS 25"/>
    <n v="249"/>
    <x v="0"/>
    <x v="5"/>
    <x v="0"/>
    <n v="152"/>
    <n v="33.4"/>
    <n v="17.8"/>
    <n v="119531"/>
    <n v="28"/>
    <n v="33469"/>
    <n v="153000"/>
    <n v="176449"/>
    <n v="65"/>
    <n v="6.5"/>
    <s v="Will definitely switch"/>
    <s v="Very High"/>
  </r>
  <r>
    <s v="Hero"/>
    <s v="Xtreme 160R"/>
    <n v="163"/>
    <x v="0"/>
    <x v="3"/>
    <x v="0"/>
    <n v="129"/>
    <n v="40.4"/>
    <n v="13.4"/>
    <n v="109375"/>
    <n v="28"/>
    <n v="30625"/>
    <n v="140000"/>
    <n v="165150"/>
    <n v="72"/>
    <n v="4.9000000000000004"/>
    <s v="Might reconsider"/>
    <s v="Medium"/>
  </r>
  <r>
    <s v="Honda"/>
    <s v="SP 125"/>
    <n v="124"/>
    <x v="1"/>
    <x v="1"/>
    <x v="0"/>
    <n v="115"/>
    <n v="58.6"/>
    <n v="12.6"/>
    <n v="82031"/>
    <n v="28"/>
    <n v="22969"/>
    <n v="105000"/>
    <n v="121952"/>
    <n v="70"/>
    <n v="11.2"/>
    <s v="Will definitely switch"/>
    <s v="Very High"/>
  </r>
  <r>
    <s v="Bajaj"/>
    <s v="Pulsar 150"/>
    <n v="149"/>
    <x v="0"/>
    <x v="4"/>
    <x v="2"/>
    <n v="116"/>
    <n v="58.4"/>
    <n v="10.3"/>
    <n v="89062"/>
    <n v="28"/>
    <n v="24938"/>
    <n v="114000"/>
    <n v="135618"/>
    <n v="62"/>
    <n v="8.1999999999999993"/>
    <s v="Will definitely switch"/>
    <s v="Very High"/>
  </r>
  <r>
    <s v="Yamaha"/>
    <s v="R3"/>
    <n v="321"/>
    <x v="2"/>
    <x v="4"/>
    <x v="0"/>
    <n v="146"/>
    <n v="28.4"/>
    <n v="13.2"/>
    <n v="346094"/>
    <n v="28"/>
    <n v="96906"/>
    <n v="443000"/>
    <n v="514535"/>
    <n v="73"/>
    <n v="12.7"/>
    <s v="Will definitely switch"/>
    <s v="Very High"/>
  </r>
  <r>
    <s v="Hero"/>
    <s v="Xtreme 160R"/>
    <n v="163"/>
    <x v="0"/>
    <x v="4"/>
    <x v="0"/>
    <n v="140"/>
    <n v="42.1"/>
    <n v="11.5"/>
    <n v="112500"/>
    <n v="28"/>
    <n v="31500"/>
    <n v="144000"/>
    <n v="168589"/>
    <n v="69"/>
    <n v="10.5"/>
    <s v="Will definitely switch"/>
    <s v="Very High"/>
  </r>
  <r>
    <s v="Yamaha"/>
    <s v="Saluto RX"/>
    <n v="113"/>
    <x v="1"/>
    <x v="3"/>
    <x v="1"/>
    <n v="113"/>
    <n v="52.9"/>
    <n v="10.199999999999999"/>
    <n v="55469"/>
    <n v="28"/>
    <n v="15531"/>
    <n v="71000"/>
    <n v="85548"/>
    <n v="51"/>
    <n v="5"/>
    <s v="Might reconsider"/>
    <s v="Medium"/>
  </r>
  <r>
    <s v="Bajaj"/>
    <s v="Pulsar N250"/>
    <n v="249"/>
    <x v="0"/>
    <x v="2"/>
    <x v="0"/>
    <n v="156"/>
    <n v="33.200000000000003"/>
    <n v="13.1"/>
    <n v="135938"/>
    <n v="28"/>
    <n v="38062"/>
    <n v="174000"/>
    <n v="203106"/>
    <n v="65"/>
    <n v="13.1"/>
    <s v="Will definitely switch"/>
    <s v="Very High"/>
  </r>
  <r>
    <s v="Honda"/>
    <s v="CB300R"/>
    <n v="293"/>
    <x v="2"/>
    <x v="3"/>
    <x v="0"/>
    <n v="149"/>
    <n v="32.799999999999997"/>
    <n v="19"/>
    <n v="215625"/>
    <n v="28"/>
    <n v="60375"/>
    <n v="276000"/>
    <n v="316076"/>
    <n v="82"/>
    <n v="4.9000000000000004"/>
    <s v="Might reconsider"/>
    <s v="Medium"/>
  </r>
  <r>
    <s v="Yamaha"/>
    <s v="FZ-S V3"/>
    <n v="149"/>
    <x v="0"/>
    <x v="2"/>
    <x v="2"/>
    <n v="108"/>
    <n v="53.6"/>
    <n v="13.9"/>
    <n v="97656"/>
    <n v="28"/>
    <n v="27344"/>
    <n v="125000"/>
    <n v="147330"/>
    <n v="62"/>
    <n v="8.1999999999999993"/>
    <s v="Will definitely switch"/>
    <s v="Very High"/>
  </r>
  <r>
    <s v="Royal Enfield"/>
    <s v="Guerrilla 450"/>
    <n v="452"/>
    <x v="2"/>
    <x v="2"/>
    <x v="0"/>
    <n v="164"/>
    <n v="19.899999999999999"/>
    <n v="15.3"/>
    <n v="223664"/>
    <n v="31"/>
    <n v="69336"/>
    <n v="293000"/>
    <n v="338649"/>
    <n v="82"/>
    <n v="14.8"/>
    <s v="Will definitely switch"/>
    <s v="Very High"/>
  </r>
  <r>
    <s v="TVS"/>
    <s v="Apache RTR 160"/>
    <n v="159"/>
    <x v="0"/>
    <x v="1"/>
    <x v="2"/>
    <n v="136"/>
    <n v="38.9"/>
    <n v="11.6"/>
    <n v="89844"/>
    <n v="28"/>
    <n v="25156"/>
    <n v="115000"/>
    <n v="136196"/>
    <n v="62"/>
    <n v="13.6"/>
    <s v="Will definitely switch"/>
    <s v="Very High"/>
  </r>
  <r>
    <s v="Royal Enfield"/>
    <s v="Meteor 350"/>
    <n v="349"/>
    <x v="2"/>
    <x v="0"/>
    <x v="2"/>
    <n v="153"/>
    <n v="30.2"/>
    <n v="17.100000000000001"/>
    <n v="168750"/>
    <n v="28"/>
    <n v="47250"/>
    <n v="216000"/>
    <n v="252033"/>
    <n v="72"/>
    <n v="6.4"/>
    <s v="Will likely switch brand"/>
    <s v="High"/>
  </r>
  <r>
    <s v="Bajaj"/>
    <s v="Pulsar 150"/>
    <n v="149"/>
    <x v="0"/>
    <x v="4"/>
    <x v="2"/>
    <n v="116"/>
    <n v="58.8"/>
    <n v="13.4"/>
    <n v="87500"/>
    <n v="28"/>
    <n v="24500"/>
    <n v="112000"/>
    <n v="133667"/>
    <n v="70"/>
    <n v="5.2"/>
    <s v="Will likely switch brand"/>
    <s v="High"/>
  </r>
  <r>
    <s v="Suzuki"/>
    <s v="V-Strom SX"/>
    <n v="249"/>
    <x v="2"/>
    <x v="5"/>
    <x v="0"/>
    <n v="157"/>
    <n v="33.700000000000003"/>
    <n v="17.600000000000001"/>
    <n v="163281"/>
    <n v="28"/>
    <n v="45719"/>
    <n v="209000"/>
    <n v="236400"/>
    <n v="70"/>
    <n v="14.3"/>
    <s v="Will definitely switch"/>
    <s v="Very High"/>
  </r>
  <r>
    <s v="Bajaj"/>
    <s v="Pulsar RS200"/>
    <n v="199"/>
    <x v="0"/>
    <x v="0"/>
    <x v="0"/>
    <n v="138"/>
    <n v="40.700000000000003"/>
    <n v="11.9"/>
    <n v="133594"/>
    <n v="28"/>
    <n v="37406"/>
    <n v="171000"/>
    <n v="199308"/>
    <n v="71"/>
    <n v="7.5"/>
    <s v="Will likely switch brand"/>
    <s v="High"/>
  </r>
  <r>
    <s v="Hero"/>
    <s v="Mavrick 440"/>
    <n v="440"/>
    <x v="2"/>
    <x v="4"/>
    <x v="0"/>
    <n v="179"/>
    <n v="21.4"/>
    <n v="14"/>
    <n v="170992"/>
    <n v="31"/>
    <n v="53008"/>
    <n v="224000"/>
    <n v="255708"/>
    <n v="81"/>
    <n v="1.8"/>
    <s v="Likely to buy"/>
    <s v="Low"/>
  </r>
  <r>
    <s v="Bajaj"/>
    <s v="Pulsar N160"/>
    <n v="160"/>
    <x v="0"/>
    <x v="2"/>
    <x v="0"/>
    <n v="125"/>
    <n v="38.4"/>
    <n v="13.9"/>
    <n v="99219"/>
    <n v="28"/>
    <n v="27781"/>
    <n v="127000"/>
    <n v="152127"/>
    <n v="68"/>
    <n v="7.8"/>
    <s v="Will likely switch brand"/>
    <s v="High"/>
  </r>
  <r>
    <s v="Royal Enfield"/>
    <s v="Meteor 350"/>
    <n v="349"/>
    <x v="2"/>
    <x v="0"/>
    <x v="2"/>
    <n v="145"/>
    <n v="32.6"/>
    <n v="13.9"/>
    <n v="167969"/>
    <n v="28"/>
    <n v="47031"/>
    <n v="215000"/>
    <n v="242557"/>
    <n v="73"/>
    <n v="12"/>
    <s v="Will definitely switch"/>
    <s v="Very High"/>
  </r>
  <r>
    <s v="KTM"/>
    <s v="RC 390"/>
    <n v="373"/>
    <x v="2"/>
    <x v="0"/>
    <x v="0"/>
    <n v="194"/>
    <n v="19.399999999999999"/>
    <n v="19.2"/>
    <n v="261069"/>
    <n v="31"/>
    <n v="80931"/>
    <n v="342000"/>
    <n v="395311"/>
    <n v="74"/>
    <n v="11.2"/>
    <s v="Will definitely switch"/>
    <s v="Very High"/>
  </r>
  <r>
    <s v="Suzuki"/>
    <s v="Gixxer"/>
    <n v="155"/>
    <x v="0"/>
    <x v="3"/>
    <x v="2"/>
    <n v="131"/>
    <n v="39.200000000000003"/>
    <n v="12"/>
    <n v="100000"/>
    <n v="28"/>
    <n v="28000"/>
    <n v="128000"/>
    <n v="150168"/>
    <n v="62"/>
    <n v="2.8"/>
    <s v="Might reconsider"/>
    <s v="Medium"/>
  </r>
  <r>
    <s v="TVS"/>
    <s v="Ronin"/>
    <n v="225"/>
    <x v="0"/>
    <x v="3"/>
    <x v="0"/>
    <n v="156"/>
    <n v="31.7"/>
    <n v="19.2"/>
    <n v="121875"/>
    <n v="28"/>
    <n v="34125"/>
    <n v="156000"/>
    <n v="182422"/>
    <n v="73"/>
    <n v="8.3000000000000007"/>
    <s v="Will likely switch brand"/>
    <s v="High"/>
  </r>
  <r>
    <s v="Honda"/>
    <s v="CB350 H'ness"/>
    <n v="348"/>
    <x v="2"/>
    <x v="4"/>
    <x v="0"/>
    <n v="165"/>
    <n v="29.4"/>
    <n v="18.100000000000001"/>
    <n v="160156"/>
    <n v="28"/>
    <n v="44844"/>
    <n v="205000"/>
    <n v="239185"/>
    <n v="78"/>
    <n v="1.3"/>
    <s v="Likely to buy"/>
    <s v="Low"/>
  </r>
  <r>
    <s v="Honda"/>
    <s v="CB300R"/>
    <n v="293"/>
    <x v="2"/>
    <x v="2"/>
    <x v="0"/>
    <n v="160"/>
    <n v="31"/>
    <n v="14.8"/>
    <n v="201562"/>
    <n v="28"/>
    <n v="56438"/>
    <n v="258000"/>
    <n v="291714"/>
    <n v="72"/>
    <n v="6.3"/>
    <s v="Will likely switch brand"/>
    <s v="High"/>
  </r>
  <r>
    <s v="Suzuki"/>
    <s v="Gixxer SF"/>
    <n v="155"/>
    <x v="0"/>
    <x v="3"/>
    <x v="2"/>
    <n v="120"/>
    <n v="43.5"/>
    <n v="11.8"/>
    <n v="115625"/>
    <n v="28"/>
    <n v="32375"/>
    <n v="148000"/>
    <n v="170380"/>
    <n v="58"/>
    <n v="10.7"/>
    <s v="Will definitely switch"/>
    <s v="Very High"/>
  </r>
  <r>
    <s v="Honda"/>
    <s v="CB200X"/>
    <n v="184"/>
    <x v="0"/>
    <x v="0"/>
    <x v="0"/>
    <n v="120"/>
    <n v="43.9"/>
    <n v="12.6"/>
    <n v="117969"/>
    <n v="28"/>
    <n v="33031"/>
    <n v="151000"/>
    <n v="175785"/>
    <n v="73"/>
    <n v="6.9"/>
    <s v="Will likely switch brand"/>
    <s v="High"/>
  </r>
  <r>
    <s v="TVS"/>
    <s v="Raider 125"/>
    <n v="124"/>
    <x v="1"/>
    <x v="0"/>
    <x v="0"/>
    <n v="108"/>
    <n v="55.2"/>
    <n v="12"/>
    <n v="75781"/>
    <n v="28"/>
    <n v="21219"/>
    <n v="97000"/>
    <n v="113630"/>
    <n v="67"/>
    <n v="2.6"/>
    <s v="Might reconsider"/>
    <s v="Medium"/>
  </r>
  <r>
    <s v="Bajaj"/>
    <s v="Pulsar N160"/>
    <n v="160"/>
    <x v="0"/>
    <x v="3"/>
    <x v="0"/>
    <n v="129"/>
    <n v="44.1"/>
    <n v="13.6"/>
    <n v="106250"/>
    <n v="28"/>
    <n v="29750"/>
    <n v="136000"/>
    <n v="161596"/>
    <n v="69"/>
    <n v="1.6"/>
    <s v="Likely to buy"/>
    <s v="Low"/>
  </r>
  <r>
    <s v="Yamaha"/>
    <s v="MT-15 V2"/>
    <n v="155"/>
    <x v="0"/>
    <x v="1"/>
    <x v="0"/>
    <n v="135"/>
    <n v="45.4"/>
    <n v="10.3"/>
    <n v="128906"/>
    <n v="28"/>
    <n v="36094"/>
    <n v="165000"/>
    <n v="187836"/>
    <n v="75"/>
    <n v="14.3"/>
    <s v="Will definitely switch"/>
    <s v="Very High"/>
  </r>
  <r>
    <s v="Honda"/>
    <s v="SP 125"/>
    <n v="124"/>
    <x v="1"/>
    <x v="0"/>
    <x v="0"/>
    <n v="106"/>
    <n v="51.9"/>
    <n v="13.4"/>
    <n v="81250"/>
    <n v="28"/>
    <n v="22750"/>
    <n v="104000"/>
    <n v="122282"/>
    <n v="67"/>
    <n v="12.4"/>
    <s v="Will definitely switch"/>
    <s v="Very High"/>
  </r>
  <r>
    <s v="Royal Enfield"/>
    <s v="Scram 411"/>
    <n v="411"/>
    <x v="2"/>
    <x v="2"/>
    <x v="2"/>
    <n v="162"/>
    <n v="23.9"/>
    <n v="17.5"/>
    <n v="171756"/>
    <n v="31"/>
    <n v="53244"/>
    <n v="225000"/>
    <n v="258277"/>
    <n v="70"/>
    <n v="12.9"/>
    <s v="Will definitely switch"/>
    <s v="Very High"/>
  </r>
  <r>
    <s v="Royal Enfield"/>
    <s v="Bullet 350"/>
    <n v="346"/>
    <x v="2"/>
    <x v="3"/>
    <x v="1"/>
    <n v="150"/>
    <n v="31"/>
    <n v="19.7"/>
    <n v="133594"/>
    <n v="28"/>
    <n v="37406"/>
    <n v="171000"/>
    <n v="197311"/>
    <n v="61"/>
    <n v="2.6"/>
    <s v="Might reconsider"/>
    <s v="Medium"/>
  </r>
  <r>
    <s v="TVS"/>
    <s v="Raider 125"/>
    <n v="124"/>
    <x v="1"/>
    <x v="2"/>
    <x v="0"/>
    <n v="110"/>
    <n v="57"/>
    <n v="10.199999999999999"/>
    <n v="78125"/>
    <n v="28"/>
    <n v="21875"/>
    <n v="100000"/>
    <n v="118443"/>
    <n v="64"/>
    <n v="2.9"/>
    <s v="Might reconsider"/>
    <s v="Medium"/>
  </r>
  <r>
    <s v="Bajaj"/>
    <s v="CT100"/>
    <n v="102"/>
    <x v="1"/>
    <x v="5"/>
    <x v="1"/>
    <n v="90"/>
    <n v="73"/>
    <n v="9.1999999999999993"/>
    <n v="43750"/>
    <n v="28"/>
    <n v="12250"/>
    <n v="56000"/>
    <n v="69072"/>
    <n v="64"/>
    <n v="6.3"/>
    <s v="Will definitely switch"/>
    <s v="Very High"/>
  </r>
  <r>
    <s v="Honda"/>
    <s v="CB300R"/>
    <n v="293"/>
    <x v="2"/>
    <x v="2"/>
    <x v="0"/>
    <n v="148"/>
    <n v="28.5"/>
    <n v="19.100000000000001"/>
    <n v="210156"/>
    <n v="28"/>
    <n v="58844"/>
    <n v="269000"/>
    <n v="312422"/>
    <n v="82"/>
    <n v="5.4"/>
    <s v="Will likely switch brand"/>
    <s v="High"/>
  </r>
  <r>
    <s v="Suzuki"/>
    <s v="Gixxer"/>
    <n v="155"/>
    <x v="0"/>
    <x v="1"/>
    <x v="2"/>
    <n v="136"/>
    <n v="45.8"/>
    <n v="10.4"/>
    <n v="110156"/>
    <n v="28"/>
    <n v="30844"/>
    <n v="141000"/>
    <n v="166099"/>
    <n v="72"/>
    <n v="10.6"/>
    <s v="Will definitely switch"/>
    <s v="Very High"/>
  </r>
  <r>
    <s v="TVS"/>
    <s v="Star City Plus"/>
    <n v="109"/>
    <x v="1"/>
    <x v="4"/>
    <x v="2"/>
    <n v="86"/>
    <n v="75.7"/>
    <n v="9"/>
    <n v="64062"/>
    <n v="28"/>
    <n v="17938"/>
    <n v="82000"/>
    <n v="96857"/>
    <n v="61"/>
    <n v="10"/>
    <s v="Will definitely switch"/>
    <s v="Very High"/>
  </r>
  <r>
    <s v="Yamaha"/>
    <s v="FZS 25"/>
    <n v="249"/>
    <x v="0"/>
    <x v="4"/>
    <x v="0"/>
    <n v="150"/>
    <n v="30.6"/>
    <n v="16.899999999999999"/>
    <n v="135938"/>
    <n v="28"/>
    <n v="38062"/>
    <n v="174000"/>
    <n v="203465"/>
    <n v="69"/>
    <n v="1.7"/>
    <s v="Likely to buy"/>
    <s v="Low"/>
  </r>
  <r>
    <s v="Royal Enfield"/>
    <s v="Continental GT 650"/>
    <n v="648"/>
    <x v="2"/>
    <x v="3"/>
    <x v="1"/>
    <n v="191"/>
    <n v="21.7"/>
    <n v="18.2"/>
    <n v="255725"/>
    <n v="31"/>
    <n v="79275"/>
    <n v="335000"/>
    <n v="382422"/>
    <n v="70"/>
    <n v="5.4"/>
    <s v="Will likely switch brand"/>
    <s v="High"/>
  </r>
  <r>
    <s v="Hero"/>
    <s v="Passion Pro"/>
    <n v="110"/>
    <x v="1"/>
    <x v="2"/>
    <x v="2"/>
    <n v="94"/>
    <n v="75.5"/>
    <n v="9.3000000000000007"/>
    <n v="58594"/>
    <n v="28"/>
    <n v="16406"/>
    <n v="75000"/>
    <n v="87323"/>
    <n v="71"/>
    <n v="8.9"/>
    <s v="Will likely switch brand"/>
    <s v="High"/>
  </r>
  <r>
    <s v="Royal Enfield"/>
    <s v="Hunter 350"/>
    <n v="349"/>
    <x v="2"/>
    <x v="2"/>
    <x v="2"/>
    <n v="164"/>
    <n v="30.7"/>
    <n v="17.600000000000001"/>
    <n v="125781"/>
    <n v="28"/>
    <n v="35219"/>
    <n v="161000"/>
    <n v="183638"/>
    <n v="75"/>
    <n v="9.4"/>
    <s v="Will likely switch brand"/>
    <s v="High"/>
  </r>
  <r>
    <s v="Yamaha"/>
    <s v="Saluto RX"/>
    <n v="113"/>
    <x v="1"/>
    <x v="2"/>
    <x v="1"/>
    <n v="114"/>
    <n v="53.1"/>
    <n v="10.4"/>
    <n v="54688"/>
    <n v="28"/>
    <n v="15312"/>
    <n v="70000"/>
    <n v="83535"/>
    <n v="58"/>
    <n v="8.3000000000000007"/>
    <s v="Will definitely switch"/>
    <s v="Very High"/>
  </r>
  <r>
    <s v="Bajaj"/>
    <s v="Platina 100"/>
    <n v="102"/>
    <x v="1"/>
    <x v="3"/>
    <x v="1"/>
    <n v="91"/>
    <n v="63.4"/>
    <n v="8.4"/>
    <n v="53125"/>
    <n v="28"/>
    <n v="14875"/>
    <n v="68000"/>
    <n v="82401"/>
    <n v="58"/>
    <n v="2.7"/>
    <s v="Might reconsider"/>
    <s v="Medium"/>
  </r>
  <r>
    <s v="Bajaj"/>
    <s v="Pulsar 150"/>
    <n v="149"/>
    <x v="0"/>
    <x v="1"/>
    <x v="2"/>
    <n v="108"/>
    <n v="59.5"/>
    <n v="13.8"/>
    <n v="92969"/>
    <n v="28"/>
    <n v="26031"/>
    <n v="119000"/>
    <n v="138182"/>
    <n v="69"/>
    <n v="7.4"/>
    <s v="Will likely switch brand"/>
    <s v="High"/>
  </r>
  <r>
    <s v="Honda"/>
    <s v="CB350 H'ness"/>
    <n v="348"/>
    <x v="2"/>
    <x v="4"/>
    <x v="0"/>
    <n v="158"/>
    <n v="35.299999999999997"/>
    <n v="17.8"/>
    <n v="176562"/>
    <n v="28"/>
    <n v="49438"/>
    <n v="226000"/>
    <n v="258493"/>
    <n v="85"/>
    <n v="13.9"/>
    <s v="Will definitely switch"/>
    <s v="Very High"/>
  </r>
  <r>
    <s v="Bajaj"/>
    <s v="Platina 110 H-Gear"/>
    <n v="115"/>
    <x v="1"/>
    <x v="3"/>
    <x v="2"/>
    <n v="115"/>
    <n v="56.4"/>
    <n v="13.9"/>
    <n v="64844"/>
    <n v="28"/>
    <n v="18156"/>
    <n v="83000"/>
    <n v="97658"/>
    <n v="65"/>
    <n v="13.3"/>
    <s v="Will definitely switch"/>
    <s v="Very High"/>
  </r>
  <r>
    <s v="TVS"/>
    <s v="Star City Plus"/>
    <n v="109"/>
    <x v="1"/>
    <x v="2"/>
    <x v="2"/>
    <n v="89"/>
    <n v="75.099999999999994"/>
    <n v="9"/>
    <n v="61719"/>
    <n v="28"/>
    <n v="17281"/>
    <n v="79000"/>
    <n v="96122"/>
    <n v="67"/>
    <n v="9.4"/>
    <s v="Will likely switch brand"/>
    <s v="High"/>
  </r>
  <r>
    <s v="Suzuki"/>
    <s v="Gixxer SF 250"/>
    <n v="249"/>
    <x v="0"/>
    <x v="2"/>
    <x v="0"/>
    <n v="146"/>
    <n v="29.8"/>
    <n v="15.4"/>
    <n v="160938"/>
    <n v="28"/>
    <n v="45062"/>
    <n v="206000"/>
    <n v="242971"/>
    <n v="72"/>
    <n v="11"/>
    <s v="Will definitely switch"/>
    <s v="Very High"/>
  </r>
  <r>
    <s v="Honda"/>
    <s v="CB300R"/>
    <n v="293"/>
    <x v="2"/>
    <x v="5"/>
    <x v="0"/>
    <n v="160"/>
    <n v="32.299999999999997"/>
    <n v="16.899999999999999"/>
    <n v="227344"/>
    <n v="28"/>
    <n v="63656"/>
    <n v="291000"/>
    <n v="340217"/>
    <n v="77"/>
    <n v="10.9"/>
    <s v="Will definitely switch"/>
    <s v="Very High"/>
  </r>
  <r>
    <s v="KTM"/>
    <s v="Duke 390"/>
    <n v="373"/>
    <x v="2"/>
    <x v="4"/>
    <x v="0"/>
    <n v="193"/>
    <n v="23.6"/>
    <n v="13.4"/>
    <n v="243511"/>
    <n v="31"/>
    <n v="75489"/>
    <n v="319000"/>
    <n v="372632"/>
    <n v="72"/>
    <n v="1.4"/>
    <s v="Likely to buy"/>
    <s v="Low"/>
  </r>
  <r>
    <s v="Hero"/>
    <s v="Xpulse 200"/>
    <n v="199"/>
    <x v="0"/>
    <x v="5"/>
    <x v="0"/>
    <n v="124"/>
    <n v="43.8"/>
    <n v="10.8"/>
    <n v="107812"/>
    <n v="28"/>
    <n v="30188"/>
    <n v="138000"/>
    <n v="160938"/>
    <n v="68"/>
    <n v="10.7"/>
    <s v="Will definitely switch"/>
    <s v="Very High"/>
  </r>
  <r>
    <s v="Suzuki"/>
    <s v="Gixxer 250"/>
    <n v="249"/>
    <x v="0"/>
    <x v="4"/>
    <x v="0"/>
    <n v="147"/>
    <n v="33.799999999999997"/>
    <n v="16.600000000000001"/>
    <n v="133594"/>
    <n v="28"/>
    <n v="37406"/>
    <n v="171000"/>
    <n v="200494"/>
    <n v="73"/>
    <n v="8.9"/>
    <s v="Will likely switch brand"/>
    <s v="High"/>
  </r>
  <r>
    <s v="TVS"/>
    <s v="Apache RTR 160 4V"/>
    <n v="159"/>
    <x v="0"/>
    <x v="2"/>
    <x v="0"/>
    <n v="130"/>
    <n v="46.6"/>
    <n v="11"/>
    <n v="108594"/>
    <n v="28"/>
    <n v="30406"/>
    <n v="139000"/>
    <n v="159318"/>
    <n v="80"/>
    <n v="1.8"/>
    <s v="Likely to buy"/>
    <s v="Low"/>
  </r>
  <r>
    <s v="KTM"/>
    <s v="Adventure 390"/>
    <n v="373"/>
    <x v="2"/>
    <x v="4"/>
    <x v="0"/>
    <n v="197"/>
    <n v="21.3"/>
    <n v="18.399999999999999"/>
    <n v="289313"/>
    <n v="31"/>
    <n v="89687"/>
    <n v="379000"/>
    <n v="444501"/>
    <n v="79"/>
    <n v="11.3"/>
    <s v="Will definitely switch"/>
    <s v="Very High"/>
  </r>
  <r>
    <s v="Bajaj"/>
    <s v="Pulsar 150"/>
    <n v="149"/>
    <x v="0"/>
    <x v="5"/>
    <x v="2"/>
    <n v="108"/>
    <n v="61.1"/>
    <n v="12.2"/>
    <n v="86719"/>
    <n v="28"/>
    <n v="24281"/>
    <n v="111000"/>
    <n v="128278"/>
    <n v="73"/>
    <n v="1.6"/>
    <s v="Likely to buy"/>
    <s v="Low"/>
  </r>
  <r>
    <s v="Honda"/>
    <s v="CB300R"/>
    <n v="293"/>
    <x v="2"/>
    <x v="5"/>
    <x v="0"/>
    <n v="144"/>
    <n v="33.6"/>
    <n v="17.2"/>
    <n v="199219"/>
    <n v="28"/>
    <n v="55781"/>
    <n v="255000"/>
    <n v="295618"/>
    <n v="72"/>
    <n v="3.2"/>
    <s v="Might reconsider"/>
    <s v="Medium"/>
  </r>
  <r>
    <s v="TVS"/>
    <s v="Apache RR 310"/>
    <n v="312"/>
    <x v="2"/>
    <x v="1"/>
    <x v="0"/>
    <n v="147"/>
    <n v="30.6"/>
    <n v="14.1"/>
    <n v="218750"/>
    <n v="28"/>
    <n v="61250"/>
    <n v="280000"/>
    <n v="324117"/>
    <n v="71"/>
    <n v="8.3000000000000007"/>
    <s v="Will likely switch brand"/>
    <s v="High"/>
  </r>
  <r>
    <s v="Suzuki"/>
    <s v="Gixxer 250"/>
    <n v="249"/>
    <x v="0"/>
    <x v="1"/>
    <x v="0"/>
    <n v="150"/>
    <n v="33.299999999999997"/>
    <n v="16.7"/>
    <n v="145312"/>
    <n v="28"/>
    <n v="40688"/>
    <n v="186000"/>
    <n v="210840"/>
    <n v="68"/>
    <n v="5.0999999999999996"/>
    <s v="Will likely switch brand"/>
    <s v="High"/>
  </r>
  <r>
    <s v="Suzuki"/>
    <s v="V-Strom SX"/>
    <n v="249"/>
    <x v="2"/>
    <x v="1"/>
    <x v="0"/>
    <n v="147"/>
    <n v="30.8"/>
    <n v="14.7"/>
    <n v="180469"/>
    <n v="28"/>
    <n v="50531"/>
    <n v="231000"/>
    <n v="270255"/>
    <n v="78"/>
    <n v="9.6"/>
    <s v="Will likely switch brand"/>
    <s v="High"/>
  </r>
  <r>
    <s v="Hero"/>
    <s v="Xtreme 125R"/>
    <n v="125"/>
    <x v="1"/>
    <x v="5"/>
    <x v="0"/>
    <n v="114"/>
    <n v="53.5"/>
    <n v="12.1"/>
    <n v="84375"/>
    <n v="28"/>
    <n v="23625"/>
    <n v="108000"/>
    <n v="125709"/>
    <n v="65"/>
    <n v="13.8"/>
    <s v="Will definitely switch"/>
    <s v="Very High"/>
  </r>
  <r>
    <s v="Yamaha"/>
    <s v="MT-03"/>
    <n v="321"/>
    <x v="2"/>
    <x v="1"/>
    <x v="0"/>
    <n v="142"/>
    <n v="30.6"/>
    <n v="16.7"/>
    <n v="356250"/>
    <n v="28"/>
    <n v="99750"/>
    <n v="456000"/>
    <n v="517940"/>
    <n v="71"/>
    <n v="3.3"/>
    <s v="Might reconsider"/>
    <s v="Medium"/>
  </r>
  <r>
    <s v="Hero"/>
    <s v="Xpulse 200 4V"/>
    <n v="199"/>
    <x v="0"/>
    <x v="2"/>
    <x v="0"/>
    <n v="123"/>
    <n v="41.2"/>
    <n v="13.5"/>
    <n v="115625"/>
    <n v="28"/>
    <n v="32375"/>
    <n v="148000"/>
    <n v="173445"/>
    <n v="71"/>
    <n v="8.5"/>
    <s v="Will likely switch brand"/>
    <s v="High"/>
  </r>
  <r>
    <s v="KTM"/>
    <s v="RC 390"/>
    <n v="373"/>
    <x v="2"/>
    <x v="0"/>
    <x v="0"/>
    <n v="205"/>
    <n v="19.5"/>
    <n v="13.4"/>
    <n v="261832"/>
    <n v="31"/>
    <n v="81168"/>
    <n v="343000"/>
    <n v="401376"/>
    <n v="76"/>
    <n v="1.5"/>
    <s v="Likely to buy"/>
    <s v="Low"/>
  </r>
  <r>
    <s v="TVS"/>
    <s v="Radeon"/>
    <n v="109"/>
    <x v="1"/>
    <x v="5"/>
    <x v="1"/>
    <n v="99"/>
    <n v="68.400000000000006"/>
    <n v="8"/>
    <n v="61719"/>
    <n v="28"/>
    <n v="17281"/>
    <n v="79000"/>
    <n v="92926"/>
    <n v="64"/>
    <n v="6.7"/>
    <s v="Will definitely switch"/>
    <s v="Very High"/>
  </r>
  <r>
    <s v="Honda"/>
    <s v="CB200X"/>
    <n v="184"/>
    <x v="0"/>
    <x v="0"/>
    <x v="0"/>
    <n v="122"/>
    <n v="37.4"/>
    <n v="11.2"/>
    <n v="117969"/>
    <n v="28"/>
    <n v="33031"/>
    <n v="151000"/>
    <n v="177750"/>
    <n v="74"/>
    <n v="14"/>
    <s v="Will definitely switch"/>
    <s v="Very High"/>
  </r>
  <r>
    <s v="TVS"/>
    <s v="Apache RR 310"/>
    <n v="312"/>
    <x v="2"/>
    <x v="1"/>
    <x v="0"/>
    <n v="161"/>
    <n v="31.2"/>
    <n v="14.5"/>
    <n v="222656"/>
    <n v="28"/>
    <n v="62344"/>
    <n v="285000"/>
    <n v="328403"/>
    <n v="69"/>
    <n v="7.6"/>
    <s v="Will likely switch brand"/>
    <s v="High"/>
  </r>
  <r>
    <s v="KTM"/>
    <s v="Duke 125"/>
    <n v="124"/>
    <x v="0"/>
    <x v="1"/>
    <x v="0"/>
    <n v="116"/>
    <n v="50.3"/>
    <n v="10.6"/>
    <n v="142969"/>
    <n v="28"/>
    <n v="40031"/>
    <n v="183000"/>
    <n v="215025"/>
    <n v="70"/>
    <n v="8.6999999999999993"/>
    <s v="Will likely switch brand"/>
    <s v="High"/>
  </r>
  <r>
    <s v="Hero"/>
    <s v="Xtreme 125R"/>
    <n v="125"/>
    <x v="1"/>
    <x v="2"/>
    <x v="0"/>
    <n v="116"/>
    <n v="52.4"/>
    <n v="13.4"/>
    <n v="75781"/>
    <n v="28"/>
    <n v="21219"/>
    <n v="97000"/>
    <n v="113375"/>
    <n v="68"/>
    <n v="6.8"/>
    <s v="Will likely switch brand"/>
    <s v="High"/>
  </r>
  <r>
    <s v="Honda"/>
    <s v="CB350RS"/>
    <n v="348"/>
    <x v="2"/>
    <x v="1"/>
    <x v="0"/>
    <n v="161"/>
    <n v="29"/>
    <n v="16.2"/>
    <n v="162500"/>
    <n v="28"/>
    <n v="45500"/>
    <n v="208000"/>
    <n v="238985"/>
    <n v="81"/>
    <n v="12.9"/>
    <s v="Will definitely switch"/>
    <s v="Very High"/>
  </r>
  <r>
    <s v="Suzuki"/>
    <s v="Gixxer SF 250"/>
    <n v="249"/>
    <x v="0"/>
    <x v="2"/>
    <x v="0"/>
    <n v="155"/>
    <n v="33.700000000000003"/>
    <n v="17.600000000000001"/>
    <n v="142188"/>
    <n v="28"/>
    <n v="39812"/>
    <n v="182000"/>
    <n v="210630"/>
    <n v="68"/>
    <n v="6"/>
    <s v="Will likely switch brand"/>
    <s v="High"/>
  </r>
  <r>
    <s v="Honda"/>
    <s v="SP 125"/>
    <n v="124"/>
    <x v="1"/>
    <x v="1"/>
    <x v="0"/>
    <n v="114"/>
    <n v="54.3"/>
    <n v="11.5"/>
    <n v="74219"/>
    <n v="28"/>
    <n v="20781"/>
    <n v="95000"/>
    <n v="110073"/>
    <n v="75"/>
    <n v="3.1"/>
    <s v="Might reconsider"/>
    <s v="Medium"/>
  </r>
  <r>
    <s v="Royal Enfield"/>
    <s v="Meteor 350"/>
    <n v="349"/>
    <x v="2"/>
    <x v="5"/>
    <x v="2"/>
    <n v="160"/>
    <n v="33.6"/>
    <n v="13.9"/>
    <n v="175781"/>
    <n v="28"/>
    <n v="49219"/>
    <n v="225000"/>
    <n v="255584"/>
    <n v="72"/>
    <n v="4.9000000000000004"/>
    <s v="Might reconsider"/>
    <s v="Medium"/>
  </r>
  <r>
    <s v="Royal Enfield"/>
    <s v="Bullet 350"/>
    <n v="346"/>
    <x v="2"/>
    <x v="0"/>
    <x v="1"/>
    <n v="143"/>
    <n v="31.9"/>
    <n v="18.899999999999999"/>
    <n v="145312"/>
    <n v="28"/>
    <n v="40688"/>
    <n v="186000"/>
    <n v="214489"/>
    <n v="61"/>
    <n v="10"/>
    <s v="Will definitely switch"/>
    <s v="Very High"/>
  </r>
  <r>
    <s v="Honda"/>
    <s v="CB350 H'ness"/>
    <n v="348"/>
    <x v="2"/>
    <x v="2"/>
    <x v="0"/>
    <n v="142"/>
    <n v="28.7"/>
    <n v="13.2"/>
    <n v="174219"/>
    <n v="28"/>
    <n v="48781"/>
    <n v="223000"/>
    <n v="257120"/>
    <n v="72"/>
    <n v="12.9"/>
    <s v="Will definitely switch"/>
    <s v="Very High"/>
  </r>
  <r>
    <s v="KTM"/>
    <s v="Duke 200"/>
    <n v="199"/>
    <x v="0"/>
    <x v="4"/>
    <x v="0"/>
    <n v="137"/>
    <n v="42.4"/>
    <n v="11.5"/>
    <n v="163281"/>
    <n v="28"/>
    <n v="45719"/>
    <n v="209000"/>
    <n v="236989"/>
    <n v="75"/>
    <n v="10.199999999999999"/>
    <s v="Will definitely switch"/>
    <s v="Very High"/>
  </r>
  <r>
    <s v="Bajaj"/>
    <s v="Pulsar RS200"/>
    <n v="199"/>
    <x v="0"/>
    <x v="1"/>
    <x v="0"/>
    <n v="136"/>
    <n v="41.6"/>
    <n v="10"/>
    <n v="145312"/>
    <n v="28"/>
    <n v="40688"/>
    <n v="186000"/>
    <n v="216583"/>
    <n v="68"/>
    <n v="6.6"/>
    <s v="Will likely switch brand"/>
    <s v="High"/>
  </r>
  <r>
    <s v="TVS"/>
    <s v="Sport"/>
    <n v="99"/>
    <x v="1"/>
    <x v="1"/>
    <x v="1"/>
    <n v="89"/>
    <n v="74.3"/>
    <n v="9.9"/>
    <n v="56250"/>
    <n v="28"/>
    <n v="15750"/>
    <n v="72000"/>
    <n v="85806"/>
    <n v="61"/>
    <n v="3.2"/>
    <s v="Might reconsider"/>
    <s v="Medium"/>
  </r>
  <r>
    <s v="Honda"/>
    <s v="CB350RS"/>
    <n v="348"/>
    <x v="2"/>
    <x v="4"/>
    <x v="0"/>
    <n v="147"/>
    <n v="34"/>
    <n v="13.3"/>
    <n v="178125"/>
    <n v="28"/>
    <n v="49875"/>
    <n v="228000"/>
    <n v="262022"/>
    <n v="73"/>
    <n v="4.7"/>
    <s v="Might reconsider"/>
    <s v="Medium"/>
  </r>
  <r>
    <s v="Bajaj"/>
    <s v="Pulsar NS200"/>
    <n v="199"/>
    <x v="0"/>
    <x v="2"/>
    <x v="0"/>
    <n v="121"/>
    <n v="45.8"/>
    <n v="13.9"/>
    <n v="117188"/>
    <n v="28"/>
    <n v="32812"/>
    <n v="150000"/>
    <n v="176275"/>
    <n v="83"/>
    <n v="5.5"/>
    <s v="Will likely switch brand"/>
    <s v="High"/>
  </r>
  <r>
    <s v="TVS"/>
    <s v="Apache RTR 160"/>
    <n v="159"/>
    <x v="0"/>
    <x v="0"/>
    <x v="2"/>
    <n v="132"/>
    <n v="40.799999999999997"/>
    <n v="12.1"/>
    <n v="98438"/>
    <n v="28"/>
    <n v="27562"/>
    <n v="126000"/>
    <n v="145271"/>
    <n v="64"/>
    <n v="9.1999999999999993"/>
    <s v="Will definitely switch"/>
    <s v="Very High"/>
  </r>
  <r>
    <s v="Royal Enfield"/>
    <s v="Continental GT 650"/>
    <n v="648"/>
    <x v="2"/>
    <x v="4"/>
    <x v="1"/>
    <n v="190"/>
    <n v="21.9"/>
    <n v="16.100000000000001"/>
    <n v="279389"/>
    <n v="31"/>
    <n v="86611"/>
    <n v="366000"/>
    <n v="415907"/>
    <n v="72"/>
    <n v="1.1000000000000001"/>
    <s v="Likely to buy"/>
    <s v="Low"/>
  </r>
  <r>
    <s v="Bajaj"/>
    <s v="Dominar 400"/>
    <n v="373"/>
    <x v="2"/>
    <x v="3"/>
    <x v="0"/>
    <n v="198"/>
    <n v="20.2"/>
    <n v="18.7"/>
    <n v="170992"/>
    <n v="31"/>
    <n v="53008"/>
    <n v="224000"/>
    <n v="258118"/>
    <n v="71"/>
    <n v="10.3"/>
    <s v="Will definitely switch"/>
    <s v="Very High"/>
  </r>
  <r>
    <s v="Honda"/>
    <s v="Hornet 2.0"/>
    <n v="184"/>
    <x v="0"/>
    <x v="4"/>
    <x v="0"/>
    <n v="133"/>
    <n v="43.5"/>
    <n v="12.3"/>
    <n v="109375"/>
    <n v="28"/>
    <n v="30625"/>
    <n v="140000"/>
    <n v="161331"/>
    <n v="69"/>
    <n v="4.4000000000000004"/>
    <s v="Might reconsider"/>
    <s v="Medium"/>
  </r>
  <r>
    <s v="Bajaj"/>
    <s v="CT100"/>
    <n v="102"/>
    <x v="1"/>
    <x v="3"/>
    <x v="1"/>
    <n v="93"/>
    <n v="62.5"/>
    <n v="9.1999999999999993"/>
    <n v="43750"/>
    <n v="28"/>
    <n v="12250"/>
    <n v="56000"/>
    <n v="66907"/>
    <n v="57"/>
    <n v="8.1999999999999993"/>
    <s v="Will definitely switch"/>
    <s v="Very High"/>
  </r>
  <r>
    <s v="Hero"/>
    <s v="Passion Pro"/>
    <n v="110"/>
    <x v="1"/>
    <x v="3"/>
    <x v="2"/>
    <n v="100"/>
    <n v="65.2"/>
    <n v="9.1999999999999993"/>
    <n v="66406"/>
    <n v="28"/>
    <n v="18594"/>
    <n v="85000"/>
    <n v="100572"/>
    <n v="70"/>
    <n v="3.4"/>
    <s v="Might reconsider"/>
    <s v="Medium"/>
  </r>
  <r>
    <s v="Bajaj"/>
    <s v="Pulsar 125"/>
    <n v="124"/>
    <x v="1"/>
    <x v="4"/>
    <x v="2"/>
    <n v="119"/>
    <n v="52.9"/>
    <n v="11.5"/>
    <n v="75781"/>
    <n v="28"/>
    <n v="21219"/>
    <n v="97000"/>
    <n v="114785"/>
    <n v="66"/>
    <n v="9.3000000000000007"/>
    <s v="Will definitely switch"/>
    <s v="Very High"/>
  </r>
  <r>
    <s v="Honda"/>
    <s v="CB300R"/>
    <n v="293"/>
    <x v="2"/>
    <x v="3"/>
    <x v="0"/>
    <n v="144"/>
    <n v="33.4"/>
    <n v="19.3"/>
    <n v="197656"/>
    <n v="28"/>
    <n v="55344"/>
    <n v="253000"/>
    <n v="291292"/>
    <n v="81"/>
    <n v="2.2999999999999998"/>
    <s v="Might reconsider"/>
    <s v="Medium"/>
  </r>
  <r>
    <s v="Hero"/>
    <s v="Super Splendor"/>
    <n v="125"/>
    <x v="1"/>
    <x v="0"/>
    <x v="2"/>
    <n v="109"/>
    <n v="54.8"/>
    <n v="13.6"/>
    <n v="74219"/>
    <n v="28"/>
    <n v="20781"/>
    <n v="95000"/>
    <n v="111280"/>
    <n v="67"/>
    <n v="8.6"/>
    <s v="Will likely switch brand"/>
    <s v="High"/>
  </r>
  <r>
    <s v="KTM"/>
    <s v="RC 390"/>
    <n v="373"/>
    <x v="2"/>
    <x v="2"/>
    <x v="0"/>
    <n v="190"/>
    <n v="21.6"/>
    <n v="19.399999999999999"/>
    <n v="256489"/>
    <n v="31"/>
    <n v="79511"/>
    <n v="336000"/>
    <n v="382400"/>
    <n v="77"/>
    <n v="5.9"/>
    <s v="Will likely switch brand"/>
    <s v="High"/>
  </r>
  <r>
    <s v="Honda"/>
    <s v="SP 125"/>
    <n v="124"/>
    <x v="1"/>
    <x v="2"/>
    <x v="0"/>
    <n v="118"/>
    <n v="52.1"/>
    <n v="13"/>
    <n v="75781"/>
    <n v="28"/>
    <n v="21219"/>
    <n v="97000"/>
    <n v="112486"/>
    <n v="70"/>
    <n v="3.6"/>
    <s v="Might reconsider"/>
    <s v="Medium"/>
  </r>
  <r>
    <s v="Hero"/>
    <s v="Splendor Plus"/>
    <n v="97"/>
    <x v="1"/>
    <x v="4"/>
    <x v="1"/>
    <n v="95"/>
    <n v="65.099999999999994"/>
    <n v="8.9"/>
    <n v="58594"/>
    <n v="28"/>
    <n v="16406"/>
    <n v="75000"/>
    <n v="88295"/>
    <n v="62"/>
    <n v="6.1"/>
    <s v="Will definitely switch"/>
    <s v="Very High"/>
  </r>
  <r>
    <s v="TVS"/>
    <s v="Radeon"/>
    <n v="109"/>
    <x v="1"/>
    <x v="1"/>
    <x v="1"/>
    <n v="97"/>
    <n v="66.2"/>
    <n v="9"/>
    <n v="58594"/>
    <n v="28"/>
    <n v="16406"/>
    <n v="75000"/>
    <n v="90211"/>
    <n v="57"/>
    <n v="6.8"/>
    <s v="Will definitely switch"/>
    <s v="Very High"/>
  </r>
  <r>
    <s v="Royal Enfield"/>
    <s v="Guerrilla 450"/>
    <n v="452"/>
    <x v="2"/>
    <x v="2"/>
    <x v="0"/>
    <n v="205"/>
    <n v="21.2"/>
    <n v="13.8"/>
    <n v="223664"/>
    <n v="31"/>
    <n v="69336"/>
    <n v="293000"/>
    <n v="341058"/>
    <n v="83"/>
    <n v="11.3"/>
    <s v="Will definitely switch"/>
    <s v="Very High"/>
  </r>
  <r>
    <s v="Bajaj"/>
    <s v="Dominar 400"/>
    <n v="373"/>
    <x v="2"/>
    <x v="1"/>
    <x v="0"/>
    <n v="210"/>
    <n v="22"/>
    <n v="17.899999999999999"/>
    <n v="181679"/>
    <n v="31"/>
    <n v="56321"/>
    <n v="238000"/>
    <n v="274486"/>
    <n v="75"/>
    <n v="12.2"/>
    <s v="Will definitely switch"/>
    <s v="Very High"/>
  </r>
  <r>
    <s v="Hero"/>
    <s v="Xtreme 160R"/>
    <n v="163"/>
    <x v="0"/>
    <x v="0"/>
    <x v="0"/>
    <n v="135"/>
    <n v="45.3"/>
    <n v="11.1"/>
    <n v="100000"/>
    <n v="28"/>
    <n v="28000"/>
    <n v="128000"/>
    <n v="149405"/>
    <n v="83"/>
    <n v="7.1"/>
    <s v="Will likely switch brand"/>
    <s v="High"/>
  </r>
  <r>
    <s v="Royal Enfield"/>
    <s v="Guerrilla 450"/>
    <n v="452"/>
    <x v="2"/>
    <x v="1"/>
    <x v="0"/>
    <n v="193"/>
    <n v="22.6"/>
    <n v="13.4"/>
    <n v="206870"/>
    <n v="31"/>
    <n v="64130"/>
    <n v="271000"/>
    <n v="306943"/>
    <n v="81"/>
    <n v="11"/>
    <s v="Will definitely switch"/>
    <s v="Very High"/>
  </r>
  <r>
    <s v="Bajaj"/>
    <s v="Platina 110 H-Gear"/>
    <n v="115"/>
    <x v="1"/>
    <x v="1"/>
    <x v="2"/>
    <n v="114"/>
    <n v="60.7"/>
    <n v="12"/>
    <n v="64062"/>
    <n v="28"/>
    <n v="17938"/>
    <n v="82000"/>
    <n v="97481"/>
    <n v="65"/>
    <n v="1.5"/>
    <s v="Likely to buy"/>
    <s v="Low"/>
  </r>
  <r>
    <s v="Bajaj"/>
    <s v="Dominar 400"/>
    <n v="373"/>
    <x v="2"/>
    <x v="3"/>
    <x v="0"/>
    <n v="170"/>
    <n v="19.399999999999999"/>
    <n v="15.5"/>
    <n v="186260"/>
    <n v="31"/>
    <n v="57740"/>
    <n v="244000"/>
    <n v="283856"/>
    <n v="71"/>
    <n v="15"/>
    <s v="Will definitely switch"/>
    <s v="Very High"/>
  </r>
  <r>
    <s v="KTM"/>
    <s v="Duke 125"/>
    <n v="124"/>
    <x v="0"/>
    <x v="1"/>
    <x v="0"/>
    <n v="107"/>
    <n v="49.3"/>
    <n v="13.7"/>
    <n v="134375"/>
    <n v="28"/>
    <n v="37625"/>
    <n v="172000"/>
    <n v="197233"/>
    <n v="78"/>
    <n v="5"/>
    <s v="Might reconsider"/>
    <s v="Medium"/>
  </r>
  <r>
    <s v="Royal Enfield"/>
    <s v="Thunderbird 350X"/>
    <n v="346"/>
    <x v="2"/>
    <x v="4"/>
    <x v="2"/>
    <n v="152"/>
    <n v="31.7"/>
    <n v="15.8"/>
    <n v="140625"/>
    <n v="28"/>
    <n v="39375"/>
    <n v="180000"/>
    <n v="209282"/>
    <n v="75"/>
    <n v="1.1000000000000001"/>
    <s v="Likely to buy"/>
    <s v="Low"/>
  </r>
  <r>
    <s v="Honda"/>
    <s v="Unicorn"/>
    <n v="160"/>
    <x v="0"/>
    <x v="1"/>
    <x v="2"/>
    <n v="128"/>
    <n v="45.1"/>
    <n v="11"/>
    <n v="90625"/>
    <n v="28"/>
    <n v="25375"/>
    <n v="116000"/>
    <n v="134362"/>
    <n v="76"/>
    <n v="12.4"/>
    <s v="Will definitely switch"/>
    <s v="Very High"/>
  </r>
  <r>
    <s v="KTM"/>
    <s v="Adventure 390"/>
    <n v="373"/>
    <x v="2"/>
    <x v="1"/>
    <x v="0"/>
    <n v="189"/>
    <n v="24.4"/>
    <n v="19"/>
    <n v="295420"/>
    <n v="31"/>
    <n v="91580"/>
    <n v="387000"/>
    <n v="447638"/>
    <n v="81"/>
    <n v="7.5"/>
    <s v="Will likely switch brand"/>
    <s v="High"/>
  </r>
  <r>
    <s v="Yamaha"/>
    <s v="MT-15 V2"/>
    <n v="155"/>
    <x v="0"/>
    <x v="5"/>
    <x v="0"/>
    <n v="127"/>
    <n v="43.8"/>
    <n v="12.1"/>
    <n v="125000"/>
    <n v="28"/>
    <n v="35000"/>
    <n v="160000"/>
    <n v="182962"/>
    <n v="72"/>
    <n v="6.8"/>
    <s v="Will likely switch brand"/>
    <s v="High"/>
  </r>
  <r>
    <s v="Hero"/>
    <s v="HF Deluxe"/>
    <n v="97"/>
    <x v="1"/>
    <x v="4"/>
    <x v="1"/>
    <n v="95"/>
    <n v="72.900000000000006"/>
    <n v="9"/>
    <n v="56250"/>
    <n v="28"/>
    <n v="15750"/>
    <n v="72000"/>
    <n v="84726"/>
    <n v="57"/>
    <n v="8.8000000000000007"/>
    <s v="Will definitely switch"/>
    <s v="Very High"/>
  </r>
  <r>
    <s v="Royal Enfield"/>
    <s v="Himalayan 450"/>
    <n v="452"/>
    <x v="2"/>
    <x v="4"/>
    <x v="0"/>
    <n v="172"/>
    <n v="24.3"/>
    <n v="18.100000000000001"/>
    <n v="207634"/>
    <n v="31"/>
    <n v="64366"/>
    <n v="272000"/>
    <n v="313954"/>
    <n v="84"/>
    <n v="11.3"/>
    <s v="Will definitely switch"/>
    <s v="Very High"/>
  </r>
  <r>
    <s v="TVS"/>
    <s v="Jupiter 110"/>
    <n v="109"/>
    <x v="1"/>
    <x v="2"/>
    <x v="2"/>
    <n v="88"/>
    <n v="67.599999999999994"/>
    <n v="9.9"/>
    <n v="59375"/>
    <n v="28"/>
    <n v="16625"/>
    <n v="76000"/>
    <n v="89889"/>
    <n v="62"/>
    <n v="13.9"/>
    <s v="Will definitely switch"/>
    <s v="Very High"/>
  </r>
  <r>
    <s v="Yamaha"/>
    <s v="R15M"/>
    <n v="155"/>
    <x v="0"/>
    <x v="1"/>
    <x v="0"/>
    <n v="131"/>
    <n v="45.5"/>
    <n v="13.5"/>
    <n v="159375"/>
    <n v="28"/>
    <n v="44625"/>
    <n v="204000"/>
    <n v="237058"/>
    <n v="82"/>
    <n v="5.4"/>
    <s v="Will likely switch brand"/>
    <s v="High"/>
  </r>
  <r>
    <s v="Yamaha"/>
    <s v="R15 V4"/>
    <n v="155"/>
    <x v="0"/>
    <x v="3"/>
    <x v="0"/>
    <n v="138"/>
    <n v="39.200000000000003"/>
    <n v="11.9"/>
    <n v="133594"/>
    <n v="28"/>
    <n v="37406"/>
    <n v="171000"/>
    <n v="200415"/>
    <n v="69"/>
    <n v="1.8"/>
    <s v="Likely to buy"/>
    <s v="Low"/>
  </r>
  <r>
    <s v="Suzuki"/>
    <s v="Gixxer 250"/>
    <n v="249"/>
    <x v="0"/>
    <x v="2"/>
    <x v="0"/>
    <n v="143"/>
    <n v="31.7"/>
    <n v="13.1"/>
    <n v="133594"/>
    <n v="28"/>
    <n v="37406"/>
    <n v="171000"/>
    <n v="197843"/>
    <n v="71"/>
    <n v="7.4"/>
    <s v="Will likely switch brand"/>
    <s v="High"/>
  </r>
  <r>
    <s v="Bajaj"/>
    <s v="Pulsar NS200"/>
    <n v="199"/>
    <x v="0"/>
    <x v="1"/>
    <x v="0"/>
    <n v="128"/>
    <n v="38.799999999999997"/>
    <n v="11.4"/>
    <n v="114844"/>
    <n v="28"/>
    <n v="32156"/>
    <n v="147000"/>
    <n v="167889"/>
    <n v="70"/>
    <n v="4.8"/>
    <s v="Might reconsider"/>
    <s v="Medium"/>
  </r>
  <r>
    <s v="Bajaj"/>
    <s v="Pulsar 125"/>
    <n v="124"/>
    <x v="1"/>
    <x v="1"/>
    <x v="2"/>
    <n v="117"/>
    <n v="53.2"/>
    <n v="10.5"/>
    <n v="74219"/>
    <n v="28"/>
    <n v="20781"/>
    <n v="95000"/>
    <n v="111105"/>
    <n v="61"/>
    <n v="7.3"/>
    <s v="Will definitely switch"/>
    <s v="Very High"/>
  </r>
  <r>
    <s v="Bajaj"/>
    <s v="Dominar 400"/>
    <n v="373"/>
    <x v="2"/>
    <x v="2"/>
    <x v="0"/>
    <n v="184"/>
    <n v="21.6"/>
    <n v="14"/>
    <n v="192366"/>
    <n v="31"/>
    <n v="59634"/>
    <n v="252000"/>
    <n v="295312"/>
    <n v="73"/>
    <n v="3"/>
    <s v="Might reconsider"/>
    <s v="Medium"/>
  </r>
  <r>
    <s v="Hero"/>
    <s v="HF Deluxe"/>
    <n v="97"/>
    <x v="1"/>
    <x v="1"/>
    <x v="1"/>
    <n v="95"/>
    <n v="70.3"/>
    <n v="9.6999999999999993"/>
    <n v="51562"/>
    <n v="28"/>
    <n v="14438"/>
    <n v="66000"/>
    <n v="80476"/>
    <n v="63"/>
    <n v="5.2"/>
    <s v="Will definitely switch"/>
    <s v="Very High"/>
  </r>
  <r>
    <s v="Hero"/>
    <s v="Xtreme 160R"/>
    <n v="163"/>
    <x v="0"/>
    <x v="5"/>
    <x v="0"/>
    <n v="140"/>
    <n v="41.8"/>
    <n v="11"/>
    <n v="103906"/>
    <n v="28"/>
    <n v="29094"/>
    <n v="133000"/>
    <n v="154504"/>
    <n v="69"/>
    <n v="7.3"/>
    <s v="Will likely switch brand"/>
    <s v="High"/>
  </r>
  <r>
    <s v="Royal Enfield"/>
    <s v="Scram 411"/>
    <n v="411"/>
    <x v="2"/>
    <x v="4"/>
    <x v="2"/>
    <n v="182"/>
    <n v="21.5"/>
    <n v="17"/>
    <n v="165649"/>
    <n v="31"/>
    <n v="51351"/>
    <n v="217000"/>
    <n v="252158"/>
    <n v="80"/>
    <n v="14.5"/>
    <s v="Will definitely switch"/>
    <s v="Very High"/>
  </r>
  <r>
    <s v="Suzuki"/>
    <s v="Gixxer SF"/>
    <n v="155"/>
    <x v="0"/>
    <x v="5"/>
    <x v="2"/>
    <n v="134"/>
    <n v="42.1"/>
    <n v="11.9"/>
    <n v="107031"/>
    <n v="28"/>
    <n v="29969"/>
    <n v="137000"/>
    <n v="162076"/>
    <n v="59"/>
    <n v="6.3"/>
    <s v="Will definitely switch"/>
    <s v="Very High"/>
  </r>
  <r>
    <s v="Honda"/>
    <s v="CB350RS"/>
    <n v="348"/>
    <x v="2"/>
    <x v="0"/>
    <x v="0"/>
    <n v="158"/>
    <n v="33"/>
    <n v="13.6"/>
    <n v="182031"/>
    <n v="28"/>
    <n v="50969"/>
    <n v="233000"/>
    <n v="272654"/>
    <n v="78"/>
    <n v="12.9"/>
    <s v="Will definitely switch"/>
    <s v="Very High"/>
  </r>
  <r>
    <s v="Royal Enfield"/>
    <s v="Hunter 350"/>
    <n v="349"/>
    <x v="2"/>
    <x v="5"/>
    <x v="2"/>
    <n v="152"/>
    <n v="32.799999999999997"/>
    <n v="18.2"/>
    <n v="123438"/>
    <n v="28"/>
    <n v="34562"/>
    <n v="158000"/>
    <n v="181398"/>
    <n v="70"/>
    <n v="13.4"/>
    <s v="Will definitely switch"/>
    <s v="Very High"/>
  </r>
  <r>
    <s v="Suzuki"/>
    <s v="Access 125"/>
    <n v="124"/>
    <x v="1"/>
    <x v="2"/>
    <x v="2"/>
    <n v="112"/>
    <n v="50.1"/>
    <n v="12.8"/>
    <n v="75781"/>
    <n v="28"/>
    <n v="21219"/>
    <n v="97000"/>
    <n v="111727"/>
    <n v="65"/>
    <n v="4.5"/>
    <s v="Might reconsider"/>
    <s v="Medium"/>
  </r>
  <r>
    <s v="Honda"/>
    <s v="CD 110 Dream"/>
    <n v="109"/>
    <x v="1"/>
    <x v="0"/>
    <x v="1"/>
    <n v="85"/>
    <n v="70.8"/>
    <n v="8.1999999999999993"/>
    <n v="57812"/>
    <n v="28"/>
    <n v="16188"/>
    <n v="74000"/>
    <n v="87395"/>
    <n v="63"/>
    <n v="8.3000000000000007"/>
    <s v="Will definitely switch"/>
    <s v="Very High"/>
  </r>
  <r>
    <s v="Honda"/>
    <s v="CB500X"/>
    <n v="471"/>
    <x v="2"/>
    <x v="4"/>
    <x v="0"/>
    <n v="178"/>
    <n v="20.7"/>
    <n v="16.7"/>
    <n v="412977"/>
    <n v="31"/>
    <n v="128023"/>
    <n v="541000"/>
    <n v="627827"/>
    <n v="83"/>
    <n v="9.8000000000000007"/>
    <s v="Will likely switch brand"/>
    <s v="High"/>
  </r>
  <r>
    <s v="Bajaj"/>
    <s v="Platina 100"/>
    <n v="102"/>
    <x v="1"/>
    <x v="1"/>
    <x v="1"/>
    <n v="99"/>
    <n v="76.099999999999994"/>
    <n v="8.9"/>
    <n v="49219"/>
    <n v="28"/>
    <n v="13781"/>
    <n v="63000"/>
    <n v="76018"/>
    <n v="63"/>
    <n v="14.1"/>
    <s v="Will definitely switch"/>
    <s v="Very High"/>
  </r>
  <r>
    <s v="Suzuki"/>
    <s v="Gixxer 250"/>
    <n v="249"/>
    <x v="0"/>
    <x v="1"/>
    <x v="0"/>
    <n v="153"/>
    <n v="34.9"/>
    <n v="15.2"/>
    <n v="136719"/>
    <n v="28"/>
    <n v="38281"/>
    <n v="175000"/>
    <n v="205246"/>
    <n v="71"/>
    <n v="10"/>
    <s v="Will likely switch brand"/>
    <s v="High"/>
  </r>
  <r>
    <s v="Royal Enfield"/>
    <s v="Thunderbird 350X"/>
    <n v="346"/>
    <x v="2"/>
    <x v="0"/>
    <x v="2"/>
    <n v="148"/>
    <n v="31"/>
    <n v="16.7"/>
    <n v="143750"/>
    <n v="28"/>
    <n v="40250"/>
    <n v="184000"/>
    <n v="209502"/>
    <n v="68"/>
    <n v="5.3"/>
    <s v="Will likely switch brand"/>
    <s v="High"/>
  </r>
  <r>
    <s v="Honda"/>
    <s v="CB350 H'ness"/>
    <n v="348"/>
    <x v="2"/>
    <x v="3"/>
    <x v="0"/>
    <n v="155"/>
    <n v="35.4"/>
    <n v="18.600000000000001"/>
    <n v="160156"/>
    <n v="28"/>
    <n v="44844"/>
    <n v="205000"/>
    <n v="235446"/>
    <n v="82"/>
    <n v="1.1000000000000001"/>
    <s v="Likely to buy"/>
    <s v="Low"/>
  </r>
  <r>
    <s v="Bajaj"/>
    <s v="Dominar 400"/>
    <n v="373"/>
    <x v="2"/>
    <x v="2"/>
    <x v="0"/>
    <n v="175"/>
    <n v="21.7"/>
    <n v="15.7"/>
    <n v="191603"/>
    <n v="31"/>
    <n v="59397"/>
    <n v="251000"/>
    <n v="289357"/>
    <n v="72"/>
    <n v="11"/>
    <s v="Will definitely switch"/>
    <s v="Very High"/>
  </r>
  <r>
    <s v="Royal Enfield"/>
    <s v="Continental GT 650"/>
    <n v="648"/>
    <x v="2"/>
    <x v="2"/>
    <x v="1"/>
    <n v="199"/>
    <n v="23.4"/>
    <n v="18.2"/>
    <n v="248092"/>
    <n v="31"/>
    <n v="76908"/>
    <n v="325000"/>
    <n v="369960"/>
    <n v="73"/>
    <n v="4.8"/>
    <s v="Might reconsider"/>
    <s v="Medium"/>
  </r>
  <r>
    <s v="TVS"/>
    <s v="Raider 125"/>
    <n v="124"/>
    <x v="1"/>
    <x v="2"/>
    <x v="0"/>
    <n v="119"/>
    <n v="49.9"/>
    <n v="12.5"/>
    <n v="73438"/>
    <n v="28"/>
    <n v="20562"/>
    <n v="94000"/>
    <n v="111078"/>
    <n v="72"/>
    <n v="7.3"/>
    <s v="Will likely switch brand"/>
    <s v="High"/>
  </r>
  <r>
    <s v="Bajaj"/>
    <s v="Pulsar 150"/>
    <n v="149"/>
    <x v="0"/>
    <x v="2"/>
    <x v="2"/>
    <n v="108"/>
    <n v="50.9"/>
    <n v="11.8"/>
    <n v="87500"/>
    <n v="28"/>
    <n v="24500"/>
    <n v="112000"/>
    <n v="129264"/>
    <n v="66"/>
    <n v="4.8"/>
    <s v="Might reconsider"/>
    <s v="Medium"/>
  </r>
  <r>
    <s v="Hero"/>
    <s v="HF Deluxe"/>
    <n v="97"/>
    <x v="1"/>
    <x v="0"/>
    <x v="1"/>
    <n v="100"/>
    <n v="68.7"/>
    <n v="8.6999999999999993"/>
    <n v="52344"/>
    <n v="28"/>
    <n v="14656"/>
    <n v="67000"/>
    <n v="78835"/>
    <n v="61"/>
    <n v="7.5"/>
    <s v="Will definitely switch"/>
    <s v="Very High"/>
  </r>
  <r>
    <s v="Honda"/>
    <s v="CB350RS"/>
    <n v="348"/>
    <x v="2"/>
    <x v="0"/>
    <x v="0"/>
    <n v="148"/>
    <n v="29.6"/>
    <n v="19.8"/>
    <n v="159375"/>
    <n v="28"/>
    <n v="44625"/>
    <n v="204000"/>
    <n v="236986"/>
    <n v="78"/>
    <n v="12.6"/>
    <s v="Will definitely switch"/>
    <s v="Very High"/>
  </r>
  <r>
    <s v="TVS"/>
    <s v="Star City Plus"/>
    <n v="109"/>
    <x v="1"/>
    <x v="4"/>
    <x v="2"/>
    <n v="88"/>
    <n v="64.900000000000006"/>
    <n v="8.9"/>
    <n v="62500"/>
    <n v="28"/>
    <n v="17500"/>
    <n v="80000"/>
    <n v="94452"/>
    <n v="69"/>
    <n v="10.3"/>
    <s v="Will definitely switch"/>
    <s v="Very High"/>
  </r>
  <r>
    <s v="TVS"/>
    <s v="Ronin"/>
    <n v="225"/>
    <x v="0"/>
    <x v="4"/>
    <x v="0"/>
    <n v="148"/>
    <n v="32.200000000000003"/>
    <n v="15.5"/>
    <n v="138281"/>
    <n v="28"/>
    <n v="38719"/>
    <n v="177000"/>
    <n v="204422"/>
    <n v="71"/>
    <n v="9.9"/>
    <s v="Will likely switch brand"/>
    <s v="High"/>
  </r>
  <r>
    <s v="Hero"/>
    <s v="Xtreme 160R"/>
    <n v="163"/>
    <x v="0"/>
    <x v="1"/>
    <x v="0"/>
    <n v="120"/>
    <n v="41.3"/>
    <n v="10.5"/>
    <n v="111719"/>
    <n v="28"/>
    <n v="31281"/>
    <n v="143000"/>
    <n v="164891"/>
    <n v="70"/>
    <n v="12.1"/>
    <s v="Will definitely switch"/>
    <s v="Very High"/>
  </r>
  <r>
    <s v="TVS"/>
    <s v="Star City Plus"/>
    <n v="109"/>
    <x v="1"/>
    <x v="4"/>
    <x v="2"/>
    <n v="89"/>
    <n v="73.2"/>
    <n v="8.3000000000000007"/>
    <n v="59375"/>
    <n v="28"/>
    <n v="16625"/>
    <n v="76000"/>
    <n v="89625"/>
    <n v="66"/>
    <n v="11.8"/>
    <s v="Will definitely switch"/>
    <s v="Very High"/>
  </r>
  <r>
    <s v="Honda"/>
    <s v="Shine"/>
    <n v="124"/>
    <x v="1"/>
    <x v="1"/>
    <x v="2"/>
    <n v="116"/>
    <n v="49.2"/>
    <n v="13.2"/>
    <n v="72656"/>
    <n v="28"/>
    <n v="20344"/>
    <n v="93000"/>
    <n v="110852"/>
    <n v="69"/>
    <n v="3.2"/>
    <s v="Might reconsider"/>
    <s v="Medium"/>
  </r>
  <r>
    <s v="Honda"/>
    <s v="CB300R"/>
    <n v="293"/>
    <x v="2"/>
    <x v="0"/>
    <x v="0"/>
    <n v="165"/>
    <n v="34"/>
    <n v="17.8"/>
    <n v="210156"/>
    <n v="28"/>
    <n v="58844"/>
    <n v="269000"/>
    <n v="309642"/>
    <n v="79"/>
    <n v="11.3"/>
    <s v="Will definitely switch"/>
    <s v="Very High"/>
  </r>
  <r>
    <s v="Royal Enfield"/>
    <s v="Himalayan 450"/>
    <n v="452"/>
    <x v="2"/>
    <x v="4"/>
    <x v="0"/>
    <n v="178"/>
    <n v="21.7"/>
    <n v="17"/>
    <n v="225191"/>
    <n v="31"/>
    <n v="69809"/>
    <n v="295000"/>
    <n v="335535"/>
    <n v="85"/>
    <n v="10.8"/>
    <s v="Will definitely switch"/>
    <s v="Very High"/>
  </r>
  <r>
    <s v="Suzuki"/>
    <s v="Gixxer 250"/>
    <n v="249"/>
    <x v="0"/>
    <x v="4"/>
    <x v="0"/>
    <n v="157"/>
    <n v="35.200000000000003"/>
    <n v="16.100000000000001"/>
    <n v="140625"/>
    <n v="28"/>
    <n v="39375"/>
    <n v="180000"/>
    <n v="210516"/>
    <n v="71"/>
    <n v="2"/>
    <s v="Likely to buy"/>
    <s v="Low"/>
  </r>
  <r>
    <s v="TVS"/>
    <s v="Jupiter 110"/>
    <n v="109"/>
    <x v="1"/>
    <x v="5"/>
    <x v="2"/>
    <n v="90"/>
    <n v="68"/>
    <n v="9.6"/>
    <n v="63281"/>
    <n v="28"/>
    <n v="17719"/>
    <n v="81000"/>
    <n v="96710"/>
    <n v="61"/>
    <n v="9.6999999999999993"/>
    <s v="Will definitely switch"/>
    <s v="Very High"/>
  </r>
  <r>
    <s v="TVS"/>
    <s v="Sport"/>
    <n v="99"/>
    <x v="1"/>
    <x v="5"/>
    <x v="1"/>
    <n v="100"/>
    <n v="64.8"/>
    <n v="8.6"/>
    <n v="51562"/>
    <n v="28"/>
    <n v="14438"/>
    <n v="66000"/>
    <n v="78291"/>
    <n v="62"/>
    <n v="3.2"/>
    <s v="Might reconsider"/>
    <s v="Medium"/>
  </r>
  <r>
    <s v="Royal Enfield"/>
    <s v="Classic 350"/>
    <n v="349"/>
    <x v="2"/>
    <x v="4"/>
    <x v="2"/>
    <n v="141"/>
    <n v="29.5"/>
    <n v="13.7"/>
    <n v="142969"/>
    <n v="28"/>
    <n v="40031"/>
    <n v="183000"/>
    <n v="209735"/>
    <n v="69"/>
    <n v="2.5"/>
    <s v="Might reconsider"/>
    <s v="Medium"/>
  </r>
  <r>
    <s v="Royal Enfield"/>
    <s v="Interceptor 650"/>
    <n v="648"/>
    <x v="2"/>
    <x v="0"/>
    <x v="1"/>
    <n v="174"/>
    <n v="19.600000000000001"/>
    <n v="19.5"/>
    <n v="254198"/>
    <n v="31"/>
    <n v="78802"/>
    <n v="333000"/>
    <n v="384353"/>
    <n v="72"/>
    <n v="11"/>
    <s v="Will definitely switch"/>
    <s v="Very High"/>
  </r>
  <r>
    <s v="Bajaj"/>
    <s v="Pulsar NS200"/>
    <n v="199"/>
    <x v="0"/>
    <x v="3"/>
    <x v="0"/>
    <n v="121"/>
    <n v="45"/>
    <n v="13.3"/>
    <n v="120312"/>
    <n v="28"/>
    <n v="33688"/>
    <n v="154000"/>
    <n v="183139"/>
    <n v="78"/>
    <n v="8.8000000000000007"/>
    <s v="Will likely switch brand"/>
    <s v="High"/>
  </r>
  <r>
    <s v="Hero"/>
    <s v="Xpulse 200"/>
    <n v="199"/>
    <x v="0"/>
    <x v="0"/>
    <x v="0"/>
    <n v="122"/>
    <n v="45.4"/>
    <n v="10.4"/>
    <n v="119531"/>
    <n v="28"/>
    <n v="33469"/>
    <n v="153000"/>
    <n v="173869"/>
    <n v="77"/>
    <n v="14.4"/>
    <s v="Will definitely switch"/>
    <s v="Very High"/>
  </r>
  <r>
    <s v="Bajaj"/>
    <s v="Dominar 400"/>
    <n v="373"/>
    <x v="2"/>
    <x v="3"/>
    <x v="0"/>
    <n v="171"/>
    <n v="22.4"/>
    <n v="18.2"/>
    <n v="183969"/>
    <n v="31"/>
    <n v="57031"/>
    <n v="241000"/>
    <n v="274891"/>
    <n v="78"/>
    <n v="11.5"/>
    <s v="Will definitely switch"/>
    <s v="Very High"/>
  </r>
  <r>
    <s v="Royal Enfield"/>
    <s v="Himalayan 450"/>
    <n v="452"/>
    <x v="2"/>
    <x v="5"/>
    <x v="0"/>
    <n v="171"/>
    <n v="20.2"/>
    <n v="17.600000000000001"/>
    <n v="223664"/>
    <n v="31"/>
    <n v="69336"/>
    <n v="293000"/>
    <n v="338393"/>
    <n v="85"/>
    <n v="6.6"/>
    <s v="Will likely switch brand"/>
    <s v="High"/>
  </r>
  <r>
    <s v="Suzuki"/>
    <s v="Gixxer SF"/>
    <n v="155"/>
    <x v="0"/>
    <x v="2"/>
    <x v="2"/>
    <n v="130"/>
    <n v="42.5"/>
    <n v="11.7"/>
    <n v="122656"/>
    <n v="28"/>
    <n v="34344"/>
    <n v="157000"/>
    <n v="181448"/>
    <n v="63"/>
    <n v="6.8"/>
    <s v="Will definitely switch"/>
    <s v="Very High"/>
  </r>
  <r>
    <s v="Royal Enfield"/>
    <s v="Classic 350"/>
    <n v="349"/>
    <x v="2"/>
    <x v="3"/>
    <x v="2"/>
    <n v="148"/>
    <n v="35.299999999999997"/>
    <n v="19.7"/>
    <n v="154688"/>
    <n v="28"/>
    <n v="43312"/>
    <n v="198000"/>
    <n v="229340"/>
    <n v="77"/>
    <n v="14.5"/>
    <s v="Will definitely switch"/>
    <s v="Very High"/>
  </r>
  <r>
    <s v="Hero"/>
    <s v="Splendor Plus"/>
    <n v="97"/>
    <x v="1"/>
    <x v="4"/>
    <x v="1"/>
    <n v="94"/>
    <n v="63.9"/>
    <n v="8.4"/>
    <n v="60156"/>
    <n v="28"/>
    <n v="16844"/>
    <n v="77000"/>
    <n v="93535"/>
    <n v="56"/>
    <n v="5.2"/>
    <s v="Will definitely switch"/>
    <s v="Very High"/>
  </r>
  <r>
    <s v="Royal Enfield"/>
    <s v="Meteor 350"/>
    <n v="349"/>
    <x v="2"/>
    <x v="1"/>
    <x v="2"/>
    <n v="156"/>
    <n v="35.200000000000003"/>
    <n v="14.1"/>
    <n v="151562"/>
    <n v="28"/>
    <n v="42438"/>
    <n v="194000"/>
    <n v="227524"/>
    <n v="80"/>
    <n v="9"/>
    <s v="Will likely switch brand"/>
    <s v="High"/>
  </r>
  <r>
    <s v="Hero"/>
    <s v="Super Splendor"/>
    <n v="125"/>
    <x v="1"/>
    <x v="3"/>
    <x v="2"/>
    <n v="113"/>
    <n v="51.7"/>
    <n v="12.3"/>
    <n v="69531"/>
    <n v="28"/>
    <n v="19469"/>
    <n v="89000"/>
    <n v="104201"/>
    <n v="62"/>
    <n v="2.2999999999999998"/>
    <s v="Might reconsider"/>
    <s v="Medium"/>
  </r>
  <r>
    <s v="Bajaj"/>
    <s v="Pulsar N250"/>
    <n v="249"/>
    <x v="0"/>
    <x v="0"/>
    <x v="0"/>
    <n v="162"/>
    <n v="31.9"/>
    <n v="17.2"/>
    <n v="133594"/>
    <n v="28"/>
    <n v="37406"/>
    <n v="171000"/>
    <n v="200179"/>
    <n v="74"/>
    <n v="12.5"/>
    <s v="Will definitely switch"/>
    <s v="Very High"/>
  </r>
  <r>
    <s v="TVS"/>
    <s v="Apache RR 310"/>
    <n v="312"/>
    <x v="2"/>
    <x v="3"/>
    <x v="0"/>
    <n v="150"/>
    <n v="35.200000000000003"/>
    <n v="15.9"/>
    <n v="202344"/>
    <n v="28"/>
    <n v="56656"/>
    <n v="259000"/>
    <n v="300070"/>
    <n v="80"/>
    <n v="13.3"/>
    <s v="Will definitely switch"/>
    <s v="Very High"/>
  </r>
  <r>
    <s v="Honda"/>
    <s v="CB200X"/>
    <n v="184"/>
    <x v="0"/>
    <x v="5"/>
    <x v="0"/>
    <n v="140"/>
    <n v="46.3"/>
    <n v="12.1"/>
    <n v="124219"/>
    <n v="28"/>
    <n v="34781"/>
    <n v="159000"/>
    <n v="184475"/>
    <n v="85"/>
    <n v="6.4"/>
    <s v="Will likely switch brand"/>
    <s v="High"/>
  </r>
  <r>
    <s v="Royal Enfield"/>
    <s v="Meteor 350"/>
    <n v="349"/>
    <x v="2"/>
    <x v="1"/>
    <x v="2"/>
    <n v="161"/>
    <n v="29.3"/>
    <n v="17"/>
    <n v="164844"/>
    <n v="28"/>
    <n v="46156"/>
    <n v="211000"/>
    <n v="240497"/>
    <n v="72"/>
    <n v="14.6"/>
    <s v="Will definitely switch"/>
    <s v="Very High"/>
  </r>
  <r>
    <s v="Honda"/>
    <s v="Shine"/>
    <n v="124"/>
    <x v="1"/>
    <x v="1"/>
    <x v="2"/>
    <n v="120"/>
    <n v="52.8"/>
    <n v="11.6"/>
    <n v="67188"/>
    <n v="28"/>
    <n v="18812"/>
    <n v="86000"/>
    <n v="99676"/>
    <n v="68"/>
    <n v="11.4"/>
    <s v="Will definitely switch"/>
    <s v="Very High"/>
  </r>
  <r>
    <s v="Honda"/>
    <s v="CD 110 Dream"/>
    <n v="109"/>
    <x v="1"/>
    <x v="1"/>
    <x v="1"/>
    <n v="91"/>
    <n v="69.7"/>
    <n v="8.4"/>
    <n v="60156"/>
    <n v="28"/>
    <n v="16844"/>
    <n v="77000"/>
    <n v="90435"/>
    <n v="64"/>
    <n v="6.5"/>
    <s v="Will definitely switch"/>
    <s v="Very High"/>
  </r>
  <r>
    <s v="Suzuki"/>
    <s v="Gixxer"/>
    <n v="155"/>
    <x v="0"/>
    <x v="3"/>
    <x v="2"/>
    <n v="138"/>
    <n v="43.9"/>
    <n v="11.7"/>
    <n v="101562"/>
    <n v="28"/>
    <n v="28438"/>
    <n v="130000"/>
    <n v="150016"/>
    <n v="59"/>
    <n v="2.6"/>
    <s v="Might reconsider"/>
    <s v="Medium"/>
  </r>
  <r>
    <s v="Royal Enfield"/>
    <s v="Thunderbird 350X"/>
    <n v="346"/>
    <x v="2"/>
    <x v="3"/>
    <x v="2"/>
    <n v="151"/>
    <n v="29.5"/>
    <n v="17.399999999999999"/>
    <n v="137500"/>
    <n v="28"/>
    <n v="38500"/>
    <n v="176000"/>
    <n v="203340"/>
    <n v="75"/>
    <n v="12.5"/>
    <s v="Will definitely switch"/>
    <s v="Very High"/>
  </r>
  <r>
    <s v="KTM"/>
    <s v="Adventure 390"/>
    <n v="373"/>
    <x v="2"/>
    <x v="0"/>
    <x v="0"/>
    <n v="206"/>
    <n v="20.2"/>
    <n v="14.7"/>
    <n v="254962"/>
    <n v="31"/>
    <n v="79038"/>
    <n v="334000"/>
    <n v="386536"/>
    <n v="72"/>
    <n v="2.6"/>
    <s v="Might reconsider"/>
    <s v="Medium"/>
  </r>
  <r>
    <s v="Honda"/>
    <s v="CB350RS"/>
    <n v="348"/>
    <x v="2"/>
    <x v="5"/>
    <x v="0"/>
    <n v="149"/>
    <n v="34.299999999999997"/>
    <n v="14.5"/>
    <n v="182031"/>
    <n v="28"/>
    <n v="50969"/>
    <n v="233000"/>
    <n v="271179"/>
    <n v="79"/>
    <n v="7.6"/>
    <s v="Will likely switch brand"/>
    <s v="High"/>
  </r>
  <r>
    <s v="Suzuki"/>
    <s v="Gixxer SF"/>
    <n v="155"/>
    <x v="0"/>
    <x v="1"/>
    <x v="2"/>
    <n v="124"/>
    <n v="41.8"/>
    <n v="13.6"/>
    <n v="107812"/>
    <n v="28"/>
    <n v="30188"/>
    <n v="138000"/>
    <n v="162514"/>
    <n v="68"/>
    <n v="1.3"/>
    <s v="Likely to buy"/>
    <s v="Low"/>
  </r>
  <r>
    <s v="Suzuki"/>
    <s v="Gixxer"/>
    <n v="155"/>
    <x v="0"/>
    <x v="0"/>
    <x v="2"/>
    <n v="121"/>
    <n v="43.2"/>
    <n v="10.3"/>
    <n v="97656"/>
    <n v="28"/>
    <n v="27344"/>
    <n v="125000"/>
    <n v="145164"/>
    <n v="65"/>
    <n v="10.199999999999999"/>
    <s v="Will definitely switch"/>
    <s v="Very High"/>
  </r>
  <r>
    <s v="TVS"/>
    <s v="Raider 125"/>
    <n v="124"/>
    <x v="1"/>
    <x v="1"/>
    <x v="0"/>
    <n v="117"/>
    <n v="48.7"/>
    <n v="13.9"/>
    <n v="75781"/>
    <n v="28"/>
    <n v="21219"/>
    <n v="97000"/>
    <n v="114352"/>
    <n v="66"/>
    <n v="14.7"/>
    <s v="Will definitely switch"/>
    <s v="Very High"/>
  </r>
  <r>
    <s v="Honda"/>
    <s v="SP 125"/>
    <n v="124"/>
    <x v="1"/>
    <x v="0"/>
    <x v="0"/>
    <n v="119"/>
    <n v="50.9"/>
    <n v="10.199999999999999"/>
    <n v="81250"/>
    <n v="28"/>
    <n v="22750"/>
    <n v="104000"/>
    <n v="121058"/>
    <n v="74"/>
    <n v="14"/>
    <s v="Will definitely switch"/>
    <s v="Very High"/>
  </r>
  <r>
    <s v="Suzuki"/>
    <s v="Gixxer"/>
    <n v="155"/>
    <x v="0"/>
    <x v="4"/>
    <x v="2"/>
    <n v="131"/>
    <n v="40.5"/>
    <n v="14"/>
    <n v="102344"/>
    <n v="28"/>
    <n v="28656"/>
    <n v="131000"/>
    <n v="152003"/>
    <n v="63"/>
    <n v="9.8000000000000007"/>
    <s v="Will definitely switch"/>
    <s v="Very High"/>
  </r>
  <r>
    <s v="Yamaha"/>
    <s v="R3"/>
    <n v="321"/>
    <x v="2"/>
    <x v="4"/>
    <x v="0"/>
    <n v="140"/>
    <n v="35"/>
    <n v="14.1"/>
    <n v="339062"/>
    <n v="28"/>
    <n v="94938"/>
    <n v="434000"/>
    <n v="488638"/>
    <n v="84"/>
    <n v="14.3"/>
    <s v="Will definitely switch"/>
    <s v="Very High"/>
  </r>
  <r>
    <s v="KTM"/>
    <s v="Duke 125"/>
    <n v="124"/>
    <x v="0"/>
    <x v="4"/>
    <x v="0"/>
    <n v="112"/>
    <n v="56.5"/>
    <n v="11.7"/>
    <n v="139844"/>
    <n v="28"/>
    <n v="39156"/>
    <n v="179000"/>
    <n v="205464"/>
    <n v="76"/>
    <n v="4.4000000000000004"/>
    <s v="Might reconsider"/>
    <s v="Medium"/>
  </r>
  <r>
    <s v="TVS"/>
    <s v="Ronin"/>
    <n v="225"/>
    <x v="0"/>
    <x v="4"/>
    <x v="0"/>
    <n v="158"/>
    <n v="33.200000000000003"/>
    <n v="19"/>
    <n v="137500"/>
    <n v="28"/>
    <n v="38500"/>
    <n v="176000"/>
    <n v="202433"/>
    <n v="72"/>
    <n v="10.6"/>
    <s v="Will definitely switch"/>
    <s v="Very High"/>
  </r>
  <r>
    <s v="TVS"/>
    <s v="Ronin"/>
    <n v="225"/>
    <x v="0"/>
    <x v="1"/>
    <x v="0"/>
    <n v="164"/>
    <n v="35.799999999999997"/>
    <n v="19.399999999999999"/>
    <n v="132812"/>
    <n v="28"/>
    <n v="37188"/>
    <n v="170000"/>
    <n v="201664"/>
    <n v="72"/>
    <n v="10.199999999999999"/>
    <s v="Will definitely switch"/>
    <s v="Very High"/>
  </r>
  <r>
    <s v="Royal Enfield"/>
    <s v="Meteor 350"/>
    <n v="349"/>
    <x v="2"/>
    <x v="3"/>
    <x v="2"/>
    <n v="144"/>
    <n v="30.6"/>
    <n v="19.7"/>
    <n v="152344"/>
    <n v="28"/>
    <n v="42656"/>
    <n v="195000"/>
    <n v="226167"/>
    <n v="66"/>
    <n v="11.7"/>
    <s v="Will definitely switch"/>
    <s v="Very High"/>
  </r>
  <r>
    <s v="TVS"/>
    <s v="Apache RR 310"/>
    <n v="312"/>
    <x v="2"/>
    <x v="0"/>
    <x v="0"/>
    <n v="146"/>
    <n v="29.3"/>
    <n v="18.3"/>
    <n v="216406"/>
    <n v="28"/>
    <n v="60594"/>
    <n v="277000"/>
    <n v="325891"/>
    <n v="70"/>
    <n v="2.8"/>
    <s v="Might reconsider"/>
    <s v="Medium"/>
  </r>
  <r>
    <s v="TVS"/>
    <s v="Raider 125"/>
    <n v="124"/>
    <x v="1"/>
    <x v="3"/>
    <x v="0"/>
    <n v="116"/>
    <n v="57.5"/>
    <n v="10.5"/>
    <n v="75781"/>
    <n v="28"/>
    <n v="21219"/>
    <n v="97000"/>
    <n v="114148"/>
    <n v="64"/>
    <n v="10.6"/>
    <s v="Will definitely switch"/>
    <s v="Very High"/>
  </r>
  <r>
    <s v="Yamaha"/>
    <s v="FZS 25"/>
    <n v="249"/>
    <x v="0"/>
    <x v="3"/>
    <x v="0"/>
    <n v="145"/>
    <n v="31.8"/>
    <n v="18.399999999999999"/>
    <n v="133594"/>
    <n v="28"/>
    <n v="37406"/>
    <n v="171000"/>
    <n v="199294"/>
    <n v="68"/>
    <n v="4.2"/>
    <s v="Might reconsider"/>
    <s v="Medium"/>
  </r>
  <r>
    <s v="Hero"/>
    <s v="HF Deluxe"/>
    <n v="97"/>
    <x v="1"/>
    <x v="3"/>
    <x v="1"/>
    <n v="91"/>
    <n v="78.2"/>
    <n v="9.6999999999999993"/>
    <n v="58594"/>
    <n v="28"/>
    <n v="16406"/>
    <n v="75000"/>
    <n v="91183"/>
    <n v="57"/>
    <n v="3.5"/>
    <s v="Might reconsider"/>
    <s v="Medium"/>
  </r>
  <r>
    <s v="Yamaha"/>
    <s v="R15 V4"/>
    <n v="155"/>
    <x v="0"/>
    <x v="3"/>
    <x v="0"/>
    <n v="121"/>
    <n v="41"/>
    <n v="12.9"/>
    <n v="144531"/>
    <n v="28"/>
    <n v="40469"/>
    <n v="185000"/>
    <n v="218799"/>
    <n v="76"/>
    <n v="11.3"/>
    <s v="Will definitely switch"/>
    <s v="Very High"/>
  </r>
  <r>
    <s v="KTM"/>
    <s v="Duke 125"/>
    <n v="124"/>
    <x v="0"/>
    <x v="3"/>
    <x v="0"/>
    <n v="106"/>
    <n v="56.9"/>
    <n v="13.3"/>
    <n v="139062"/>
    <n v="28"/>
    <n v="38938"/>
    <n v="178000"/>
    <n v="209131"/>
    <n v="78"/>
    <n v="2.5"/>
    <s v="Might reconsider"/>
    <s v="Medium"/>
  </r>
  <r>
    <s v="Hero"/>
    <s v="Xtreme 125R"/>
    <n v="125"/>
    <x v="1"/>
    <x v="3"/>
    <x v="0"/>
    <n v="106"/>
    <n v="55.8"/>
    <n v="13.5"/>
    <n v="86719"/>
    <n v="28"/>
    <n v="24281"/>
    <n v="111000"/>
    <n v="127655"/>
    <n v="68"/>
    <n v="5.0999999999999996"/>
    <s v="Will likely switch brand"/>
    <s v="High"/>
  </r>
  <r>
    <s v="TVS"/>
    <s v="Apache RTR 160 4V"/>
    <n v="159"/>
    <x v="0"/>
    <x v="3"/>
    <x v="0"/>
    <n v="124"/>
    <n v="43.9"/>
    <n v="10.4"/>
    <n v="104688"/>
    <n v="28"/>
    <n v="29312"/>
    <n v="134000"/>
    <n v="154871"/>
    <n v="73"/>
    <n v="12.6"/>
    <s v="Will definitely switch"/>
    <s v="Very High"/>
  </r>
  <r>
    <s v="Yamaha"/>
    <s v="R3"/>
    <n v="321"/>
    <x v="2"/>
    <x v="0"/>
    <x v="0"/>
    <n v="152"/>
    <n v="32.4"/>
    <n v="14.3"/>
    <n v="329688"/>
    <n v="28"/>
    <n v="92312"/>
    <n v="422000"/>
    <n v="494331"/>
    <n v="76"/>
    <n v="5.5"/>
    <s v="Will likely switch brand"/>
    <s v="High"/>
  </r>
  <r>
    <s v="Bajaj"/>
    <s v="Pulsar N160"/>
    <n v="160"/>
    <x v="0"/>
    <x v="2"/>
    <x v="0"/>
    <n v="125"/>
    <n v="46.1"/>
    <n v="11.8"/>
    <n v="107812"/>
    <n v="28"/>
    <n v="30188"/>
    <n v="138000"/>
    <n v="159228"/>
    <n v="74"/>
    <n v="2.2999999999999998"/>
    <s v="Might reconsider"/>
    <s v="Medium"/>
  </r>
  <r>
    <s v="Royal Enfield"/>
    <s v="Scram 411"/>
    <n v="411"/>
    <x v="2"/>
    <x v="0"/>
    <x v="2"/>
    <n v="170"/>
    <n v="22.6"/>
    <n v="18.399999999999999"/>
    <n v="153435"/>
    <n v="31"/>
    <n v="47565"/>
    <n v="201000"/>
    <n v="235814"/>
    <n v="76"/>
    <n v="8.6999999999999993"/>
    <s v="Will likely switch brand"/>
    <s v="High"/>
  </r>
  <r>
    <s v="Royal Enfield"/>
    <s v="Bullet 350"/>
    <n v="346"/>
    <x v="2"/>
    <x v="5"/>
    <x v="1"/>
    <n v="162"/>
    <n v="29.5"/>
    <n v="18.100000000000001"/>
    <n v="138281"/>
    <n v="28"/>
    <n v="38719"/>
    <n v="177000"/>
    <n v="204263"/>
    <n v="59"/>
    <n v="6.9"/>
    <s v="Will definitely switch"/>
    <s v="Very High"/>
  </r>
  <r>
    <s v="Yamaha"/>
    <s v="Saluto RX"/>
    <n v="113"/>
    <x v="1"/>
    <x v="3"/>
    <x v="1"/>
    <n v="113"/>
    <n v="48.4"/>
    <n v="12.2"/>
    <n v="56250"/>
    <n v="28"/>
    <n v="15750"/>
    <n v="72000"/>
    <n v="84564"/>
    <n v="50"/>
    <n v="7.4"/>
    <s v="Will definitely switch"/>
    <s v="Very High"/>
  </r>
  <r>
    <s v="Hero"/>
    <s v="Splendor Plus"/>
    <n v="97"/>
    <x v="1"/>
    <x v="1"/>
    <x v="1"/>
    <n v="98"/>
    <n v="69.599999999999994"/>
    <n v="8"/>
    <n v="58594"/>
    <n v="28"/>
    <n v="16406"/>
    <n v="75000"/>
    <n v="89757"/>
    <n v="63"/>
    <n v="2.1"/>
    <s v="Might reconsider"/>
    <s v="Medium"/>
  </r>
  <r>
    <s v="Suzuki"/>
    <s v="Gixxer SF 250"/>
    <n v="249"/>
    <x v="0"/>
    <x v="0"/>
    <x v="0"/>
    <n v="144"/>
    <n v="28.5"/>
    <n v="14"/>
    <n v="146875"/>
    <n v="28"/>
    <n v="41125"/>
    <n v="188000"/>
    <n v="219341"/>
    <n v="63"/>
    <n v="10.1"/>
    <s v="Will definitely switch"/>
    <s v="Very High"/>
  </r>
  <r>
    <s v="Hero"/>
    <s v="Super Splendor"/>
    <n v="125"/>
    <x v="1"/>
    <x v="5"/>
    <x v="2"/>
    <n v="118"/>
    <n v="49"/>
    <n v="12.4"/>
    <n v="71875"/>
    <n v="28"/>
    <n v="20125"/>
    <n v="92000"/>
    <n v="108112"/>
    <n v="60"/>
    <n v="3.3"/>
    <s v="Might reconsider"/>
    <s v="Medium"/>
  </r>
  <r>
    <s v="Suzuki"/>
    <s v="V-Strom SX"/>
    <n v="249"/>
    <x v="2"/>
    <x v="3"/>
    <x v="0"/>
    <n v="149"/>
    <n v="28.9"/>
    <n v="18.7"/>
    <n v="163281"/>
    <n v="28"/>
    <n v="45719"/>
    <n v="209000"/>
    <n v="240363"/>
    <n v="73"/>
    <n v="6.2"/>
    <s v="Will likely switch brand"/>
    <s v="High"/>
  </r>
  <r>
    <s v="KTM"/>
    <s v="RC 200"/>
    <n v="199"/>
    <x v="0"/>
    <x v="1"/>
    <x v="0"/>
    <n v="128"/>
    <n v="44"/>
    <n v="10.8"/>
    <n v="177344"/>
    <n v="28"/>
    <n v="49656"/>
    <n v="227000"/>
    <n v="257196"/>
    <n v="73"/>
    <n v="8.4"/>
    <s v="Will likely switch brand"/>
    <s v="High"/>
  </r>
  <r>
    <s v="Bajaj"/>
    <s v="Pulsar NS200"/>
    <n v="199"/>
    <x v="0"/>
    <x v="1"/>
    <x v="0"/>
    <n v="122"/>
    <n v="42.3"/>
    <n v="13.7"/>
    <n v="119531"/>
    <n v="28"/>
    <n v="33469"/>
    <n v="153000"/>
    <n v="177308"/>
    <n v="74"/>
    <n v="11.1"/>
    <s v="Will definitely switch"/>
    <s v="Very High"/>
  </r>
  <r>
    <s v="TVS"/>
    <s v="Apache RTR 160 4V"/>
    <n v="159"/>
    <x v="0"/>
    <x v="3"/>
    <x v="0"/>
    <n v="131"/>
    <n v="47"/>
    <n v="12.1"/>
    <n v="103906"/>
    <n v="28"/>
    <n v="29094"/>
    <n v="133000"/>
    <n v="157186"/>
    <n v="74"/>
    <n v="9.6"/>
    <s v="Will likely switch brand"/>
    <s v="High"/>
  </r>
  <r>
    <s v="Yamaha"/>
    <s v="R15M"/>
    <n v="155"/>
    <x v="0"/>
    <x v="3"/>
    <x v="0"/>
    <n v="126"/>
    <n v="39.9"/>
    <n v="12.5"/>
    <n v="156250"/>
    <n v="28"/>
    <n v="43750"/>
    <n v="200000"/>
    <n v="230779"/>
    <n v="67"/>
    <n v="2.7"/>
    <s v="Might reconsider"/>
    <s v="Medium"/>
  </r>
  <r>
    <s v="Honda"/>
    <s v="CB200X"/>
    <n v="184"/>
    <x v="0"/>
    <x v="2"/>
    <x v="0"/>
    <n v="130"/>
    <n v="41.1"/>
    <n v="10.8"/>
    <n v="121875"/>
    <n v="28"/>
    <n v="34125"/>
    <n v="156000"/>
    <n v="180072"/>
    <n v="74"/>
    <n v="8.8000000000000007"/>
    <s v="Will likely switch brand"/>
    <s v="High"/>
  </r>
  <r>
    <s v="Bajaj"/>
    <s v="Pulsar N160"/>
    <n v="160"/>
    <x v="0"/>
    <x v="5"/>
    <x v="0"/>
    <n v="130"/>
    <n v="42.1"/>
    <n v="11.4"/>
    <n v="104688"/>
    <n v="28"/>
    <n v="29312"/>
    <n v="134000"/>
    <n v="153514"/>
    <n v="67"/>
    <n v="2.6"/>
    <s v="Might reconsider"/>
    <s v="Medium"/>
  </r>
  <r>
    <s v="Hero"/>
    <s v="Glamour"/>
    <n v="125"/>
    <x v="1"/>
    <x v="3"/>
    <x v="2"/>
    <n v="120"/>
    <n v="54.7"/>
    <n v="10.6"/>
    <n v="78125"/>
    <n v="28"/>
    <n v="21875"/>
    <n v="100000"/>
    <n v="118198"/>
    <n v="58"/>
    <n v="10"/>
    <s v="Will definitely switch"/>
    <s v="Very High"/>
  </r>
  <r>
    <s v="Yamaha"/>
    <s v="FZ-S V3"/>
    <n v="149"/>
    <x v="0"/>
    <x v="2"/>
    <x v="2"/>
    <n v="106"/>
    <n v="60.6"/>
    <n v="12.7"/>
    <n v="107812"/>
    <n v="28"/>
    <n v="30188"/>
    <n v="138000"/>
    <n v="160764"/>
    <n v="75"/>
    <n v="5.2"/>
    <s v="Will likely switch brand"/>
    <s v="High"/>
  </r>
  <r>
    <s v="Suzuki"/>
    <s v="V-Strom SX"/>
    <n v="249"/>
    <x v="2"/>
    <x v="5"/>
    <x v="0"/>
    <n v="144"/>
    <n v="28.7"/>
    <n v="19.899999999999999"/>
    <n v="172656"/>
    <n v="28"/>
    <n v="48344"/>
    <n v="221000"/>
    <n v="253629"/>
    <n v="72"/>
    <n v="12.8"/>
    <s v="Will definitely switch"/>
    <s v="Very High"/>
  </r>
  <r>
    <s v="Suzuki"/>
    <s v="Gixxer SF"/>
    <n v="155"/>
    <x v="0"/>
    <x v="5"/>
    <x v="2"/>
    <n v="129"/>
    <n v="38.1"/>
    <n v="11.7"/>
    <n v="119531"/>
    <n v="28"/>
    <n v="33469"/>
    <n v="153000"/>
    <n v="178953"/>
    <n v="63"/>
    <n v="10.9"/>
    <s v="Will definitely switch"/>
    <s v="Very High"/>
  </r>
  <r>
    <s v="Yamaha"/>
    <s v="R15M"/>
    <n v="155"/>
    <x v="0"/>
    <x v="0"/>
    <x v="0"/>
    <n v="129"/>
    <n v="39.1"/>
    <n v="13.1"/>
    <n v="165625"/>
    <n v="28"/>
    <n v="46375"/>
    <n v="212000"/>
    <n v="245227"/>
    <n v="69"/>
    <n v="2.6"/>
    <s v="Might reconsider"/>
    <s v="Medium"/>
  </r>
  <r>
    <s v="Honda"/>
    <s v="Shine"/>
    <n v="124"/>
    <x v="1"/>
    <x v="1"/>
    <x v="2"/>
    <n v="115"/>
    <n v="50.4"/>
    <n v="11.2"/>
    <n v="69531"/>
    <n v="28"/>
    <n v="19469"/>
    <n v="89000"/>
    <n v="103786"/>
    <n v="66"/>
    <n v="11.3"/>
    <s v="Will definitely switch"/>
    <s v="Very High"/>
  </r>
  <r>
    <s v="Royal Enfield"/>
    <s v="Classic 350"/>
    <n v="349"/>
    <x v="2"/>
    <x v="3"/>
    <x v="2"/>
    <n v="144"/>
    <n v="33.4"/>
    <n v="15.7"/>
    <n v="143750"/>
    <n v="28"/>
    <n v="40250"/>
    <n v="184000"/>
    <n v="217796"/>
    <n v="69"/>
    <n v="11.1"/>
    <s v="Will definitely switch"/>
    <s v="Very High"/>
  </r>
  <r>
    <s v="Suzuki"/>
    <s v="Access 125"/>
    <n v="124"/>
    <x v="1"/>
    <x v="0"/>
    <x v="2"/>
    <n v="115"/>
    <n v="59.9"/>
    <n v="12.1"/>
    <n v="65625"/>
    <n v="28"/>
    <n v="18375"/>
    <n v="84000"/>
    <n v="98793"/>
    <n v="62"/>
    <n v="13.4"/>
    <s v="Will definitely switch"/>
    <s v="Very High"/>
  </r>
  <r>
    <s v="TVS"/>
    <s v="Ronin"/>
    <n v="225"/>
    <x v="0"/>
    <x v="5"/>
    <x v="0"/>
    <n v="146"/>
    <n v="30.6"/>
    <n v="18.399999999999999"/>
    <n v="118750"/>
    <n v="28"/>
    <n v="33250"/>
    <n v="152000"/>
    <n v="178133"/>
    <n v="68"/>
    <n v="4.9000000000000004"/>
    <s v="Might reconsider"/>
    <s v="Medium"/>
  </r>
  <r>
    <s v="Honda"/>
    <s v="CB200X"/>
    <n v="184"/>
    <x v="0"/>
    <x v="1"/>
    <x v="0"/>
    <n v="123"/>
    <n v="42.6"/>
    <n v="11.3"/>
    <n v="113281"/>
    <n v="28"/>
    <n v="31719"/>
    <n v="145000"/>
    <n v="166746"/>
    <n v="72"/>
    <n v="8.6"/>
    <s v="Will likely switch brand"/>
    <s v="High"/>
  </r>
  <r>
    <s v="Honda"/>
    <s v="CB350RS"/>
    <n v="348"/>
    <x v="2"/>
    <x v="0"/>
    <x v="0"/>
    <n v="159"/>
    <n v="28.7"/>
    <n v="13.9"/>
    <n v="184375"/>
    <n v="28"/>
    <n v="51625"/>
    <n v="236000"/>
    <n v="274960"/>
    <n v="77"/>
    <n v="8.6"/>
    <s v="Will likely switch brand"/>
    <s v="High"/>
  </r>
  <r>
    <s v="Yamaha"/>
    <s v="FZS 25"/>
    <n v="249"/>
    <x v="0"/>
    <x v="2"/>
    <x v="0"/>
    <n v="145"/>
    <n v="31.4"/>
    <n v="18.899999999999999"/>
    <n v="137500"/>
    <n v="28"/>
    <n v="38500"/>
    <n v="176000"/>
    <n v="199417"/>
    <n v="74"/>
    <n v="13.5"/>
    <s v="Will definitely switch"/>
    <s v="Very High"/>
  </r>
  <r>
    <s v="Yamaha"/>
    <s v="Saluto RX"/>
    <n v="113"/>
    <x v="1"/>
    <x v="0"/>
    <x v="1"/>
    <n v="107"/>
    <n v="58.4"/>
    <n v="13.3"/>
    <n v="59375"/>
    <n v="28"/>
    <n v="16625"/>
    <n v="76000"/>
    <n v="91472"/>
    <n v="57"/>
    <n v="8.9"/>
    <s v="Will definitely switch"/>
    <s v="Very High"/>
  </r>
  <r>
    <s v="Yamaha"/>
    <s v="FZ-X"/>
    <n v="149"/>
    <x v="0"/>
    <x v="1"/>
    <x v="0"/>
    <n v="112"/>
    <n v="54.6"/>
    <n v="11"/>
    <n v="98438"/>
    <n v="28"/>
    <n v="27562"/>
    <n v="126000"/>
    <n v="146954"/>
    <n v="71"/>
    <n v="13.1"/>
    <s v="Will definitely switch"/>
    <s v="Very High"/>
  </r>
  <r>
    <s v="Royal Enfield"/>
    <s v="Scram 411"/>
    <n v="411"/>
    <x v="2"/>
    <x v="5"/>
    <x v="2"/>
    <n v="161"/>
    <n v="21.8"/>
    <n v="16.399999999999999"/>
    <n v="161069"/>
    <n v="31"/>
    <n v="49931"/>
    <n v="211000"/>
    <n v="246252"/>
    <n v="71"/>
    <n v="7.7"/>
    <s v="Will likely switch brand"/>
    <s v="High"/>
  </r>
  <r>
    <s v="Bajaj"/>
    <s v="Platina 100"/>
    <n v="102"/>
    <x v="1"/>
    <x v="0"/>
    <x v="1"/>
    <n v="88"/>
    <n v="63.3"/>
    <n v="9.6"/>
    <n v="51562"/>
    <n v="28"/>
    <n v="14438"/>
    <n v="66000"/>
    <n v="79019"/>
    <n v="60"/>
    <n v="8.8000000000000007"/>
    <s v="Will definitely switch"/>
    <s v="Very High"/>
  </r>
  <r>
    <s v="Suzuki"/>
    <s v="Gixxer SF"/>
    <n v="155"/>
    <x v="0"/>
    <x v="4"/>
    <x v="2"/>
    <n v="135"/>
    <n v="42.5"/>
    <n v="13.3"/>
    <n v="112500"/>
    <n v="28"/>
    <n v="31500"/>
    <n v="144000"/>
    <n v="166927"/>
    <n v="64"/>
    <n v="1.9"/>
    <s v="Likely to buy"/>
    <s v="Low"/>
  </r>
  <r>
    <s v="KTM"/>
    <s v="RC 390"/>
    <n v="373"/>
    <x v="2"/>
    <x v="2"/>
    <x v="0"/>
    <n v="171"/>
    <n v="23"/>
    <n v="19.5"/>
    <n v="267176"/>
    <n v="31"/>
    <n v="82824"/>
    <n v="350000"/>
    <n v="404336"/>
    <n v="81"/>
    <n v="10.4"/>
    <s v="Will definitely switch"/>
    <s v="Very High"/>
  </r>
  <r>
    <s v="Yamaha"/>
    <s v="R15 V4"/>
    <n v="155"/>
    <x v="0"/>
    <x v="0"/>
    <x v="0"/>
    <n v="125"/>
    <n v="45.2"/>
    <n v="12.4"/>
    <n v="132031"/>
    <n v="28"/>
    <n v="36969"/>
    <n v="169000"/>
    <n v="195118"/>
    <n v="77"/>
    <n v="14.4"/>
    <s v="Will definitely switch"/>
    <s v="Very High"/>
  </r>
  <r>
    <s v="Royal Enfield"/>
    <s v="Continental GT 650"/>
    <n v="648"/>
    <x v="2"/>
    <x v="4"/>
    <x v="1"/>
    <n v="197"/>
    <n v="23.7"/>
    <n v="17.600000000000001"/>
    <n v="252672"/>
    <n v="31"/>
    <n v="78328"/>
    <n v="331000"/>
    <n v="379248"/>
    <n v="73"/>
    <n v="12.3"/>
    <s v="Will definitely switch"/>
    <s v="Very High"/>
  </r>
  <r>
    <s v="Yamaha"/>
    <s v="Saluto RX"/>
    <n v="113"/>
    <x v="1"/>
    <x v="2"/>
    <x v="1"/>
    <n v="115"/>
    <n v="51.1"/>
    <n v="11.2"/>
    <n v="58594"/>
    <n v="28"/>
    <n v="16406"/>
    <n v="75000"/>
    <n v="88088"/>
    <n v="54"/>
    <n v="9"/>
    <s v="Will definitely switch"/>
    <s v="Very High"/>
  </r>
  <r>
    <s v="KTM"/>
    <s v="RC 390"/>
    <n v="373"/>
    <x v="2"/>
    <x v="5"/>
    <x v="0"/>
    <n v="192"/>
    <n v="19.399999999999999"/>
    <n v="13.4"/>
    <n v="264885"/>
    <n v="31"/>
    <n v="82115"/>
    <n v="347000"/>
    <n v="409130"/>
    <n v="77"/>
    <n v="12.9"/>
    <s v="Will definitely switch"/>
    <s v="Very High"/>
  </r>
  <r>
    <s v="Suzuki"/>
    <s v="Gixxer SF 250"/>
    <n v="249"/>
    <x v="0"/>
    <x v="2"/>
    <x v="0"/>
    <n v="149"/>
    <n v="29"/>
    <n v="17.100000000000001"/>
    <n v="164062"/>
    <n v="28"/>
    <n v="45938"/>
    <n v="210000"/>
    <n v="238930"/>
    <n v="63"/>
    <n v="4.3"/>
    <s v="Might reconsider"/>
    <s v="Medium"/>
  </r>
  <r>
    <s v="Royal Enfield"/>
    <s v="Meteor 350"/>
    <n v="349"/>
    <x v="2"/>
    <x v="3"/>
    <x v="2"/>
    <n v="155"/>
    <n v="33.200000000000003"/>
    <n v="18.899999999999999"/>
    <n v="169531"/>
    <n v="28"/>
    <n v="47469"/>
    <n v="217000"/>
    <n v="249148"/>
    <n v="68"/>
    <n v="3.6"/>
    <s v="Might reconsider"/>
    <s v="Medium"/>
  </r>
  <r>
    <s v="Royal Enfield"/>
    <s v="Scram 411"/>
    <n v="411"/>
    <x v="2"/>
    <x v="4"/>
    <x v="2"/>
    <n v="160"/>
    <n v="20"/>
    <n v="18"/>
    <n v="173282"/>
    <n v="31"/>
    <n v="53718"/>
    <n v="227000"/>
    <n v="262643"/>
    <n v="71"/>
    <n v="10.1"/>
    <s v="Will definitely switch"/>
    <s v="Very High"/>
  </r>
  <r>
    <s v="Yamaha"/>
    <s v="R15 V4"/>
    <n v="155"/>
    <x v="0"/>
    <x v="2"/>
    <x v="0"/>
    <n v="133"/>
    <n v="43.4"/>
    <n v="12.4"/>
    <n v="144531"/>
    <n v="28"/>
    <n v="40469"/>
    <n v="185000"/>
    <n v="215629"/>
    <n v="74"/>
    <n v="13.5"/>
    <s v="Will definitely switch"/>
    <s v="Very High"/>
  </r>
  <r>
    <s v="KTM"/>
    <s v="RC 200"/>
    <n v="199"/>
    <x v="0"/>
    <x v="0"/>
    <x v="0"/>
    <n v="127"/>
    <n v="40.799999999999997"/>
    <n v="12.3"/>
    <n v="171094"/>
    <n v="28"/>
    <n v="47906"/>
    <n v="219000"/>
    <n v="252771"/>
    <n v="70"/>
    <n v="6.9"/>
    <s v="Will likely switch brand"/>
    <s v="High"/>
  </r>
  <r>
    <s v="TVS"/>
    <s v="Sport"/>
    <n v="99"/>
    <x v="1"/>
    <x v="5"/>
    <x v="1"/>
    <n v="86"/>
    <n v="67.8"/>
    <n v="8.1999999999999993"/>
    <n v="54688"/>
    <n v="28"/>
    <n v="15312"/>
    <n v="70000"/>
    <n v="84111"/>
    <n v="63"/>
    <n v="7.8"/>
    <s v="Will definitely switch"/>
    <s v="Very High"/>
  </r>
  <r>
    <s v="Yamaha"/>
    <s v="MT-15 V2"/>
    <n v="155"/>
    <x v="0"/>
    <x v="1"/>
    <x v="0"/>
    <n v="128"/>
    <n v="46.9"/>
    <n v="13.6"/>
    <n v="142969"/>
    <n v="28"/>
    <n v="40031"/>
    <n v="183000"/>
    <n v="210545"/>
    <n v="80"/>
    <n v="8.1999999999999993"/>
    <s v="Will likely switch brand"/>
    <s v="High"/>
  </r>
  <r>
    <s v="Honda"/>
    <s v="Shine"/>
    <n v="124"/>
    <x v="1"/>
    <x v="5"/>
    <x v="2"/>
    <n v="114"/>
    <n v="49.4"/>
    <n v="12.1"/>
    <n v="67188"/>
    <n v="28"/>
    <n v="18812"/>
    <n v="86000"/>
    <n v="103510"/>
    <n v="68"/>
    <n v="1.7"/>
    <s v="Likely to buy"/>
    <s v="Low"/>
  </r>
  <r>
    <s v="Hero"/>
    <s v="HF Deluxe"/>
    <n v="97"/>
    <x v="1"/>
    <x v="2"/>
    <x v="1"/>
    <n v="94"/>
    <n v="68.7"/>
    <n v="9.8000000000000007"/>
    <n v="54688"/>
    <n v="28"/>
    <n v="15312"/>
    <n v="70000"/>
    <n v="83149"/>
    <n v="60"/>
    <n v="3.3"/>
    <s v="Might reconsider"/>
    <s v="Medium"/>
  </r>
  <r>
    <s v="TVS"/>
    <s v="Apache RR 310"/>
    <n v="312"/>
    <x v="2"/>
    <x v="5"/>
    <x v="0"/>
    <n v="158"/>
    <n v="32.6"/>
    <n v="18.7"/>
    <n v="226562"/>
    <n v="28"/>
    <n v="63438"/>
    <n v="290000"/>
    <n v="332733"/>
    <n v="69"/>
    <n v="10.199999999999999"/>
    <s v="Will definitely switch"/>
    <s v="Very High"/>
  </r>
  <r>
    <s v="Hero"/>
    <s v="Glamour"/>
    <n v="125"/>
    <x v="1"/>
    <x v="0"/>
    <x v="2"/>
    <n v="113"/>
    <n v="51.7"/>
    <n v="13"/>
    <n v="71875"/>
    <n v="28"/>
    <n v="20125"/>
    <n v="92000"/>
    <n v="106492"/>
    <n v="62"/>
    <n v="13"/>
    <s v="Will definitely switch"/>
    <s v="Very High"/>
  </r>
  <r>
    <s v="Bajaj"/>
    <s v="Platina 110 H-Gear"/>
    <n v="115"/>
    <x v="1"/>
    <x v="1"/>
    <x v="2"/>
    <n v="113"/>
    <n v="59.1"/>
    <n v="13.4"/>
    <n v="66406"/>
    <n v="28"/>
    <n v="18594"/>
    <n v="85000"/>
    <n v="101497"/>
    <n v="60"/>
    <n v="7.8"/>
    <s v="Will definitely switch"/>
    <s v="Very High"/>
  </r>
  <r>
    <s v="Royal Enfield"/>
    <s v="Hunter 350"/>
    <n v="349"/>
    <x v="2"/>
    <x v="4"/>
    <x v="2"/>
    <n v="164"/>
    <n v="34.6"/>
    <n v="17.600000000000001"/>
    <n v="139062"/>
    <n v="28"/>
    <n v="38938"/>
    <n v="178000"/>
    <n v="209219"/>
    <n v="72"/>
    <n v="11.8"/>
    <s v="Will definitely switch"/>
    <s v="Very High"/>
  </r>
  <r>
    <s v="Bajaj"/>
    <s v="Platina 100"/>
    <n v="102"/>
    <x v="1"/>
    <x v="3"/>
    <x v="1"/>
    <n v="88"/>
    <n v="66"/>
    <n v="9"/>
    <n v="50781"/>
    <n v="28"/>
    <n v="14219"/>
    <n v="65000"/>
    <n v="79138"/>
    <n v="55"/>
    <n v="3.3"/>
    <s v="Might reconsider"/>
    <s v="Medium"/>
  </r>
  <r>
    <s v="Yamaha"/>
    <s v="FZS 25"/>
    <n v="249"/>
    <x v="0"/>
    <x v="1"/>
    <x v="0"/>
    <n v="152"/>
    <n v="33.4"/>
    <n v="19.100000000000001"/>
    <n v="133594"/>
    <n v="28"/>
    <n v="37406"/>
    <n v="171000"/>
    <n v="200333"/>
    <n v="72"/>
    <n v="4.7"/>
    <s v="Might reconsider"/>
    <s v="Medium"/>
  </r>
  <r>
    <s v="Hero"/>
    <s v="HF Deluxe"/>
    <n v="97"/>
    <x v="1"/>
    <x v="2"/>
    <x v="1"/>
    <n v="86"/>
    <n v="77.8"/>
    <n v="8.6999999999999993"/>
    <n v="53125"/>
    <n v="28"/>
    <n v="14875"/>
    <n v="68000"/>
    <n v="81461"/>
    <n v="57"/>
    <n v="13.8"/>
    <s v="Will definitely switch"/>
    <s v="Very High"/>
  </r>
  <r>
    <s v="KTM"/>
    <s v="RC 390"/>
    <n v="373"/>
    <x v="2"/>
    <x v="3"/>
    <x v="0"/>
    <n v="166"/>
    <n v="20.8"/>
    <n v="16.2"/>
    <n v="260305"/>
    <n v="31"/>
    <n v="80695"/>
    <n v="341000"/>
    <n v="392370"/>
    <n v="75"/>
    <n v="10.199999999999999"/>
    <s v="Will definitely switch"/>
    <s v="Very High"/>
  </r>
  <r>
    <s v="TVS"/>
    <s v="Sport"/>
    <n v="99"/>
    <x v="1"/>
    <x v="2"/>
    <x v="1"/>
    <n v="90"/>
    <n v="73"/>
    <n v="8"/>
    <n v="55469"/>
    <n v="28"/>
    <n v="15531"/>
    <n v="71000"/>
    <n v="84141"/>
    <n v="59"/>
    <n v="8.6999999999999993"/>
    <s v="Will definitely switch"/>
    <s v="Very High"/>
  </r>
  <r>
    <s v="Hero"/>
    <s v="Xpulse 200 4V"/>
    <n v="199"/>
    <x v="0"/>
    <x v="0"/>
    <x v="0"/>
    <n v="129"/>
    <n v="40.5"/>
    <n v="12.5"/>
    <n v="111719"/>
    <n v="28"/>
    <n v="31281"/>
    <n v="143000"/>
    <n v="163412"/>
    <n v="72"/>
    <n v="3.7"/>
    <s v="Might reconsider"/>
    <s v="Medium"/>
  </r>
  <r>
    <s v="Hero"/>
    <s v="Xpulse 200"/>
    <n v="199"/>
    <x v="0"/>
    <x v="4"/>
    <x v="0"/>
    <n v="123"/>
    <n v="43.4"/>
    <n v="11.5"/>
    <n v="121094"/>
    <n v="28"/>
    <n v="33906"/>
    <n v="155000"/>
    <n v="183166"/>
    <n v="69"/>
    <n v="13"/>
    <s v="Will definitely switch"/>
    <s v="Very High"/>
  </r>
  <r>
    <s v="Bajaj"/>
    <s v="Pulsar 125"/>
    <n v="124"/>
    <x v="1"/>
    <x v="5"/>
    <x v="2"/>
    <n v="107"/>
    <n v="57.1"/>
    <n v="13.1"/>
    <n v="78906"/>
    <n v="28"/>
    <n v="22094"/>
    <n v="101000"/>
    <n v="119344"/>
    <n v="67"/>
    <n v="7.3"/>
    <s v="Will likely switch brand"/>
    <s v="High"/>
  </r>
  <r>
    <s v="Royal Enfield"/>
    <s v="Classic 350"/>
    <n v="349"/>
    <x v="2"/>
    <x v="5"/>
    <x v="2"/>
    <n v="150"/>
    <n v="31.1"/>
    <n v="14.2"/>
    <n v="146094"/>
    <n v="28"/>
    <n v="40906"/>
    <n v="187000"/>
    <n v="216702"/>
    <n v="66"/>
    <n v="4.5999999999999996"/>
    <s v="Might reconsider"/>
    <s v="Medium"/>
  </r>
  <r>
    <s v="Hero"/>
    <s v="Xpulse 200 4V"/>
    <n v="199"/>
    <x v="0"/>
    <x v="3"/>
    <x v="0"/>
    <n v="123"/>
    <n v="43.5"/>
    <n v="10.9"/>
    <n v="121094"/>
    <n v="28"/>
    <n v="33906"/>
    <n v="155000"/>
    <n v="182429"/>
    <n v="70"/>
    <n v="8.6"/>
    <s v="Will likely switch brand"/>
    <s v="High"/>
  </r>
  <r>
    <s v="Honda"/>
    <s v="Unicorn"/>
    <n v="160"/>
    <x v="0"/>
    <x v="3"/>
    <x v="2"/>
    <n v="128"/>
    <n v="37.700000000000003"/>
    <n v="10.6"/>
    <n v="96094"/>
    <n v="28"/>
    <n v="26906"/>
    <n v="123000"/>
    <n v="142602"/>
    <n v="69"/>
    <n v="1.3"/>
    <s v="Likely to buy"/>
    <s v="Low"/>
  </r>
  <r>
    <s v="Hero"/>
    <s v="Splendor Plus"/>
    <n v="97"/>
    <x v="1"/>
    <x v="2"/>
    <x v="1"/>
    <n v="97"/>
    <n v="67.099999999999994"/>
    <n v="9.9"/>
    <n v="61719"/>
    <n v="28"/>
    <n v="17281"/>
    <n v="79000"/>
    <n v="95078"/>
    <n v="65"/>
    <n v="1.1000000000000001"/>
    <s v="Likely to buy"/>
    <s v="Low"/>
  </r>
  <r>
    <s v="Yamaha"/>
    <s v="R15 V4"/>
    <n v="155"/>
    <x v="0"/>
    <x v="3"/>
    <x v="0"/>
    <n v="120"/>
    <n v="42.4"/>
    <n v="10.5"/>
    <n v="139844"/>
    <n v="28"/>
    <n v="39156"/>
    <n v="179000"/>
    <n v="206474"/>
    <n v="73"/>
    <n v="14.4"/>
    <s v="Will definitely switch"/>
    <s v="Very High"/>
  </r>
  <r>
    <s v="Suzuki"/>
    <s v="Gixxer SF"/>
    <n v="155"/>
    <x v="0"/>
    <x v="5"/>
    <x v="2"/>
    <n v="140"/>
    <n v="37.5"/>
    <n v="10.3"/>
    <n v="121094"/>
    <n v="28"/>
    <n v="33906"/>
    <n v="155000"/>
    <n v="180029"/>
    <n v="59"/>
    <n v="6.1"/>
    <s v="Will definitely switch"/>
    <s v="Very High"/>
  </r>
  <r>
    <s v="Yamaha"/>
    <s v="FZ-S V3"/>
    <n v="149"/>
    <x v="0"/>
    <x v="2"/>
    <x v="2"/>
    <n v="117"/>
    <n v="48.9"/>
    <n v="11.6"/>
    <n v="105469"/>
    <n v="28"/>
    <n v="29531"/>
    <n v="135000"/>
    <n v="156235"/>
    <n v="72"/>
    <n v="3.7"/>
    <s v="Might reconsider"/>
    <s v="Medium"/>
  </r>
  <r>
    <s v="Honda"/>
    <s v="Unicorn"/>
    <n v="160"/>
    <x v="0"/>
    <x v="0"/>
    <x v="2"/>
    <n v="126"/>
    <n v="41.4"/>
    <n v="12.9"/>
    <n v="91406"/>
    <n v="28"/>
    <n v="25594"/>
    <n v="117000"/>
    <n v="136341"/>
    <n v="64"/>
    <n v="1.5"/>
    <s v="Likely to buy"/>
    <s v="Low"/>
  </r>
  <r>
    <s v="TVS"/>
    <s v="Sport"/>
    <n v="99"/>
    <x v="1"/>
    <x v="0"/>
    <x v="1"/>
    <n v="99"/>
    <n v="70"/>
    <n v="8.6999999999999993"/>
    <n v="53125"/>
    <n v="28"/>
    <n v="14875"/>
    <n v="68000"/>
    <n v="79646"/>
    <n v="54"/>
    <n v="1.5"/>
    <s v="Likely to buy"/>
    <s v="Low"/>
  </r>
  <r>
    <s v="Hero"/>
    <s v="Xtreme 125R"/>
    <n v="125"/>
    <x v="1"/>
    <x v="0"/>
    <x v="0"/>
    <n v="109"/>
    <n v="54.5"/>
    <n v="10.1"/>
    <n v="80469"/>
    <n v="28"/>
    <n v="22531"/>
    <n v="103000"/>
    <n v="120691"/>
    <n v="74"/>
    <n v="4.3"/>
    <s v="Might reconsider"/>
    <s v="Medium"/>
  </r>
  <r>
    <s v="Honda"/>
    <s v="CB350RS"/>
    <n v="348"/>
    <x v="2"/>
    <x v="4"/>
    <x v="0"/>
    <n v="162"/>
    <n v="28.5"/>
    <n v="17.399999999999999"/>
    <n v="171875"/>
    <n v="28"/>
    <n v="48125"/>
    <n v="220000"/>
    <n v="252891"/>
    <n v="82"/>
    <n v="2.8"/>
    <s v="Might reconsider"/>
    <s v="Medium"/>
  </r>
  <r>
    <s v="TVS"/>
    <s v="Ronin"/>
    <n v="225"/>
    <x v="0"/>
    <x v="1"/>
    <x v="0"/>
    <n v="143"/>
    <n v="28.7"/>
    <n v="14.5"/>
    <n v="135156"/>
    <n v="28"/>
    <n v="37844"/>
    <n v="173000"/>
    <n v="199238"/>
    <n v="65"/>
    <n v="8"/>
    <s v="Will definitely switch"/>
    <s v="Very High"/>
  </r>
  <r>
    <s v="Bajaj"/>
    <s v="Pulsar N160"/>
    <n v="160"/>
    <x v="0"/>
    <x v="4"/>
    <x v="0"/>
    <n v="123"/>
    <n v="41"/>
    <n v="11.3"/>
    <n v="100000"/>
    <n v="28"/>
    <n v="28000"/>
    <n v="128000"/>
    <n v="153527"/>
    <n v="77"/>
    <n v="9.1"/>
    <s v="Will likely switch brand"/>
    <s v="High"/>
  </r>
  <r>
    <s v="Bajaj"/>
    <s v="Pulsar N250"/>
    <n v="249"/>
    <x v="0"/>
    <x v="5"/>
    <x v="0"/>
    <n v="164"/>
    <n v="30.3"/>
    <n v="16.899999999999999"/>
    <n v="134375"/>
    <n v="28"/>
    <n v="37625"/>
    <n v="172000"/>
    <n v="198649"/>
    <n v="71"/>
    <n v="3.4"/>
    <s v="Might reconsider"/>
    <s v="Medium"/>
  </r>
  <r>
    <s v="KTM"/>
    <s v="Adventure 390"/>
    <n v="373"/>
    <x v="2"/>
    <x v="3"/>
    <x v="0"/>
    <n v="209"/>
    <n v="22.6"/>
    <n v="13.6"/>
    <n v="263359"/>
    <n v="31"/>
    <n v="81641"/>
    <n v="345000"/>
    <n v="396491"/>
    <n v="73"/>
    <n v="1.2"/>
    <s v="Likely to buy"/>
    <s v="Low"/>
  </r>
  <r>
    <s v="Hero"/>
    <s v="Splendor Plus"/>
    <n v="97"/>
    <x v="1"/>
    <x v="2"/>
    <x v="1"/>
    <n v="100"/>
    <n v="68.599999999999994"/>
    <n v="8.5"/>
    <n v="54688"/>
    <n v="28"/>
    <n v="15312"/>
    <n v="70000"/>
    <n v="82024"/>
    <n v="58"/>
    <n v="3.9"/>
    <s v="Might reconsider"/>
    <s v="Medium"/>
  </r>
  <r>
    <s v="Yamaha"/>
    <s v="Saluto RX"/>
    <n v="113"/>
    <x v="1"/>
    <x v="2"/>
    <x v="1"/>
    <n v="120"/>
    <n v="56.3"/>
    <n v="13.3"/>
    <n v="57812"/>
    <n v="28"/>
    <n v="16188"/>
    <n v="74000"/>
    <n v="87974"/>
    <n v="59"/>
    <n v="14.3"/>
    <s v="Will definitely switch"/>
    <s v="Very High"/>
  </r>
  <r>
    <s v="TVS"/>
    <s v="Apache RR 310"/>
    <n v="312"/>
    <x v="2"/>
    <x v="1"/>
    <x v="0"/>
    <n v="143"/>
    <n v="35.700000000000003"/>
    <n v="16.600000000000001"/>
    <n v="213281"/>
    <n v="28"/>
    <n v="59719"/>
    <n v="273000"/>
    <n v="306847"/>
    <n v="84"/>
    <n v="6.1"/>
    <s v="Will likely switch brand"/>
    <s v="High"/>
  </r>
  <r>
    <s v="Yamaha"/>
    <s v="FZ-X"/>
    <n v="149"/>
    <x v="0"/>
    <x v="3"/>
    <x v="0"/>
    <n v="109"/>
    <n v="49.9"/>
    <n v="12"/>
    <n v="110156"/>
    <n v="28"/>
    <n v="30844"/>
    <n v="141000"/>
    <n v="163801"/>
    <n v="79"/>
    <n v="12.8"/>
    <s v="Will definitely switch"/>
    <s v="Very High"/>
  </r>
  <r>
    <s v="Bajaj"/>
    <s v="CT100"/>
    <n v="102"/>
    <x v="1"/>
    <x v="3"/>
    <x v="1"/>
    <n v="93"/>
    <n v="65.099999999999994"/>
    <n v="8.1"/>
    <n v="48438"/>
    <n v="28"/>
    <n v="13562"/>
    <n v="62000"/>
    <n v="72894"/>
    <n v="60"/>
    <n v="9.6"/>
    <s v="Will definitely switch"/>
    <s v="Very High"/>
  </r>
  <r>
    <s v="Hero"/>
    <s v="Xtreme 160R"/>
    <n v="163"/>
    <x v="0"/>
    <x v="1"/>
    <x v="0"/>
    <n v="122"/>
    <n v="42.2"/>
    <n v="12.3"/>
    <n v="112500"/>
    <n v="28"/>
    <n v="31500"/>
    <n v="144000"/>
    <n v="167101"/>
    <n v="71"/>
    <n v="11.1"/>
    <s v="Will definitely switch"/>
    <s v="Very High"/>
  </r>
  <r>
    <s v="KTM"/>
    <s v="Duke 390"/>
    <n v="373"/>
    <x v="2"/>
    <x v="4"/>
    <x v="0"/>
    <n v="166"/>
    <n v="21.1"/>
    <n v="15.6"/>
    <n v="225191"/>
    <n v="31"/>
    <n v="69809"/>
    <n v="295000"/>
    <n v="339809"/>
    <n v="74"/>
    <n v="11.3"/>
    <s v="Will definitely switch"/>
    <s v="Very High"/>
  </r>
  <r>
    <s v="Bajaj"/>
    <s v="Pulsar RS200"/>
    <n v="199"/>
    <x v="0"/>
    <x v="5"/>
    <x v="0"/>
    <n v="139"/>
    <n v="38.4"/>
    <n v="10.5"/>
    <n v="127344"/>
    <n v="28"/>
    <n v="35656"/>
    <n v="163000"/>
    <n v="188707"/>
    <n v="74"/>
    <n v="3.5"/>
    <s v="Might reconsider"/>
    <s v="Medium"/>
  </r>
  <r>
    <s v="Bajaj"/>
    <s v="Pulsar 150"/>
    <n v="149"/>
    <x v="0"/>
    <x v="3"/>
    <x v="2"/>
    <n v="106"/>
    <n v="48.8"/>
    <n v="11.8"/>
    <n v="91406"/>
    <n v="28"/>
    <n v="25594"/>
    <n v="117000"/>
    <n v="137430"/>
    <n v="66"/>
    <n v="2.9"/>
    <s v="Might reconsider"/>
    <s v="Medium"/>
  </r>
  <r>
    <s v="Bajaj"/>
    <s v="Platina 100"/>
    <n v="102"/>
    <x v="1"/>
    <x v="4"/>
    <x v="1"/>
    <n v="90"/>
    <n v="74.900000000000006"/>
    <n v="8.1999999999999993"/>
    <n v="55469"/>
    <n v="28"/>
    <n v="15531"/>
    <n v="71000"/>
    <n v="82496"/>
    <n v="64"/>
    <n v="14.6"/>
    <s v="Will definitely switch"/>
    <s v="Very High"/>
  </r>
  <r>
    <s v="Suzuki"/>
    <s v="Access 125"/>
    <n v="124"/>
    <x v="1"/>
    <x v="3"/>
    <x v="2"/>
    <n v="118"/>
    <n v="52.1"/>
    <n v="12.3"/>
    <n v="70312"/>
    <n v="28"/>
    <n v="19688"/>
    <n v="90000"/>
    <n v="108444"/>
    <n v="58"/>
    <n v="4.5"/>
    <s v="Might reconsider"/>
    <s v="Medium"/>
  </r>
  <r>
    <s v="Honda"/>
    <s v="CB500X"/>
    <n v="471"/>
    <x v="2"/>
    <x v="1"/>
    <x v="0"/>
    <n v="190"/>
    <n v="19.600000000000001"/>
    <n v="15.8"/>
    <n v="471756"/>
    <n v="31"/>
    <n v="146244"/>
    <n v="618000"/>
    <n v="715529"/>
    <n v="84"/>
    <n v="1.5"/>
    <s v="Will still buy"/>
    <s v="Low"/>
  </r>
  <r>
    <s v="Honda"/>
    <s v="SP 125"/>
    <n v="124"/>
    <x v="1"/>
    <x v="5"/>
    <x v="0"/>
    <n v="118"/>
    <n v="57.5"/>
    <n v="11"/>
    <n v="75781"/>
    <n v="28"/>
    <n v="21219"/>
    <n v="97000"/>
    <n v="111737"/>
    <n v="69"/>
    <n v="2.9"/>
    <s v="Might reconsider"/>
    <s v="Medium"/>
  </r>
  <r>
    <s v="Honda"/>
    <s v="Shine"/>
    <n v="124"/>
    <x v="1"/>
    <x v="4"/>
    <x v="2"/>
    <n v="105"/>
    <n v="59.7"/>
    <n v="13.5"/>
    <n v="64844"/>
    <n v="28"/>
    <n v="18156"/>
    <n v="83000"/>
    <n v="98501"/>
    <n v="66"/>
    <n v="7.5"/>
    <s v="Will definitely switch"/>
    <s v="Very High"/>
  </r>
  <r>
    <s v="KTM"/>
    <s v="Duke 200"/>
    <n v="199"/>
    <x v="0"/>
    <x v="2"/>
    <x v="0"/>
    <n v="140"/>
    <n v="43.3"/>
    <n v="11.3"/>
    <n v="148438"/>
    <n v="28"/>
    <n v="41562"/>
    <n v="190000"/>
    <n v="224789"/>
    <n v="69"/>
    <n v="6.4"/>
    <s v="Will likely switch brand"/>
    <s v="High"/>
  </r>
  <r>
    <s v="Hero"/>
    <s v="Super Splendor"/>
    <n v="125"/>
    <x v="1"/>
    <x v="5"/>
    <x v="2"/>
    <n v="111"/>
    <n v="55.6"/>
    <n v="12.9"/>
    <n v="67969"/>
    <n v="28"/>
    <n v="19031"/>
    <n v="87000"/>
    <n v="104913"/>
    <n v="68"/>
    <n v="2.1"/>
    <s v="Might reconsider"/>
    <s v="Medium"/>
  </r>
  <r>
    <s v="Hero"/>
    <s v="Xpulse 200"/>
    <n v="199"/>
    <x v="0"/>
    <x v="5"/>
    <x v="0"/>
    <n v="131"/>
    <n v="38.1"/>
    <n v="11.5"/>
    <n v="113281"/>
    <n v="28"/>
    <n v="31719"/>
    <n v="145000"/>
    <n v="169495"/>
    <n v="75"/>
    <n v="9.6999999999999993"/>
    <s v="Will likely switch brand"/>
    <s v="High"/>
  </r>
  <r>
    <s v="Suzuki"/>
    <s v="V-Strom SX"/>
    <n v="249"/>
    <x v="2"/>
    <x v="3"/>
    <x v="0"/>
    <n v="147"/>
    <n v="35.700000000000003"/>
    <n v="18.2"/>
    <n v="177344"/>
    <n v="28"/>
    <n v="49656"/>
    <n v="227000"/>
    <n v="263140"/>
    <n v="82"/>
    <n v="2.6"/>
    <s v="Might reconsider"/>
    <s v="Medium"/>
  </r>
  <r>
    <s v="Bajaj"/>
    <s v="Pulsar NS200"/>
    <n v="199"/>
    <x v="0"/>
    <x v="5"/>
    <x v="0"/>
    <n v="133"/>
    <n v="42"/>
    <n v="11.4"/>
    <n v="121875"/>
    <n v="28"/>
    <n v="34125"/>
    <n v="156000"/>
    <n v="182003"/>
    <n v="71"/>
    <n v="1.8"/>
    <s v="Likely to buy"/>
    <s v="Low"/>
  </r>
  <r>
    <s v="Yamaha"/>
    <s v="R15 V4"/>
    <n v="155"/>
    <x v="0"/>
    <x v="5"/>
    <x v="0"/>
    <n v="137"/>
    <n v="43.8"/>
    <n v="13.2"/>
    <n v="140625"/>
    <n v="28"/>
    <n v="39375"/>
    <n v="180000"/>
    <n v="211643"/>
    <n v="71"/>
    <n v="7.3"/>
    <s v="Will likely switch brand"/>
    <s v="High"/>
  </r>
  <r>
    <s v="Hero"/>
    <s v="Xpulse 200 4V"/>
    <n v="199"/>
    <x v="0"/>
    <x v="5"/>
    <x v="0"/>
    <n v="129"/>
    <n v="46"/>
    <n v="10.4"/>
    <n v="114844"/>
    <n v="28"/>
    <n v="32156"/>
    <n v="147000"/>
    <n v="172224"/>
    <n v="75"/>
    <n v="2.5"/>
    <s v="Might reconsider"/>
    <s v="Medium"/>
  </r>
  <r>
    <s v="Honda"/>
    <s v="CB350RS"/>
    <n v="348"/>
    <x v="2"/>
    <x v="4"/>
    <x v="0"/>
    <n v="153"/>
    <n v="28.3"/>
    <n v="16.3"/>
    <n v="171875"/>
    <n v="28"/>
    <n v="48125"/>
    <n v="220000"/>
    <n v="258760"/>
    <n v="82"/>
    <n v="8.6"/>
    <s v="Will likely switch brand"/>
    <s v="High"/>
  </r>
  <r>
    <s v="KTM"/>
    <s v="Duke 390"/>
    <n v="373"/>
    <x v="2"/>
    <x v="3"/>
    <x v="0"/>
    <n v="174"/>
    <n v="19.5"/>
    <n v="17.100000000000001"/>
    <n v="234351"/>
    <n v="31"/>
    <n v="72649"/>
    <n v="307000"/>
    <n v="352734"/>
    <n v="79"/>
    <n v="10"/>
    <s v="Will likely switch brand"/>
    <s v="High"/>
  </r>
  <r>
    <s v="Royal Enfield"/>
    <s v="Classic 350"/>
    <n v="349"/>
    <x v="2"/>
    <x v="5"/>
    <x v="2"/>
    <n v="149"/>
    <n v="31.6"/>
    <n v="14.2"/>
    <n v="152344"/>
    <n v="28"/>
    <n v="42656"/>
    <n v="195000"/>
    <n v="227957"/>
    <n v="75"/>
    <n v="2.8"/>
    <s v="Might reconsider"/>
    <s v="Medium"/>
  </r>
  <r>
    <s v="TVS"/>
    <s v="Jupiter 110"/>
    <n v="109"/>
    <x v="1"/>
    <x v="1"/>
    <x v="2"/>
    <n v="94"/>
    <n v="64.099999999999994"/>
    <n v="9.8000000000000007"/>
    <n v="60156"/>
    <n v="28"/>
    <n v="16844"/>
    <n v="77000"/>
    <n v="89252"/>
    <n v="68"/>
    <n v="14.4"/>
    <s v="Will definitely switch"/>
    <s v="Very High"/>
  </r>
  <r>
    <s v="Suzuki"/>
    <s v="Gixxer SF"/>
    <n v="155"/>
    <x v="0"/>
    <x v="0"/>
    <x v="2"/>
    <n v="124"/>
    <n v="46.1"/>
    <n v="14"/>
    <n v="109375"/>
    <n v="28"/>
    <n v="30625"/>
    <n v="140000"/>
    <n v="168037"/>
    <n v="66"/>
    <n v="4.3"/>
    <s v="Might reconsider"/>
    <s v="Medium"/>
  </r>
  <r>
    <s v="Honda"/>
    <s v="CB300R"/>
    <n v="293"/>
    <x v="2"/>
    <x v="3"/>
    <x v="0"/>
    <n v="150"/>
    <n v="28.4"/>
    <n v="16.8"/>
    <n v="208594"/>
    <n v="28"/>
    <n v="58406"/>
    <n v="267000"/>
    <n v="306310"/>
    <n v="77"/>
    <n v="3.1"/>
    <s v="Might reconsider"/>
    <s v="Medium"/>
  </r>
  <r>
    <s v="Bajaj"/>
    <s v="CT100"/>
    <n v="102"/>
    <x v="1"/>
    <x v="2"/>
    <x v="1"/>
    <n v="99"/>
    <n v="74.5"/>
    <n v="9.1"/>
    <n v="46875"/>
    <n v="28"/>
    <n v="13125"/>
    <n v="60000"/>
    <n v="70966"/>
    <n v="60"/>
    <n v="3.2"/>
    <s v="Might reconsider"/>
    <s v="Medium"/>
  </r>
  <r>
    <s v="Yamaha"/>
    <s v="R3"/>
    <n v="321"/>
    <x v="2"/>
    <x v="1"/>
    <x v="0"/>
    <n v="164"/>
    <n v="35.6"/>
    <n v="18.100000000000001"/>
    <n v="342188"/>
    <n v="28"/>
    <n v="95812"/>
    <n v="438000"/>
    <n v="505878"/>
    <n v="85"/>
    <n v="10.3"/>
    <s v="Will definitely switch"/>
    <s v="Very High"/>
  </r>
  <r>
    <s v="KTM"/>
    <s v="Adventure 390"/>
    <n v="373"/>
    <x v="2"/>
    <x v="3"/>
    <x v="0"/>
    <n v="195"/>
    <n v="20.100000000000001"/>
    <n v="17.3"/>
    <n v="267939"/>
    <n v="31"/>
    <n v="83061"/>
    <n v="351000"/>
    <n v="396713"/>
    <n v="72"/>
    <n v="5.3"/>
    <s v="Will likely switch brand"/>
    <s v="High"/>
  </r>
  <r>
    <s v="Bajaj"/>
    <s v="Pulsar RS200"/>
    <n v="199"/>
    <x v="0"/>
    <x v="5"/>
    <x v="0"/>
    <n v="136"/>
    <n v="38.9"/>
    <n v="10.8"/>
    <n v="135156"/>
    <n v="28"/>
    <n v="37844"/>
    <n v="173000"/>
    <n v="197486"/>
    <n v="70"/>
    <n v="11.9"/>
    <s v="Will definitely switch"/>
    <s v="Very High"/>
  </r>
  <r>
    <s v="Honda"/>
    <s v="CD 110 Dream"/>
    <n v="109"/>
    <x v="1"/>
    <x v="1"/>
    <x v="1"/>
    <n v="97"/>
    <n v="78"/>
    <n v="9.1999999999999993"/>
    <n v="60938"/>
    <n v="28"/>
    <n v="17062"/>
    <n v="78000"/>
    <n v="91374"/>
    <n v="60"/>
    <n v="7.9"/>
    <s v="Will definitely switch"/>
    <s v="Very High"/>
  </r>
  <r>
    <s v="Hero"/>
    <s v="Xpulse 200"/>
    <n v="199"/>
    <x v="0"/>
    <x v="5"/>
    <x v="0"/>
    <n v="131"/>
    <n v="40.700000000000003"/>
    <n v="11.2"/>
    <n v="120312"/>
    <n v="28"/>
    <n v="33688"/>
    <n v="154000"/>
    <n v="177371"/>
    <n v="68"/>
    <n v="5"/>
    <s v="Might reconsider"/>
    <s v="Medium"/>
  </r>
  <r>
    <s v="Yamaha"/>
    <s v="Saluto RX"/>
    <n v="113"/>
    <x v="1"/>
    <x v="2"/>
    <x v="1"/>
    <n v="118"/>
    <n v="58.2"/>
    <n v="13.9"/>
    <n v="61719"/>
    <n v="28"/>
    <n v="17281"/>
    <n v="79000"/>
    <n v="92936"/>
    <n v="57"/>
    <n v="5"/>
    <s v="Might reconsider"/>
    <s v="Medium"/>
  </r>
  <r>
    <s v="KTM"/>
    <s v="RC 200"/>
    <n v="199"/>
    <x v="0"/>
    <x v="1"/>
    <x v="0"/>
    <n v="126"/>
    <n v="37.799999999999997"/>
    <n v="13.9"/>
    <n v="174219"/>
    <n v="28"/>
    <n v="48781"/>
    <n v="223000"/>
    <n v="259400"/>
    <n v="72"/>
    <n v="7.6"/>
    <s v="Will likely switch brand"/>
    <s v="High"/>
  </r>
  <r>
    <s v="Hero"/>
    <s v="Xpulse 200 4V"/>
    <n v="199"/>
    <x v="0"/>
    <x v="3"/>
    <x v="0"/>
    <n v="128"/>
    <n v="41.1"/>
    <n v="12.8"/>
    <n v="129688"/>
    <n v="28"/>
    <n v="36312"/>
    <n v="166000"/>
    <n v="191457"/>
    <n v="74"/>
    <n v="3.4"/>
    <s v="Might reconsider"/>
    <s v="Medium"/>
  </r>
  <r>
    <s v="Honda"/>
    <s v="CB350 H'ness"/>
    <n v="348"/>
    <x v="2"/>
    <x v="1"/>
    <x v="0"/>
    <n v="149"/>
    <n v="28.5"/>
    <n v="18.2"/>
    <n v="156250"/>
    <n v="28"/>
    <n v="43750"/>
    <n v="200000"/>
    <n v="233825"/>
    <n v="81"/>
    <n v="5.3"/>
    <s v="Will likely switch brand"/>
    <s v="High"/>
  </r>
  <r>
    <s v="Bajaj"/>
    <s v="Pulsar RS200"/>
    <n v="199"/>
    <x v="0"/>
    <x v="5"/>
    <x v="0"/>
    <n v="135"/>
    <n v="45.4"/>
    <n v="11.7"/>
    <n v="126562"/>
    <n v="28"/>
    <n v="35438"/>
    <n v="162000"/>
    <n v="185310"/>
    <n v="74"/>
    <n v="10.199999999999999"/>
    <s v="Will definitely switch"/>
    <s v="Very High"/>
  </r>
  <r>
    <s v="Yamaha"/>
    <s v="R15 V4"/>
    <n v="155"/>
    <x v="0"/>
    <x v="1"/>
    <x v="0"/>
    <n v="122"/>
    <n v="41.9"/>
    <n v="11.9"/>
    <n v="150000"/>
    <n v="28"/>
    <n v="42000"/>
    <n v="192000"/>
    <n v="221316"/>
    <n v="76"/>
    <n v="11.4"/>
    <s v="Will definitely switch"/>
    <s v="Very High"/>
  </r>
  <r>
    <s v="KTM"/>
    <s v="RC 390"/>
    <n v="373"/>
    <x v="2"/>
    <x v="0"/>
    <x v="0"/>
    <n v="183"/>
    <n v="23.7"/>
    <n v="18.899999999999999"/>
    <n v="270992"/>
    <n v="31"/>
    <n v="84008"/>
    <n v="355000"/>
    <n v="411190"/>
    <n v="79"/>
    <n v="11.3"/>
    <s v="Will definitely switch"/>
    <s v="Very High"/>
  </r>
  <r>
    <s v="Bajaj"/>
    <s v="CT100"/>
    <n v="102"/>
    <x v="1"/>
    <x v="3"/>
    <x v="1"/>
    <n v="90"/>
    <n v="63.9"/>
    <n v="9.3000000000000007"/>
    <n v="47656"/>
    <n v="28"/>
    <n v="13344"/>
    <n v="61000"/>
    <n v="73468"/>
    <n v="55"/>
    <n v="4.8"/>
    <s v="Might reconsider"/>
    <s v="Medium"/>
  </r>
  <r>
    <s v="Royal Enfield"/>
    <s v="Himalayan 450"/>
    <n v="452"/>
    <x v="2"/>
    <x v="0"/>
    <x v="0"/>
    <n v="209"/>
    <n v="22.1"/>
    <n v="17.2"/>
    <n v="201527"/>
    <n v="31"/>
    <n v="62473"/>
    <n v="264000"/>
    <n v="301808"/>
    <n v="87"/>
    <n v="3.6"/>
    <s v="Might reconsider"/>
    <s v="Medium"/>
  </r>
  <r>
    <s v="Bajaj"/>
    <s v="Platina 100"/>
    <n v="102"/>
    <x v="1"/>
    <x v="5"/>
    <x v="1"/>
    <n v="93"/>
    <n v="75"/>
    <n v="8.1999999999999993"/>
    <n v="53125"/>
    <n v="28"/>
    <n v="14875"/>
    <n v="68000"/>
    <n v="83783"/>
    <n v="65"/>
    <n v="10.8"/>
    <s v="Will definitely switch"/>
    <s v="Very High"/>
  </r>
  <r>
    <s v="Royal Enfield"/>
    <s v="Himalayan 450"/>
    <n v="452"/>
    <x v="2"/>
    <x v="4"/>
    <x v="0"/>
    <n v="186"/>
    <n v="23.5"/>
    <n v="13.7"/>
    <n v="229008"/>
    <n v="31"/>
    <n v="70992"/>
    <n v="300000"/>
    <n v="339791"/>
    <n v="82"/>
    <n v="13.9"/>
    <s v="Will definitely switch"/>
    <s v="Very High"/>
  </r>
  <r>
    <s v="Honda"/>
    <s v="CB500X"/>
    <n v="471"/>
    <x v="2"/>
    <x v="2"/>
    <x v="0"/>
    <n v="193"/>
    <n v="22.6"/>
    <n v="18.3"/>
    <n v="442748"/>
    <n v="31"/>
    <n v="137252"/>
    <n v="580000"/>
    <n v="676604"/>
    <n v="84"/>
    <n v="11"/>
    <s v="Will definitely switch"/>
    <s v="Very High"/>
  </r>
  <r>
    <s v="Honda"/>
    <s v="Hornet 2.0"/>
    <n v="184"/>
    <x v="0"/>
    <x v="5"/>
    <x v="0"/>
    <n v="135"/>
    <n v="46.3"/>
    <n v="10.6"/>
    <n v="107812"/>
    <n v="28"/>
    <n v="30188"/>
    <n v="138000"/>
    <n v="161095"/>
    <n v="80"/>
    <n v="5.4"/>
    <s v="Will likely switch brand"/>
    <s v="High"/>
  </r>
  <r>
    <s v="KTM"/>
    <s v="Adventure 390"/>
    <n v="373"/>
    <x v="2"/>
    <x v="0"/>
    <x v="0"/>
    <n v="179"/>
    <n v="20.3"/>
    <n v="14.6"/>
    <n v="291603"/>
    <n v="31"/>
    <n v="90397"/>
    <n v="382000"/>
    <n v="442387"/>
    <n v="71"/>
    <n v="11.4"/>
    <s v="Will definitely switch"/>
    <s v="Very High"/>
  </r>
  <r>
    <s v="Honda"/>
    <s v="CB350RS"/>
    <n v="348"/>
    <x v="2"/>
    <x v="3"/>
    <x v="0"/>
    <n v="164"/>
    <n v="31.4"/>
    <n v="18.3"/>
    <n v="177344"/>
    <n v="28"/>
    <n v="49656"/>
    <n v="227000"/>
    <n v="258035"/>
    <n v="73"/>
    <n v="2.1"/>
    <s v="Might reconsider"/>
    <s v="Medium"/>
  </r>
  <r>
    <s v="Hero"/>
    <s v="Xtreme 125R"/>
    <n v="125"/>
    <x v="1"/>
    <x v="5"/>
    <x v="0"/>
    <n v="108"/>
    <n v="49.2"/>
    <n v="12.7"/>
    <n v="78125"/>
    <n v="28"/>
    <n v="21875"/>
    <n v="100000"/>
    <n v="116880"/>
    <n v="69"/>
    <n v="1.6"/>
    <s v="Likely to buy"/>
    <s v="Low"/>
  </r>
  <r>
    <s v="Honda"/>
    <s v="SP 125"/>
    <n v="124"/>
    <x v="1"/>
    <x v="2"/>
    <x v="0"/>
    <n v="116"/>
    <n v="50.8"/>
    <n v="13.8"/>
    <n v="79688"/>
    <n v="28"/>
    <n v="22312"/>
    <n v="102000"/>
    <n v="120212"/>
    <n v="66"/>
    <n v="2.2999999999999998"/>
    <s v="Might reconsider"/>
    <s v="Medium"/>
  </r>
  <r>
    <s v="Royal Enfield"/>
    <s v="Thunderbird 350X"/>
    <n v="346"/>
    <x v="2"/>
    <x v="1"/>
    <x v="2"/>
    <n v="158"/>
    <n v="30"/>
    <n v="18.3"/>
    <n v="141406"/>
    <n v="28"/>
    <n v="39594"/>
    <n v="181000"/>
    <n v="214438"/>
    <n v="67"/>
    <n v="2.4"/>
    <s v="Might reconsider"/>
    <s v="Medium"/>
  </r>
  <r>
    <s v="Suzuki"/>
    <s v="Gixxer"/>
    <n v="155"/>
    <x v="0"/>
    <x v="2"/>
    <x v="2"/>
    <n v="123"/>
    <n v="37"/>
    <n v="11.9"/>
    <n v="100781"/>
    <n v="28"/>
    <n v="28219"/>
    <n v="129000"/>
    <n v="149106"/>
    <n v="61"/>
    <n v="13.9"/>
    <s v="Will definitely switch"/>
    <s v="Very High"/>
  </r>
  <r>
    <s v="Bajaj"/>
    <s v="Pulsar 125"/>
    <n v="124"/>
    <x v="1"/>
    <x v="3"/>
    <x v="2"/>
    <n v="118"/>
    <n v="61.4"/>
    <n v="10.5"/>
    <n v="73438"/>
    <n v="28"/>
    <n v="20562"/>
    <n v="94000"/>
    <n v="111734"/>
    <n v="65"/>
    <n v="8.1999999999999993"/>
    <s v="Will definitely switch"/>
    <s v="Very High"/>
  </r>
  <r>
    <s v="Royal Enfield"/>
    <s v="Meteor 350"/>
    <n v="349"/>
    <x v="2"/>
    <x v="3"/>
    <x v="2"/>
    <n v="157"/>
    <n v="33.6"/>
    <n v="13.8"/>
    <n v="153906"/>
    <n v="28"/>
    <n v="43094"/>
    <n v="197000"/>
    <n v="223554"/>
    <n v="66"/>
    <n v="2.2000000000000002"/>
    <s v="Might reconsider"/>
    <s v="Medium"/>
  </r>
  <r>
    <s v="TVS"/>
    <s v="Apache RTR 160 4V"/>
    <n v="159"/>
    <x v="0"/>
    <x v="3"/>
    <x v="0"/>
    <n v="133"/>
    <n v="39.200000000000003"/>
    <n v="10.8"/>
    <n v="104688"/>
    <n v="28"/>
    <n v="29312"/>
    <n v="134000"/>
    <n v="158345"/>
    <n v="70"/>
    <n v="14.8"/>
    <s v="Will definitely switch"/>
    <s v="Very High"/>
  </r>
  <r>
    <s v="Hero"/>
    <s v="Xpulse 200 4V"/>
    <n v="199"/>
    <x v="0"/>
    <x v="3"/>
    <x v="0"/>
    <n v="135"/>
    <n v="38.799999999999997"/>
    <n v="12.1"/>
    <n v="128906"/>
    <n v="28"/>
    <n v="36094"/>
    <n v="165000"/>
    <n v="195050"/>
    <n v="78"/>
    <n v="2.5"/>
    <s v="Might reconsider"/>
    <s v="Medium"/>
  </r>
  <r>
    <s v="Honda"/>
    <s v="CD 110 Dream"/>
    <n v="109"/>
    <x v="1"/>
    <x v="4"/>
    <x v="1"/>
    <n v="90"/>
    <n v="74.099999999999994"/>
    <n v="8.6999999999999993"/>
    <n v="57031"/>
    <n v="28"/>
    <n v="15969"/>
    <n v="73000"/>
    <n v="85614"/>
    <n v="58"/>
    <n v="6.1"/>
    <s v="Will definitely switch"/>
    <s v="Very High"/>
  </r>
  <r>
    <s v="KTM"/>
    <s v="Duke 200"/>
    <n v="199"/>
    <x v="0"/>
    <x v="2"/>
    <x v="0"/>
    <n v="138"/>
    <n v="44.7"/>
    <n v="13.8"/>
    <n v="146875"/>
    <n v="28"/>
    <n v="41125"/>
    <n v="188000"/>
    <n v="220849"/>
    <n v="77"/>
    <n v="4.8"/>
    <s v="Might reconsider"/>
    <s v="Medium"/>
  </r>
  <r>
    <s v="Royal Enfield"/>
    <s v="Himalayan 450"/>
    <n v="452"/>
    <x v="2"/>
    <x v="5"/>
    <x v="0"/>
    <n v="169"/>
    <n v="22.1"/>
    <n v="16.399999999999999"/>
    <n v="216794"/>
    <n v="31"/>
    <n v="67206"/>
    <n v="284000"/>
    <n v="328373"/>
    <n v="84"/>
    <n v="2.5"/>
    <s v="Might reconsider"/>
    <s v="Medium"/>
  </r>
  <r>
    <s v="Bajaj"/>
    <s v="Dominar 400"/>
    <n v="373"/>
    <x v="2"/>
    <x v="4"/>
    <x v="0"/>
    <n v="191"/>
    <n v="23.7"/>
    <n v="15.7"/>
    <n v="187023"/>
    <n v="31"/>
    <n v="57977"/>
    <n v="245000"/>
    <n v="275973"/>
    <n v="80"/>
    <n v="1.4"/>
    <s v="Likely to buy"/>
    <s v="Low"/>
  </r>
  <r>
    <s v="Royal Enfield"/>
    <s v="Classic 350"/>
    <n v="349"/>
    <x v="2"/>
    <x v="4"/>
    <x v="2"/>
    <n v="156"/>
    <n v="33.200000000000003"/>
    <n v="15.1"/>
    <n v="143750"/>
    <n v="28"/>
    <n v="40250"/>
    <n v="184000"/>
    <n v="211485"/>
    <n v="73"/>
    <n v="12.1"/>
    <s v="Will definitely switch"/>
    <s v="Very High"/>
  </r>
  <r>
    <s v="Yamaha"/>
    <s v="R15M"/>
    <n v="155"/>
    <x v="0"/>
    <x v="0"/>
    <x v="0"/>
    <n v="121"/>
    <n v="42.5"/>
    <n v="11.5"/>
    <n v="156250"/>
    <n v="28"/>
    <n v="43750"/>
    <n v="200000"/>
    <n v="229682"/>
    <n v="73"/>
    <n v="13.3"/>
    <s v="Will definitely switch"/>
    <s v="Very High"/>
  </r>
  <r>
    <s v="Royal Enfield"/>
    <s v="Meteor 350"/>
    <n v="349"/>
    <x v="2"/>
    <x v="4"/>
    <x v="2"/>
    <n v="164"/>
    <n v="32.4"/>
    <n v="16.399999999999999"/>
    <n v="173438"/>
    <n v="28"/>
    <n v="48562"/>
    <n v="222000"/>
    <n v="253234"/>
    <n v="70"/>
    <n v="13.4"/>
    <s v="Will definitely switch"/>
    <s v="Very High"/>
  </r>
  <r>
    <s v="Honda"/>
    <s v="CB350 H'ness"/>
    <n v="348"/>
    <x v="2"/>
    <x v="1"/>
    <x v="0"/>
    <n v="161"/>
    <n v="33.299999999999997"/>
    <n v="16.3"/>
    <n v="159375"/>
    <n v="28"/>
    <n v="44625"/>
    <n v="204000"/>
    <n v="237062"/>
    <n v="80"/>
    <n v="10.6"/>
    <s v="Will definitely switch"/>
    <s v="Very High"/>
  </r>
  <r>
    <s v="Suzuki"/>
    <s v="V-Strom SX"/>
    <n v="249"/>
    <x v="2"/>
    <x v="5"/>
    <x v="0"/>
    <n v="152"/>
    <n v="32.700000000000003"/>
    <n v="15.2"/>
    <n v="181250"/>
    <n v="28"/>
    <n v="50750"/>
    <n v="232000"/>
    <n v="268064"/>
    <n v="77"/>
    <n v="10.5"/>
    <s v="Will definitely switch"/>
    <s v="Very High"/>
  </r>
  <r>
    <s v="Hero"/>
    <s v="Glamour"/>
    <n v="125"/>
    <x v="1"/>
    <x v="5"/>
    <x v="2"/>
    <n v="115"/>
    <n v="48.8"/>
    <n v="14"/>
    <n v="75000"/>
    <n v="28"/>
    <n v="21000"/>
    <n v="96000"/>
    <n v="112147"/>
    <n v="64"/>
    <n v="2.4"/>
    <s v="Might reconsider"/>
    <s v="Medium"/>
  </r>
  <r>
    <s v="KTM"/>
    <s v="Duke 250"/>
    <n v="248"/>
    <x v="2"/>
    <x v="0"/>
    <x v="0"/>
    <n v="142"/>
    <n v="30.6"/>
    <n v="15.4"/>
    <n v="178906"/>
    <n v="28"/>
    <n v="50094"/>
    <n v="229000"/>
    <n v="266035"/>
    <n v="72"/>
    <n v="13.2"/>
    <s v="Will definitely switch"/>
    <s v="Very High"/>
  </r>
  <r>
    <s v="Hero"/>
    <s v="Passion Pro"/>
    <n v="110"/>
    <x v="1"/>
    <x v="3"/>
    <x v="2"/>
    <n v="98"/>
    <n v="71.099999999999994"/>
    <n v="9.1999999999999993"/>
    <n v="62500"/>
    <n v="28"/>
    <n v="17500"/>
    <n v="80000"/>
    <n v="93702"/>
    <n v="67"/>
    <n v="1.3"/>
    <s v="Likely to buy"/>
    <s v="Low"/>
  </r>
  <r>
    <s v="Royal Enfield"/>
    <s v="Meteor 350"/>
    <n v="349"/>
    <x v="2"/>
    <x v="1"/>
    <x v="2"/>
    <n v="161"/>
    <n v="28.9"/>
    <n v="18.7"/>
    <n v="160938"/>
    <n v="28"/>
    <n v="45062"/>
    <n v="206000"/>
    <n v="238235"/>
    <n v="69"/>
    <n v="5.7"/>
    <s v="Will likely switch brand"/>
    <s v="High"/>
  </r>
  <r>
    <s v="Royal Enfield"/>
    <s v="Hunter 350"/>
    <n v="349"/>
    <x v="2"/>
    <x v="1"/>
    <x v="2"/>
    <n v="165"/>
    <n v="32"/>
    <n v="14.5"/>
    <n v="121875"/>
    <n v="28"/>
    <n v="34125"/>
    <n v="156000"/>
    <n v="180880"/>
    <n v="67"/>
    <n v="12.8"/>
    <s v="Will definitely switch"/>
    <s v="Very High"/>
  </r>
  <r>
    <s v="TVS"/>
    <s v="Jupiter 110"/>
    <n v="109"/>
    <x v="1"/>
    <x v="5"/>
    <x v="2"/>
    <n v="87"/>
    <n v="72.099999999999994"/>
    <n v="8.5"/>
    <n v="57812"/>
    <n v="28"/>
    <n v="16188"/>
    <n v="74000"/>
    <n v="88609"/>
    <n v="70"/>
    <n v="2.2999999999999998"/>
    <s v="Might reconsider"/>
    <s v="Medium"/>
  </r>
  <r>
    <s v="Suzuki"/>
    <s v="Gixxer"/>
    <n v="155"/>
    <x v="0"/>
    <x v="1"/>
    <x v="2"/>
    <n v="136"/>
    <n v="45.3"/>
    <n v="11.3"/>
    <n v="104688"/>
    <n v="28"/>
    <n v="29312"/>
    <n v="134000"/>
    <n v="156665"/>
    <n v="68"/>
    <n v="7.1"/>
    <s v="Will likely switch brand"/>
    <s v="High"/>
  </r>
  <r>
    <s v="KTM"/>
    <s v="Duke 390"/>
    <n v="373"/>
    <x v="2"/>
    <x v="4"/>
    <x v="0"/>
    <n v="161"/>
    <n v="20.3"/>
    <n v="17"/>
    <n v="232824"/>
    <n v="31"/>
    <n v="72176"/>
    <n v="305000"/>
    <n v="353181"/>
    <n v="81"/>
    <n v="10.8"/>
    <s v="Will definitely switch"/>
    <s v="Very High"/>
  </r>
  <r>
    <s v="Bajaj"/>
    <s v="Pulsar N250"/>
    <n v="249"/>
    <x v="0"/>
    <x v="3"/>
    <x v="0"/>
    <n v="157"/>
    <n v="35.4"/>
    <n v="19.5"/>
    <n v="132031"/>
    <n v="28"/>
    <n v="36969"/>
    <n v="169000"/>
    <n v="199427"/>
    <n v="80"/>
    <n v="12.9"/>
    <s v="Will definitely switch"/>
    <s v="Very High"/>
  </r>
  <r>
    <s v="Hero"/>
    <s v="Xpulse 200"/>
    <n v="199"/>
    <x v="0"/>
    <x v="0"/>
    <x v="0"/>
    <n v="129"/>
    <n v="44.5"/>
    <n v="12.5"/>
    <n v="114062"/>
    <n v="28"/>
    <n v="31938"/>
    <n v="146000"/>
    <n v="167235"/>
    <n v="74"/>
    <n v="6.7"/>
    <s v="Will likely switch brand"/>
    <s v="High"/>
  </r>
  <r>
    <s v="KTM"/>
    <s v="Duke 250"/>
    <n v="248"/>
    <x v="2"/>
    <x v="4"/>
    <x v="0"/>
    <n v="152"/>
    <n v="32.799999999999997"/>
    <n v="13.2"/>
    <n v="176562"/>
    <n v="28"/>
    <n v="49438"/>
    <n v="226000"/>
    <n v="258994"/>
    <n v="74"/>
    <n v="2.6"/>
    <s v="Might reconsider"/>
    <s v="Medium"/>
  </r>
  <r>
    <s v="TVS"/>
    <s v="Ronin"/>
    <n v="225"/>
    <x v="0"/>
    <x v="0"/>
    <x v="0"/>
    <n v="146"/>
    <n v="35.1"/>
    <n v="14.8"/>
    <n v="128125"/>
    <n v="28"/>
    <n v="35875"/>
    <n v="164000"/>
    <n v="191792"/>
    <n v="72"/>
    <n v="4.8"/>
    <s v="Might reconsider"/>
    <s v="Medium"/>
  </r>
  <r>
    <s v="TVS"/>
    <s v="Apache RTR 160"/>
    <n v="159"/>
    <x v="0"/>
    <x v="0"/>
    <x v="2"/>
    <n v="120"/>
    <n v="41.9"/>
    <n v="11.3"/>
    <n v="96094"/>
    <n v="28"/>
    <n v="26906"/>
    <n v="123000"/>
    <n v="144452"/>
    <n v="59"/>
    <n v="13"/>
    <s v="Will definitely switch"/>
    <s v="Very High"/>
  </r>
  <r>
    <s v="TVS"/>
    <s v="Apache RR 310"/>
    <n v="312"/>
    <x v="2"/>
    <x v="2"/>
    <x v="0"/>
    <n v="142"/>
    <n v="33.299999999999997"/>
    <n v="18.899999999999999"/>
    <n v="231250"/>
    <n v="28"/>
    <n v="64750"/>
    <n v="296000"/>
    <n v="345120"/>
    <n v="75"/>
    <n v="14.2"/>
    <s v="Will definitely switch"/>
    <s v="Very High"/>
  </r>
  <r>
    <s v="TVS"/>
    <s v="Sport"/>
    <n v="99"/>
    <x v="1"/>
    <x v="4"/>
    <x v="1"/>
    <n v="93"/>
    <n v="72.8"/>
    <n v="9.1999999999999993"/>
    <n v="50000"/>
    <n v="28"/>
    <n v="14000"/>
    <n v="64000"/>
    <n v="78251"/>
    <n v="61"/>
    <n v="13.4"/>
    <s v="Will definitely switch"/>
    <s v="Very High"/>
  </r>
  <r>
    <s v="Royal Enfield"/>
    <s v="Meteor 350"/>
    <n v="349"/>
    <x v="2"/>
    <x v="4"/>
    <x v="2"/>
    <n v="146"/>
    <n v="35.299999999999997"/>
    <n v="19.8"/>
    <n v="159375"/>
    <n v="28"/>
    <n v="44625"/>
    <n v="204000"/>
    <n v="235765"/>
    <n v="74"/>
    <n v="2.5"/>
    <s v="Might reconsider"/>
    <s v="Medium"/>
  </r>
  <r>
    <s v="KTM"/>
    <s v="Adventure 390"/>
    <n v="373"/>
    <x v="2"/>
    <x v="3"/>
    <x v="0"/>
    <n v="167"/>
    <n v="21.3"/>
    <n v="17.8"/>
    <n v="270992"/>
    <n v="31"/>
    <n v="84008"/>
    <n v="355000"/>
    <n v="410885"/>
    <n v="76"/>
    <n v="8.6"/>
    <s v="Will likely switch brand"/>
    <s v="High"/>
  </r>
  <r>
    <s v="TVS"/>
    <s v="Apache RTR 160"/>
    <n v="159"/>
    <x v="0"/>
    <x v="1"/>
    <x v="2"/>
    <n v="129"/>
    <n v="40.700000000000003"/>
    <n v="10.1"/>
    <n v="99219"/>
    <n v="28"/>
    <n v="27781"/>
    <n v="127000"/>
    <n v="151583"/>
    <n v="59"/>
    <n v="10"/>
    <s v="Will definitely switch"/>
    <s v="Very High"/>
  </r>
  <r>
    <s v="Hero"/>
    <s v="Xtreme 160R"/>
    <n v="163"/>
    <x v="0"/>
    <x v="2"/>
    <x v="0"/>
    <n v="140"/>
    <n v="40.799999999999997"/>
    <n v="10.5"/>
    <n v="108594"/>
    <n v="28"/>
    <n v="30406"/>
    <n v="139000"/>
    <n v="163605"/>
    <n v="73"/>
    <n v="13.6"/>
    <s v="Will definitely switch"/>
    <s v="Very High"/>
  </r>
  <r>
    <s v="TVS"/>
    <s v="Sport"/>
    <n v="99"/>
    <x v="1"/>
    <x v="4"/>
    <x v="1"/>
    <n v="93"/>
    <n v="77.2"/>
    <n v="8.6"/>
    <n v="56250"/>
    <n v="28"/>
    <n v="15750"/>
    <n v="72000"/>
    <n v="85958"/>
    <n v="58"/>
    <n v="2.2999999999999998"/>
    <s v="Might reconsider"/>
    <s v="Medium"/>
  </r>
  <r>
    <s v="Bajaj"/>
    <s v="CT100"/>
    <n v="102"/>
    <x v="1"/>
    <x v="3"/>
    <x v="1"/>
    <n v="86"/>
    <n v="68.400000000000006"/>
    <n v="8.9"/>
    <n v="50000"/>
    <n v="28"/>
    <n v="14000"/>
    <n v="64000"/>
    <n v="78421"/>
    <n v="59"/>
    <n v="13.1"/>
    <s v="Will definitely switch"/>
    <s v="Very High"/>
  </r>
  <r>
    <s v="KTM"/>
    <s v="Duke 250"/>
    <n v="248"/>
    <x v="2"/>
    <x v="5"/>
    <x v="0"/>
    <n v="162"/>
    <n v="34.5"/>
    <n v="15.9"/>
    <n v="196094"/>
    <n v="28"/>
    <n v="54906"/>
    <n v="251000"/>
    <n v="286482"/>
    <n v="75"/>
    <n v="8.1"/>
    <s v="Will likely switch brand"/>
    <s v="High"/>
  </r>
  <r>
    <s v="Suzuki"/>
    <s v="Gixxer SF 250"/>
    <n v="249"/>
    <x v="0"/>
    <x v="2"/>
    <x v="0"/>
    <n v="145"/>
    <n v="33.1"/>
    <n v="14"/>
    <n v="157812"/>
    <n v="28"/>
    <n v="44188"/>
    <n v="202000"/>
    <n v="230206"/>
    <n v="73"/>
    <n v="7.2"/>
    <s v="Will likely switch brand"/>
    <s v="High"/>
  </r>
  <r>
    <s v="KTM"/>
    <s v="Duke 200"/>
    <n v="199"/>
    <x v="0"/>
    <x v="1"/>
    <x v="0"/>
    <n v="136"/>
    <n v="38.6"/>
    <n v="12.7"/>
    <n v="148438"/>
    <n v="28"/>
    <n v="41562"/>
    <n v="190000"/>
    <n v="217863"/>
    <n v="78"/>
    <n v="11.7"/>
    <s v="Will definitely switch"/>
    <s v="Very High"/>
  </r>
  <r>
    <s v="Royal Enfield"/>
    <s v="Meteor 350"/>
    <n v="349"/>
    <x v="2"/>
    <x v="3"/>
    <x v="2"/>
    <n v="150"/>
    <n v="33.4"/>
    <n v="15.6"/>
    <n v="162500"/>
    <n v="28"/>
    <n v="45500"/>
    <n v="208000"/>
    <n v="241413"/>
    <n v="70"/>
    <n v="3.8"/>
    <s v="Might reconsider"/>
    <s v="Medium"/>
  </r>
  <r>
    <s v="KTM"/>
    <s v="Duke 125"/>
    <n v="124"/>
    <x v="0"/>
    <x v="2"/>
    <x v="0"/>
    <n v="105"/>
    <n v="48.7"/>
    <n v="10.9"/>
    <n v="145312"/>
    <n v="28"/>
    <n v="40688"/>
    <n v="186000"/>
    <n v="219698"/>
    <n v="78"/>
    <n v="10.1"/>
    <s v="Will definitely switch"/>
    <s v="Very High"/>
  </r>
  <r>
    <s v="Honda"/>
    <s v="Shine"/>
    <n v="124"/>
    <x v="1"/>
    <x v="0"/>
    <x v="2"/>
    <n v="118"/>
    <n v="49.1"/>
    <n v="13.8"/>
    <n v="75781"/>
    <n v="28"/>
    <n v="21219"/>
    <n v="97000"/>
    <n v="112491"/>
    <n v="68"/>
    <n v="4.5999999999999996"/>
    <s v="Might reconsider"/>
    <s v="Medium"/>
  </r>
  <r>
    <s v="Bajaj"/>
    <s v="Platina 100"/>
    <n v="102"/>
    <x v="1"/>
    <x v="4"/>
    <x v="1"/>
    <n v="99"/>
    <n v="74.599999999999994"/>
    <n v="9.4"/>
    <n v="57031"/>
    <n v="28"/>
    <n v="15969"/>
    <n v="73000"/>
    <n v="86204"/>
    <n v="65"/>
    <n v="7.9"/>
    <s v="Will definitely switch"/>
    <s v="Very High"/>
  </r>
  <r>
    <s v="Bajaj"/>
    <s v="Pulsar 150"/>
    <n v="149"/>
    <x v="0"/>
    <x v="5"/>
    <x v="2"/>
    <n v="118"/>
    <n v="53.4"/>
    <n v="12.9"/>
    <n v="96094"/>
    <n v="28"/>
    <n v="26906"/>
    <n v="123000"/>
    <n v="145211"/>
    <n v="65"/>
    <n v="9.4"/>
    <s v="Will definitely switch"/>
    <s v="Very High"/>
  </r>
  <r>
    <s v="Bajaj"/>
    <s v="Pulsar 150"/>
    <n v="149"/>
    <x v="0"/>
    <x v="4"/>
    <x v="2"/>
    <n v="112"/>
    <n v="61.3"/>
    <n v="11.5"/>
    <n v="88281"/>
    <n v="28"/>
    <n v="24719"/>
    <n v="113000"/>
    <n v="130794"/>
    <n v="76"/>
    <n v="7.3"/>
    <s v="Will likely switch brand"/>
    <s v="High"/>
  </r>
  <r>
    <s v="Yamaha"/>
    <s v="FZ-S V3"/>
    <n v="149"/>
    <x v="0"/>
    <x v="2"/>
    <x v="2"/>
    <n v="111"/>
    <n v="53.6"/>
    <n v="12.4"/>
    <n v="94531"/>
    <n v="28"/>
    <n v="26469"/>
    <n v="121000"/>
    <n v="143526"/>
    <n v="68"/>
    <n v="10.9"/>
    <s v="Will definitely switch"/>
    <s v="Very High"/>
  </r>
  <r>
    <s v="Hero"/>
    <s v="Mavrick 440"/>
    <n v="440"/>
    <x v="2"/>
    <x v="1"/>
    <x v="0"/>
    <n v="182"/>
    <n v="21.8"/>
    <n v="18"/>
    <n v="160305"/>
    <n v="31"/>
    <n v="49695"/>
    <n v="210000"/>
    <n v="237953"/>
    <n v="84"/>
    <n v="14.2"/>
    <s v="Will definitely switch"/>
    <s v="Very High"/>
  </r>
  <r>
    <s v="Hero"/>
    <s v="Xtreme 125R"/>
    <n v="125"/>
    <x v="1"/>
    <x v="4"/>
    <x v="0"/>
    <n v="109"/>
    <n v="57.3"/>
    <n v="11"/>
    <n v="75781"/>
    <n v="28"/>
    <n v="21219"/>
    <n v="97000"/>
    <n v="113983"/>
    <n v="73"/>
    <n v="1.6"/>
    <s v="Likely to buy"/>
    <s v="Low"/>
  </r>
  <r>
    <s v="Yamaha"/>
    <s v="R3"/>
    <n v="321"/>
    <x v="2"/>
    <x v="0"/>
    <x v="0"/>
    <n v="156"/>
    <n v="30.6"/>
    <n v="15.2"/>
    <n v="350781"/>
    <n v="28"/>
    <n v="98219"/>
    <n v="449000"/>
    <n v="511052"/>
    <n v="76"/>
    <n v="3"/>
    <s v="Might reconsider"/>
    <s v="Medium"/>
  </r>
  <r>
    <s v="Honda"/>
    <s v="CB300R"/>
    <n v="293"/>
    <x v="2"/>
    <x v="5"/>
    <x v="0"/>
    <n v="149"/>
    <n v="35.299999999999997"/>
    <n v="16.600000000000001"/>
    <n v="210938"/>
    <n v="28"/>
    <n v="59062"/>
    <n v="270000"/>
    <n v="315206"/>
    <n v="82"/>
    <n v="9.6"/>
    <s v="Will likely switch brand"/>
    <s v="High"/>
  </r>
  <r>
    <s v="KTM"/>
    <s v="RC 390"/>
    <n v="373"/>
    <x v="2"/>
    <x v="0"/>
    <x v="0"/>
    <n v="202"/>
    <n v="22.3"/>
    <n v="14.3"/>
    <n v="271756"/>
    <n v="31"/>
    <n v="84244"/>
    <n v="356000"/>
    <n v="409354"/>
    <n v="81"/>
    <n v="12.2"/>
    <s v="Will definitely switch"/>
    <s v="Very High"/>
  </r>
  <r>
    <s v="Hero"/>
    <s v="Xtreme 160R"/>
    <n v="163"/>
    <x v="0"/>
    <x v="5"/>
    <x v="0"/>
    <n v="123"/>
    <n v="41.7"/>
    <n v="14"/>
    <n v="100781"/>
    <n v="28"/>
    <n v="28219"/>
    <n v="129000"/>
    <n v="148937"/>
    <n v="75"/>
    <n v="1.6"/>
    <s v="Likely to buy"/>
    <s v="Low"/>
  </r>
  <r>
    <s v="Suzuki"/>
    <s v="V-Strom SX"/>
    <n v="249"/>
    <x v="2"/>
    <x v="4"/>
    <x v="0"/>
    <n v="142"/>
    <n v="29.1"/>
    <n v="18.8"/>
    <n v="171094"/>
    <n v="28"/>
    <n v="47906"/>
    <n v="219000"/>
    <n v="253719"/>
    <n v="71"/>
    <n v="13.2"/>
    <s v="Will definitely switch"/>
    <s v="Very High"/>
  </r>
  <r>
    <s v="Yamaha"/>
    <s v="MT-03"/>
    <n v="321"/>
    <x v="2"/>
    <x v="4"/>
    <x v="0"/>
    <n v="140"/>
    <n v="32.6"/>
    <n v="15.9"/>
    <n v="378125"/>
    <n v="28"/>
    <n v="105875"/>
    <n v="484000"/>
    <n v="557433"/>
    <n v="78"/>
    <n v="11.7"/>
    <s v="Will definitely switch"/>
    <s v="Very High"/>
  </r>
  <r>
    <s v="Hero"/>
    <s v="Mavrick 440"/>
    <n v="440"/>
    <x v="2"/>
    <x v="5"/>
    <x v="0"/>
    <n v="203"/>
    <n v="19.5"/>
    <n v="17.100000000000001"/>
    <n v="164885"/>
    <n v="31"/>
    <n v="51115"/>
    <n v="216000"/>
    <n v="247817"/>
    <n v="85"/>
    <n v="2.7"/>
    <s v="Might reconsider"/>
    <s v="Medium"/>
  </r>
  <r>
    <s v="Honda"/>
    <s v="Unicorn"/>
    <n v="160"/>
    <x v="0"/>
    <x v="1"/>
    <x v="2"/>
    <n v="134"/>
    <n v="43.6"/>
    <n v="12.6"/>
    <n v="94531"/>
    <n v="28"/>
    <n v="26469"/>
    <n v="121000"/>
    <n v="140148"/>
    <n v="72"/>
    <n v="14.4"/>
    <s v="Will definitely switch"/>
    <s v="Very High"/>
  </r>
  <r>
    <s v="Royal Enfield"/>
    <s v="Bullet 350"/>
    <n v="346"/>
    <x v="2"/>
    <x v="0"/>
    <x v="1"/>
    <n v="163"/>
    <n v="35.4"/>
    <n v="18.600000000000001"/>
    <n v="146875"/>
    <n v="28"/>
    <n v="41125"/>
    <n v="188000"/>
    <n v="220520"/>
    <n v="74"/>
    <n v="2.8"/>
    <s v="Might reconsider"/>
    <s v="Medium"/>
  </r>
  <r>
    <s v="TVS"/>
    <s v="Apache RTR 160 4V"/>
    <n v="159"/>
    <x v="0"/>
    <x v="3"/>
    <x v="0"/>
    <n v="132"/>
    <n v="40.799999999999997"/>
    <n v="10.4"/>
    <n v="102344"/>
    <n v="28"/>
    <n v="28656"/>
    <n v="131000"/>
    <n v="150352"/>
    <n v="70"/>
    <n v="3.5"/>
    <s v="Might reconsider"/>
    <s v="Medium"/>
  </r>
  <r>
    <s v="Bajaj"/>
    <s v="Pulsar NS200"/>
    <n v="199"/>
    <x v="0"/>
    <x v="2"/>
    <x v="0"/>
    <n v="129"/>
    <n v="38.5"/>
    <n v="13.2"/>
    <n v="110938"/>
    <n v="28"/>
    <n v="31062"/>
    <n v="142000"/>
    <n v="167536"/>
    <n v="74"/>
    <n v="12.2"/>
    <s v="Will definitely switch"/>
    <s v="Very High"/>
  </r>
  <r>
    <s v="TVS"/>
    <s v="Ronin"/>
    <n v="225"/>
    <x v="0"/>
    <x v="3"/>
    <x v="0"/>
    <n v="156"/>
    <n v="34.6"/>
    <n v="16.3"/>
    <n v="137500"/>
    <n v="28"/>
    <n v="38500"/>
    <n v="176000"/>
    <n v="203266"/>
    <n v="67"/>
    <n v="7.9"/>
    <s v="Will likely switch brand"/>
    <s v="High"/>
  </r>
  <r>
    <s v="KTM"/>
    <s v="RC 200"/>
    <n v="199"/>
    <x v="0"/>
    <x v="5"/>
    <x v="0"/>
    <n v="133"/>
    <n v="41.3"/>
    <n v="13.9"/>
    <n v="157031"/>
    <n v="28"/>
    <n v="43969"/>
    <n v="201000"/>
    <n v="230751"/>
    <n v="69"/>
    <n v="1.6"/>
    <s v="Likely to buy"/>
    <s v="Low"/>
  </r>
  <r>
    <s v="Bajaj"/>
    <s v="Pulsar RS200"/>
    <n v="199"/>
    <x v="0"/>
    <x v="3"/>
    <x v="0"/>
    <n v="136"/>
    <n v="43.3"/>
    <n v="10.3"/>
    <n v="139844"/>
    <n v="28"/>
    <n v="39156"/>
    <n v="179000"/>
    <n v="211290"/>
    <n v="68"/>
    <n v="5.0999999999999996"/>
    <s v="Will likely switch brand"/>
    <s v="High"/>
  </r>
  <r>
    <s v="Yamaha"/>
    <s v="MT-15 V2"/>
    <n v="155"/>
    <x v="0"/>
    <x v="0"/>
    <x v="0"/>
    <n v="136"/>
    <n v="45.4"/>
    <n v="12.2"/>
    <n v="128906"/>
    <n v="28"/>
    <n v="36094"/>
    <n v="165000"/>
    <n v="195134"/>
    <n v="79"/>
    <n v="5.0999999999999996"/>
    <s v="Will likely switch brand"/>
    <s v="High"/>
  </r>
  <r>
    <s v="Hero"/>
    <s v="Xtreme 125R"/>
    <n v="125"/>
    <x v="1"/>
    <x v="0"/>
    <x v="0"/>
    <n v="113"/>
    <n v="57.1"/>
    <n v="13.1"/>
    <n v="82031"/>
    <n v="28"/>
    <n v="22969"/>
    <n v="105000"/>
    <n v="123465"/>
    <n v="70"/>
    <n v="4.5999999999999996"/>
    <s v="Might reconsider"/>
    <s v="Medium"/>
  </r>
  <r>
    <s v="Hero"/>
    <s v="Passion Pro"/>
    <n v="110"/>
    <x v="1"/>
    <x v="2"/>
    <x v="2"/>
    <n v="86"/>
    <n v="75.8"/>
    <n v="8.6"/>
    <n v="58594"/>
    <n v="28"/>
    <n v="16406"/>
    <n v="75000"/>
    <n v="88250"/>
    <n v="64"/>
    <n v="6.8"/>
    <s v="Will definitely switch"/>
    <s v="Very High"/>
  </r>
  <r>
    <s v="Yamaha"/>
    <s v="FZ-S V3"/>
    <n v="149"/>
    <x v="0"/>
    <x v="2"/>
    <x v="2"/>
    <n v="110"/>
    <n v="61.2"/>
    <n v="13.9"/>
    <n v="105469"/>
    <n v="28"/>
    <n v="29531"/>
    <n v="135000"/>
    <n v="157859"/>
    <n v="70"/>
    <n v="3.6"/>
    <s v="Might reconsider"/>
    <s v="Medium"/>
  </r>
  <r>
    <s v="TVS"/>
    <s v="Jupiter 110"/>
    <n v="109"/>
    <x v="1"/>
    <x v="3"/>
    <x v="2"/>
    <n v="85"/>
    <n v="68.2"/>
    <n v="9.4"/>
    <n v="66406"/>
    <n v="28"/>
    <n v="18594"/>
    <n v="85000"/>
    <n v="97643"/>
    <n v="63"/>
    <n v="10.199999999999999"/>
    <s v="Will definitely switch"/>
    <s v="Very High"/>
  </r>
  <r>
    <s v="Yamaha"/>
    <s v="R15 V4"/>
    <n v="155"/>
    <x v="0"/>
    <x v="4"/>
    <x v="0"/>
    <n v="132"/>
    <n v="43.8"/>
    <n v="10.1"/>
    <n v="135938"/>
    <n v="28"/>
    <n v="38062"/>
    <n v="174000"/>
    <n v="205774"/>
    <n v="71"/>
    <n v="2.2000000000000002"/>
    <s v="Might reconsider"/>
    <s v="Medium"/>
  </r>
  <r>
    <s v="Honda"/>
    <s v="Hornet 2.0"/>
    <n v="184"/>
    <x v="0"/>
    <x v="3"/>
    <x v="0"/>
    <n v="140"/>
    <n v="39.1"/>
    <n v="13.4"/>
    <n v="114844"/>
    <n v="28"/>
    <n v="32156"/>
    <n v="147000"/>
    <n v="169925"/>
    <n v="71"/>
    <n v="10.1"/>
    <s v="Will definitely switch"/>
    <s v="Very High"/>
  </r>
  <r>
    <s v="Suzuki"/>
    <s v="Gixxer SF"/>
    <n v="155"/>
    <x v="0"/>
    <x v="2"/>
    <x v="2"/>
    <n v="123"/>
    <n v="41.2"/>
    <n v="12.8"/>
    <n v="107812"/>
    <n v="28"/>
    <n v="30188"/>
    <n v="138000"/>
    <n v="160061"/>
    <n v="60"/>
    <n v="13.6"/>
    <s v="Will definitely switch"/>
    <s v="Very High"/>
  </r>
  <r>
    <s v="Yamaha"/>
    <s v="R15 V4"/>
    <n v="155"/>
    <x v="0"/>
    <x v="0"/>
    <x v="0"/>
    <n v="132"/>
    <n v="39.9"/>
    <n v="12.5"/>
    <n v="139844"/>
    <n v="28"/>
    <n v="39156"/>
    <n v="179000"/>
    <n v="209765"/>
    <n v="67"/>
    <n v="5.7"/>
    <s v="Will likely switch brand"/>
    <s v="High"/>
  </r>
  <r>
    <s v="KTM"/>
    <s v="RC 390"/>
    <n v="373"/>
    <x v="2"/>
    <x v="3"/>
    <x v="0"/>
    <n v="178"/>
    <n v="23.2"/>
    <n v="16.600000000000001"/>
    <n v="275573"/>
    <n v="31"/>
    <n v="85427"/>
    <n v="361000"/>
    <n v="422726"/>
    <n v="71"/>
    <n v="7.8"/>
    <s v="Will likely switch brand"/>
    <s v="High"/>
  </r>
  <r>
    <s v="Yamaha"/>
    <s v="R15 V4"/>
    <n v="155"/>
    <x v="0"/>
    <x v="3"/>
    <x v="0"/>
    <n v="122"/>
    <n v="40.1"/>
    <n v="13.6"/>
    <n v="134375"/>
    <n v="28"/>
    <n v="37625"/>
    <n v="172000"/>
    <n v="195763"/>
    <n v="71"/>
    <n v="13.5"/>
    <s v="Will definitely switch"/>
    <s v="Very High"/>
  </r>
  <r>
    <s v="Honda"/>
    <s v="Hornet 2.0"/>
    <n v="184"/>
    <x v="0"/>
    <x v="3"/>
    <x v="0"/>
    <n v="125"/>
    <n v="41.4"/>
    <n v="11.4"/>
    <n v="109375"/>
    <n v="28"/>
    <n v="30625"/>
    <n v="140000"/>
    <n v="166486"/>
    <n v="73"/>
    <n v="11.2"/>
    <s v="Will definitely switch"/>
    <s v="Very High"/>
  </r>
  <r>
    <s v="Bajaj"/>
    <s v="Dominar 400"/>
    <n v="373"/>
    <x v="2"/>
    <x v="5"/>
    <x v="0"/>
    <n v="205"/>
    <n v="23.9"/>
    <n v="18.100000000000001"/>
    <n v="183206"/>
    <n v="31"/>
    <n v="56794"/>
    <n v="240000"/>
    <n v="279795"/>
    <n v="80"/>
    <n v="7.6"/>
    <s v="Will likely switch brand"/>
    <s v="High"/>
  </r>
  <r>
    <s v="Royal Enfield"/>
    <s v="Interceptor 650"/>
    <n v="648"/>
    <x v="2"/>
    <x v="2"/>
    <x v="1"/>
    <n v="170"/>
    <n v="23.6"/>
    <n v="18.2"/>
    <n v="266412"/>
    <n v="31"/>
    <n v="82588"/>
    <n v="349000"/>
    <n v="407193"/>
    <n v="72"/>
    <n v="3.9"/>
    <s v="Might reconsider"/>
    <s v="Medium"/>
  </r>
  <r>
    <s v="Yamaha"/>
    <s v="MT-15 V2"/>
    <n v="155"/>
    <x v="0"/>
    <x v="1"/>
    <x v="0"/>
    <n v="135"/>
    <n v="45"/>
    <n v="10.199999999999999"/>
    <n v="125000"/>
    <n v="28"/>
    <n v="35000"/>
    <n v="160000"/>
    <n v="183228"/>
    <n v="77"/>
    <n v="4.3"/>
    <s v="Might reconsider"/>
    <s v="Medium"/>
  </r>
  <r>
    <s v="Hero"/>
    <s v="Passion Pro"/>
    <n v="110"/>
    <x v="1"/>
    <x v="0"/>
    <x v="2"/>
    <n v="86"/>
    <n v="75.5"/>
    <n v="9.1999999999999993"/>
    <n v="60938"/>
    <n v="28"/>
    <n v="17062"/>
    <n v="78000"/>
    <n v="91165"/>
    <n v="64"/>
    <n v="5.7"/>
    <s v="Will definitely switch"/>
    <s v="Very High"/>
  </r>
  <r>
    <s v="Honda"/>
    <s v="CB200X"/>
    <n v="184"/>
    <x v="0"/>
    <x v="2"/>
    <x v="0"/>
    <n v="137"/>
    <n v="44.7"/>
    <n v="13.5"/>
    <n v="117969"/>
    <n v="28"/>
    <n v="33031"/>
    <n v="151000"/>
    <n v="177004"/>
    <n v="73"/>
    <n v="13.5"/>
    <s v="Will definitely switch"/>
    <s v="Very High"/>
  </r>
  <r>
    <s v="Honda"/>
    <s v="Unicorn"/>
    <n v="160"/>
    <x v="0"/>
    <x v="1"/>
    <x v="2"/>
    <n v="123"/>
    <n v="46.7"/>
    <n v="13.1"/>
    <n v="92969"/>
    <n v="28"/>
    <n v="26031"/>
    <n v="119000"/>
    <n v="141415"/>
    <n v="69"/>
    <n v="11.9"/>
    <s v="Will definitely switch"/>
    <s v="Very High"/>
  </r>
  <r>
    <s v="Honda"/>
    <s v="Unicorn"/>
    <n v="160"/>
    <x v="0"/>
    <x v="5"/>
    <x v="2"/>
    <n v="126"/>
    <n v="38.200000000000003"/>
    <n v="12.8"/>
    <n v="94531"/>
    <n v="28"/>
    <n v="26469"/>
    <n v="121000"/>
    <n v="139348"/>
    <n v="67"/>
    <n v="3.2"/>
    <s v="Might reconsider"/>
    <s v="Medium"/>
  </r>
  <r>
    <s v="Yamaha"/>
    <s v="R3"/>
    <n v="321"/>
    <x v="2"/>
    <x v="3"/>
    <x v="0"/>
    <n v="144"/>
    <n v="30.7"/>
    <n v="19.8"/>
    <n v="351562"/>
    <n v="28"/>
    <n v="98438"/>
    <n v="450000"/>
    <n v="520047"/>
    <n v="71"/>
    <n v="12.9"/>
    <s v="Will definitely switch"/>
    <s v="Very High"/>
  </r>
  <r>
    <s v="Hero"/>
    <s v="Splendor Plus"/>
    <n v="97"/>
    <x v="1"/>
    <x v="3"/>
    <x v="1"/>
    <n v="93"/>
    <n v="64.5"/>
    <n v="8.6999999999999993"/>
    <n v="55469"/>
    <n v="28"/>
    <n v="15531"/>
    <n v="71000"/>
    <n v="85661"/>
    <n v="61"/>
    <n v="11"/>
    <s v="Will definitely switch"/>
    <s v="Very High"/>
  </r>
  <r>
    <s v="TVS"/>
    <s v="Star City Plus"/>
    <n v="109"/>
    <x v="1"/>
    <x v="3"/>
    <x v="2"/>
    <n v="98"/>
    <n v="63.9"/>
    <n v="9.9"/>
    <n v="60156"/>
    <n v="28"/>
    <n v="16844"/>
    <n v="77000"/>
    <n v="91374"/>
    <n v="67"/>
    <n v="13.9"/>
    <s v="Will definitely switch"/>
    <s v="Very High"/>
  </r>
  <r>
    <s v="Suzuki"/>
    <s v="Access 125"/>
    <n v="124"/>
    <x v="1"/>
    <x v="3"/>
    <x v="2"/>
    <n v="107"/>
    <n v="58.6"/>
    <n v="13.9"/>
    <n v="73438"/>
    <n v="28"/>
    <n v="20562"/>
    <n v="94000"/>
    <n v="108352"/>
    <n v="56"/>
    <n v="5.7"/>
    <s v="Will definitely switch"/>
    <s v="Very High"/>
  </r>
  <r>
    <s v="Bajaj"/>
    <s v="Platina 100"/>
    <n v="102"/>
    <x v="1"/>
    <x v="2"/>
    <x v="1"/>
    <n v="86"/>
    <n v="64.099999999999994"/>
    <n v="9.8000000000000007"/>
    <n v="52344"/>
    <n v="28"/>
    <n v="14656"/>
    <n v="67000"/>
    <n v="80101"/>
    <n v="65"/>
    <n v="14.7"/>
    <s v="Will definitely switch"/>
    <s v="Very High"/>
  </r>
  <r>
    <s v="TVS"/>
    <s v="Apache RTR 200 4V"/>
    <n v="197"/>
    <x v="0"/>
    <x v="5"/>
    <x v="0"/>
    <n v="130"/>
    <n v="44.2"/>
    <n v="13.6"/>
    <n v="115625"/>
    <n v="28"/>
    <n v="32375"/>
    <n v="148000"/>
    <n v="174844"/>
    <n v="71"/>
    <n v="1.1000000000000001"/>
    <s v="Likely to buy"/>
    <s v="Low"/>
  </r>
  <r>
    <s v="Honda"/>
    <s v="CB350RS"/>
    <n v="348"/>
    <x v="2"/>
    <x v="5"/>
    <x v="0"/>
    <n v="159"/>
    <n v="33"/>
    <n v="19.2"/>
    <n v="177344"/>
    <n v="28"/>
    <n v="49656"/>
    <n v="227000"/>
    <n v="261182"/>
    <n v="82"/>
    <n v="7.2"/>
    <s v="Will likely switch brand"/>
    <s v="High"/>
  </r>
  <r>
    <s v="KTM"/>
    <s v="Duke 200"/>
    <n v="199"/>
    <x v="0"/>
    <x v="5"/>
    <x v="0"/>
    <n v="124"/>
    <n v="40.299999999999997"/>
    <n v="10.9"/>
    <n v="163281"/>
    <n v="28"/>
    <n v="45719"/>
    <n v="209000"/>
    <n v="243908"/>
    <n v="76"/>
    <n v="14.9"/>
    <s v="Will definitely switch"/>
    <s v="Very High"/>
  </r>
  <r>
    <s v="Yamaha"/>
    <s v="MT-03"/>
    <n v="321"/>
    <x v="2"/>
    <x v="4"/>
    <x v="0"/>
    <n v="165"/>
    <n v="28.3"/>
    <n v="18.8"/>
    <n v="362500"/>
    <n v="28"/>
    <n v="101500"/>
    <n v="464000"/>
    <n v="534396"/>
    <n v="78"/>
    <n v="9.3000000000000007"/>
    <s v="Will likely switch brand"/>
    <s v="High"/>
  </r>
  <r>
    <s v="TVS"/>
    <s v="Apache RR 310"/>
    <n v="312"/>
    <x v="2"/>
    <x v="0"/>
    <x v="0"/>
    <n v="148"/>
    <n v="34.6"/>
    <n v="13.3"/>
    <n v="226562"/>
    <n v="28"/>
    <n v="63438"/>
    <n v="290000"/>
    <n v="336234"/>
    <n v="79"/>
    <n v="8.1"/>
    <s v="Will likely switch brand"/>
    <s v="High"/>
  </r>
  <r>
    <s v="Honda"/>
    <s v="CB200X"/>
    <n v="184"/>
    <x v="0"/>
    <x v="2"/>
    <x v="0"/>
    <n v="138"/>
    <n v="46.9"/>
    <n v="12.7"/>
    <n v="116406"/>
    <n v="28"/>
    <n v="32594"/>
    <n v="149000"/>
    <n v="172205"/>
    <n v="84"/>
    <n v="11"/>
    <s v="Will definitely switch"/>
    <s v="Very High"/>
  </r>
  <r>
    <s v="Bajaj"/>
    <s v="Dominar 400"/>
    <n v="373"/>
    <x v="2"/>
    <x v="4"/>
    <x v="0"/>
    <n v="168"/>
    <n v="22.4"/>
    <n v="13.7"/>
    <n v="178626"/>
    <n v="31"/>
    <n v="55374"/>
    <n v="234000"/>
    <n v="271004"/>
    <n v="76"/>
    <n v="8.3000000000000007"/>
    <s v="Will likely switch brand"/>
    <s v="High"/>
  </r>
  <r>
    <s v="Suzuki"/>
    <s v="Access 125"/>
    <n v="124"/>
    <x v="1"/>
    <x v="0"/>
    <x v="2"/>
    <n v="118"/>
    <n v="50.3"/>
    <n v="11.7"/>
    <n v="71094"/>
    <n v="28"/>
    <n v="19906"/>
    <n v="91000"/>
    <n v="107064"/>
    <n v="61"/>
    <n v="2.1"/>
    <s v="Might reconsider"/>
    <s v="Medium"/>
  </r>
  <r>
    <s v="Honda"/>
    <s v="CB300R"/>
    <n v="293"/>
    <x v="2"/>
    <x v="5"/>
    <x v="0"/>
    <n v="157"/>
    <n v="31.3"/>
    <n v="17.100000000000001"/>
    <n v="210156"/>
    <n v="28"/>
    <n v="58844"/>
    <n v="269000"/>
    <n v="309533"/>
    <n v="80"/>
    <n v="11.9"/>
    <s v="Will definitely switch"/>
    <s v="Very High"/>
  </r>
  <r>
    <s v="KTM"/>
    <s v="RC 200"/>
    <n v="199"/>
    <x v="0"/>
    <x v="3"/>
    <x v="0"/>
    <n v="125"/>
    <n v="46.8"/>
    <n v="12.8"/>
    <n v="181250"/>
    <n v="28"/>
    <n v="50750"/>
    <n v="232000"/>
    <n v="273309"/>
    <n v="76"/>
    <n v="8.1"/>
    <s v="Will likely switch brand"/>
    <s v="High"/>
  </r>
  <r>
    <s v="Honda"/>
    <s v="CB300R"/>
    <n v="293"/>
    <x v="2"/>
    <x v="1"/>
    <x v="0"/>
    <n v="155"/>
    <n v="29.8"/>
    <n v="15.6"/>
    <n v="226562"/>
    <n v="28"/>
    <n v="63438"/>
    <n v="290000"/>
    <n v="335766"/>
    <n v="72"/>
    <n v="11.5"/>
    <s v="Will definitely switch"/>
    <s v="Very High"/>
  </r>
  <r>
    <s v="Honda"/>
    <s v="CB200X"/>
    <n v="184"/>
    <x v="0"/>
    <x v="5"/>
    <x v="0"/>
    <n v="136"/>
    <n v="39.9"/>
    <n v="14"/>
    <n v="118750"/>
    <n v="28"/>
    <n v="33250"/>
    <n v="152000"/>
    <n v="175913"/>
    <n v="71"/>
    <n v="2.6"/>
    <s v="Might reconsider"/>
    <s v="Medium"/>
  </r>
  <r>
    <s v="TVS"/>
    <s v="Apache RR 310"/>
    <n v="312"/>
    <x v="2"/>
    <x v="2"/>
    <x v="0"/>
    <n v="149"/>
    <n v="31.4"/>
    <n v="16.399999999999999"/>
    <n v="211719"/>
    <n v="28"/>
    <n v="59281"/>
    <n v="271000"/>
    <n v="306303"/>
    <n v="73"/>
    <n v="4"/>
    <s v="Might reconsider"/>
    <s v="Medium"/>
  </r>
  <r>
    <s v="Honda"/>
    <s v="CB200X"/>
    <n v="184"/>
    <x v="0"/>
    <x v="3"/>
    <x v="0"/>
    <n v="138"/>
    <n v="42.7"/>
    <n v="11.9"/>
    <n v="117969"/>
    <n v="28"/>
    <n v="33031"/>
    <n v="151000"/>
    <n v="172123"/>
    <n v="76"/>
    <n v="13.6"/>
    <s v="Will definitely switch"/>
    <s v="Very High"/>
  </r>
  <r>
    <s v="Honda"/>
    <s v="CB300R"/>
    <n v="293"/>
    <x v="2"/>
    <x v="1"/>
    <x v="0"/>
    <n v="144"/>
    <n v="33.299999999999997"/>
    <n v="17.7"/>
    <n v="219531"/>
    <n v="28"/>
    <n v="61469"/>
    <n v="281000"/>
    <n v="324016"/>
    <n v="77"/>
    <n v="2.2999999999999998"/>
    <s v="Might reconsider"/>
    <s v="Medium"/>
  </r>
  <r>
    <s v="KTM"/>
    <s v="Duke 250"/>
    <n v="248"/>
    <x v="2"/>
    <x v="4"/>
    <x v="0"/>
    <n v="154"/>
    <n v="35.5"/>
    <n v="18"/>
    <n v="180469"/>
    <n v="28"/>
    <n v="50531"/>
    <n v="231000"/>
    <n v="268481"/>
    <n v="81"/>
    <n v="10"/>
    <s v="Will likely switch brand"/>
    <s v="High"/>
  </r>
  <r>
    <s v="TVS"/>
    <s v="Ronin"/>
    <n v="225"/>
    <x v="0"/>
    <x v="1"/>
    <x v="0"/>
    <n v="157"/>
    <n v="35.5"/>
    <n v="16.7"/>
    <n v="130469"/>
    <n v="28"/>
    <n v="36531"/>
    <n v="167000"/>
    <n v="190853"/>
    <n v="79"/>
    <n v="11.6"/>
    <s v="Will definitely switch"/>
    <s v="Very High"/>
  </r>
  <r>
    <s v="Yamaha"/>
    <s v="FZS 25"/>
    <n v="249"/>
    <x v="0"/>
    <x v="4"/>
    <x v="0"/>
    <n v="140"/>
    <n v="29.5"/>
    <n v="18.8"/>
    <n v="128906"/>
    <n v="28"/>
    <n v="36094"/>
    <n v="165000"/>
    <n v="189623"/>
    <n v="69"/>
    <n v="12"/>
    <s v="Will definitely switch"/>
    <s v="Very High"/>
  </r>
  <r>
    <s v="KTM"/>
    <s v="Adventure 390"/>
    <n v="373"/>
    <x v="2"/>
    <x v="3"/>
    <x v="0"/>
    <n v="161"/>
    <n v="19.600000000000001"/>
    <n v="13.2"/>
    <n v="256489"/>
    <n v="31"/>
    <n v="79511"/>
    <n v="336000"/>
    <n v="386696"/>
    <n v="76"/>
    <n v="7.1"/>
    <s v="Will likely switch brand"/>
    <s v="High"/>
  </r>
  <r>
    <s v="Suzuki"/>
    <s v="Gixxer"/>
    <n v="155"/>
    <x v="0"/>
    <x v="0"/>
    <x v="2"/>
    <n v="129"/>
    <n v="42.4"/>
    <n v="10.6"/>
    <n v="102344"/>
    <n v="28"/>
    <n v="28656"/>
    <n v="131000"/>
    <n v="149464"/>
    <n v="60"/>
    <n v="3.6"/>
    <s v="Might reconsider"/>
    <s v="Medium"/>
  </r>
  <r>
    <s v="KTM"/>
    <s v="Duke 250"/>
    <n v="248"/>
    <x v="2"/>
    <x v="5"/>
    <x v="0"/>
    <n v="141"/>
    <n v="28.4"/>
    <n v="14"/>
    <n v="189062"/>
    <n v="28"/>
    <n v="52938"/>
    <n v="242000"/>
    <n v="276585"/>
    <n v="75"/>
    <n v="6.5"/>
    <s v="Will likely switch brand"/>
    <s v="High"/>
  </r>
  <r>
    <s v="Royal Enfield"/>
    <s v="Classic 350"/>
    <n v="349"/>
    <x v="2"/>
    <x v="3"/>
    <x v="2"/>
    <n v="164"/>
    <n v="29.7"/>
    <n v="16.600000000000001"/>
    <n v="146094"/>
    <n v="28"/>
    <n v="40906"/>
    <n v="187000"/>
    <n v="220189"/>
    <n v="75"/>
    <n v="9.1999999999999993"/>
    <s v="Will likely switch brand"/>
    <s v="High"/>
  </r>
  <r>
    <s v="Yamaha"/>
    <s v="R3"/>
    <n v="321"/>
    <x v="2"/>
    <x v="2"/>
    <x v="0"/>
    <n v="142"/>
    <n v="32.4"/>
    <n v="14.6"/>
    <n v="345312"/>
    <n v="28"/>
    <n v="96688"/>
    <n v="442000"/>
    <n v="497094"/>
    <n v="77"/>
    <n v="1.4"/>
    <s v="Likely to buy"/>
    <s v="Low"/>
  </r>
  <r>
    <s v="Hero"/>
    <s v="Passion Pro"/>
    <n v="110"/>
    <x v="1"/>
    <x v="3"/>
    <x v="2"/>
    <n v="89"/>
    <n v="74.400000000000006"/>
    <n v="8.1999999999999993"/>
    <n v="60156"/>
    <n v="28"/>
    <n v="16844"/>
    <n v="77000"/>
    <n v="92485"/>
    <n v="67"/>
    <n v="9"/>
    <s v="Will likely switch brand"/>
    <s v="High"/>
  </r>
  <r>
    <s v="Yamaha"/>
    <s v="R3"/>
    <n v="321"/>
    <x v="2"/>
    <x v="1"/>
    <x v="0"/>
    <n v="157"/>
    <n v="34.200000000000003"/>
    <n v="16.2"/>
    <n v="335156"/>
    <n v="28"/>
    <n v="93844"/>
    <n v="429000"/>
    <n v="498690"/>
    <n v="76"/>
    <n v="14.5"/>
    <s v="Will definitely switch"/>
    <s v="Very High"/>
  </r>
  <r>
    <s v="Hero"/>
    <s v="Splendor Plus"/>
    <n v="97"/>
    <x v="1"/>
    <x v="3"/>
    <x v="1"/>
    <n v="85"/>
    <n v="77.900000000000006"/>
    <n v="8.5"/>
    <n v="60938"/>
    <n v="28"/>
    <n v="17062"/>
    <n v="78000"/>
    <n v="95221"/>
    <n v="56"/>
    <n v="14.1"/>
    <s v="Will definitely switch"/>
    <s v="Very High"/>
  </r>
  <r>
    <s v="TVS"/>
    <s v="Radeon"/>
    <n v="109"/>
    <x v="1"/>
    <x v="1"/>
    <x v="1"/>
    <n v="94"/>
    <n v="65.2"/>
    <n v="9.1"/>
    <n v="64062"/>
    <n v="28"/>
    <n v="17938"/>
    <n v="82000"/>
    <n v="97432"/>
    <n v="54"/>
    <n v="3.3"/>
    <s v="Might reconsider"/>
    <s v="Medium"/>
  </r>
  <r>
    <s v="TVS"/>
    <s v="Apache RR 310"/>
    <n v="312"/>
    <x v="2"/>
    <x v="1"/>
    <x v="0"/>
    <n v="148"/>
    <n v="32.4"/>
    <n v="19.7"/>
    <n v="204688"/>
    <n v="28"/>
    <n v="57312"/>
    <n v="262000"/>
    <n v="307460"/>
    <n v="75"/>
    <n v="4"/>
    <s v="Might reconsider"/>
    <s v="Medium"/>
  </r>
  <r>
    <s v="Royal Enfield"/>
    <s v="Meteor 350"/>
    <n v="349"/>
    <x v="2"/>
    <x v="5"/>
    <x v="2"/>
    <n v="147"/>
    <n v="31.6"/>
    <n v="14.5"/>
    <n v="174219"/>
    <n v="28"/>
    <n v="48781"/>
    <n v="223000"/>
    <n v="263694"/>
    <n v="76"/>
    <n v="14.8"/>
    <s v="Will definitely switch"/>
    <s v="Very High"/>
  </r>
  <r>
    <s v="Royal Enfield"/>
    <s v="Bullet 350"/>
    <n v="346"/>
    <x v="2"/>
    <x v="3"/>
    <x v="1"/>
    <n v="140"/>
    <n v="32.799999999999997"/>
    <n v="16.899999999999999"/>
    <n v="125781"/>
    <n v="28"/>
    <n v="35219"/>
    <n v="161000"/>
    <n v="187255"/>
    <n v="59"/>
    <n v="10.4"/>
    <s v="Will definitely switch"/>
    <s v="Very High"/>
  </r>
  <r>
    <s v="Yamaha"/>
    <s v="R15 V4"/>
    <n v="155"/>
    <x v="0"/>
    <x v="2"/>
    <x v="0"/>
    <n v="137"/>
    <n v="43.5"/>
    <n v="11.8"/>
    <n v="146875"/>
    <n v="28"/>
    <n v="41125"/>
    <n v="188000"/>
    <n v="220345"/>
    <n v="67"/>
    <n v="13.5"/>
    <s v="Will definitely switch"/>
    <s v="Very High"/>
  </r>
  <r>
    <s v="Honda"/>
    <s v="CB200X"/>
    <n v="184"/>
    <x v="0"/>
    <x v="4"/>
    <x v="0"/>
    <n v="120"/>
    <n v="40.9"/>
    <n v="11.8"/>
    <n v="114062"/>
    <n v="28"/>
    <n v="31938"/>
    <n v="146000"/>
    <n v="172689"/>
    <n v="70"/>
    <n v="7.5"/>
    <s v="Will likely switch brand"/>
    <s v="High"/>
  </r>
  <r>
    <s v="Bajaj"/>
    <s v="Pulsar RS200"/>
    <n v="199"/>
    <x v="0"/>
    <x v="2"/>
    <x v="0"/>
    <n v="122"/>
    <n v="40.6"/>
    <n v="10.9"/>
    <n v="142188"/>
    <n v="28"/>
    <n v="39812"/>
    <n v="182000"/>
    <n v="214923"/>
    <n v="76"/>
    <n v="9.8000000000000007"/>
    <s v="Will likely switch brand"/>
    <s v="High"/>
  </r>
  <r>
    <s v="Yamaha"/>
    <s v="R15M"/>
    <n v="155"/>
    <x v="0"/>
    <x v="2"/>
    <x v="0"/>
    <n v="126"/>
    <n v="44.1"/>
    <n v="11.6"/>
    <n v="167969"/>
    <n v="28"/>
    <n v="47031"/>
    <n v="215000"/>
    <n v="245969"/>
    <n v="67"/>
    <n v="3.7"/>
    <s v="Might reconsider"/>
    <s v="Medium"/>
  </r>
  <r>
    <s v="TVS"/>
    <s v="Apache RTR 160"/>
    <n v="159"/>
    <x v="0"/>
    <x v="1"/>
    <x v="2"/>
    <n v="139"/>
    <n v="44.4"/>
    <n v="10.5"/>
    <n v="94531"/>
    <n v="28"/>
    <n v="26469"/>
    <n v="121000"/>
    <n v="142738"/>
    <n v="68"/>
    <n v="3.5"/>
    <s v="Might reconsider"/>
    <s v="Medium"/>
  </r>
  <r>
    <s v="Hero"/>
    <s v="Xpulse 200 4V"/>
    <n v="199"/>
    <x v="0"/>
    <x v="0"/>
    <x v="0"/>
    <n v="128"/>
    <n v="44.3"/>
    <n v="14"/>
    <n v="114062"/>
    <n v="28"/>
    <n v="31938"/>
    <n v="146000"/>
    <n v="174152"/>
    <n v="71"/>
    <n v="12.9"/>
    <s v="Will definitely switch"/>
    <s v="Very High"/>
  </r>
  <r>
    <s v="Suzuki"/>
    <s v="Gixxer SF"/>
    <n v="155"/>
    <x v="0"/>
    <x v="0"/>
    <x v="2"/>
    <n v="140"/>
    <n v="46.4"/>
    <n v="13.4"/>
    <n v="115625"/>
    <n v="28"/>
    <n v="32375"/>
    <n v="148000"/>
    <n v="172932"/>
    <n v="74"/>
    <n v="14.2"/>
    <s v="Will definitely switch"/>
    <s v="Very High"/>
  </r>
  <r>
    <s v="Royal Enfield"/>
    <s v="Classic 350"/>
    <n v="349"/>
    <x v="2"/>
    <x v="0"/>
    <x v="2"/>
    <n v="155"/>
    <n v="32.1"/>
    <n v="19.2"/>
    <n v="150781"/>
    <n v="28"/>
    <n v="42219"/>
    <n v="193000"/>
    <n v="227755"/>
    <n v="71"/>
    <n v="8.1999999999999993"/>
    <s v="Will likely switch brand"/>
    <s v="High"/>
  </r>
  <r>
    <s v="Bajaj"/>
    <s v="Pulsar RS200"/>
    <n v="199"/>
    <x v="0"/>
    <x v="1"/>
    <x v="0"/>
    <n v="126"/>
    <n v="37"/>
    <n v="13.2"/>
    <n v="126562"/>
    <n v="28"/>
    <n v="35438"/>
    <n v="162000"/>
    <n v="190791"/>
    <n v="72"/>
    <n v="2.1"/>
    <s v="Might reconsider"/>
    <s v="Medium"/>
  </r>
  <r>
    <s v="Bajaj"/>
    <s v="Pulsar RS200"/>
    <n v="199"/>
    <x v="0"/>
    <x v="2"/>
    <x v="0"/>
    <n v="130"/>
    <n v="38.9"/>
    <n v="10.4"/>
    <n v="146875"/>
    <n v="28"/>
    <n v="41125"/>
    <n v="188000"/>
    <n v="215170"/>
    <n v="71"/>
    <n v="1.9"/>
    <s v="Likely to buy"/>
    <s v="Low"/>
  </r>
  <r>
    <s v="Yamaha"/>
    <s v="MT-15 V2"/>
    <n v="155"/>
    <x v="0"/>
    <x v="5"/>
    <x v="0"/>
    <n v="127"/>
    <n v="45.4"/>
    <n v="13.3"/>
    <n v="131250"/>
    <n v="28"/>
    <n v="36750"/>
    <n v="168000"/>
    <n v="192689"/>
    <n v="74"/>
    <n v="7.6"/>
    <s v="Will likely switch brand"/>
    <s v="High"/>
  </r>
  <r>
    <s v="Royal Enfield"/>
    <s v="Bullet 350"/>
    <n v="346"/>
    <x v="2"/>
    <x v="1"/>
    <x v="1"/>
    <n v="164"/>
    <n v="32.9"/>
    <n v="13.9"/>
    <n v="137500"/>
    <n v="28"/>
    <n v="38500"/>
    <n v="176000"/>
    <n v="201740"/>
    <n v="60"/>
    <n v="9.8000000000000007"/>
    <s v="Will definitely switch"/>
    <s v="Very High"/>
  </r>
  <r>
    <s v="Hero"/>
    <s v="Xpulse 200"/>
    <n v="199"/>
    <x v="0"/>
    <x v="3"/>
    <x v="0"/>
    <n v="124"/>
    <n v="37.6"/>
    <n v="10.199999999999999"/>
    <n v="121094"/>
    <n v="28"/>
    <n v="33906"/>
    <n v="155000"/>
    <n v="181989"/>
    <n v="68"/>
    <n v="13.9"/>
    <s v="Will definitely switch"/>
    <s v="Very High"/>
  </r>
  <r>
    <s v="KTM"/>
    <s v="RC 390"/>
    <n v="373"/>
    <x v="2"/>
    <x v="3"/>
    <x v="0"/>
    <n v="185"/>
    <n v="23.8"/>
    <n v="14.6"/>
    <n v="238168"/>
    <n v="31"/>
    <n v="73832"/>
    <n v="312000"/>
    <n v="361473"/>
    <n v="72"/>
    <n v="9.6"/>
    <s v="Will likely switch brand"/>
    <s v="High"/>
  </r>
  <r>
    <s v="Hero"/>
    <s v="HF Deluxe"/>
    <n v="97"/>
    <x v="1"/>
    <x v="0"/>
    <x v="1"/>
    <n v="95"/>
    <n v="72"/>
    <n v="8.9"/>
    <n v="53906"/>
    <n v="28"/>
    <n v="15094"/>
    <n v="69000"/>
    <n v="83002"/>
    <n v="66"/>
    <n v="14.1"/>
    <s v="Will definitely switch"/>
    <s v="Very High"/>
  </r>
  <r>
    <s v="Royal Enfield"/>
    <s v="Bullet 350"/>
    <n v="346"/>
    <x v="2"/>
    <x v="4"/>
    <x v="1"/>
    <n v="165"/>
    <n v="28.7"/>
    <n v="17.5"/>
    <n v="138281"/>
    <n v="28"/>
    <n v="38719"/>
    <n v="177000"/>
    <n v="202199"/>
    <n v="62"/>
    <n v="13.7"/>
    <s v="Will definitely switch"/>
    <s v="Very High"/>
  </r>
  <r>
    <s v="TVS"/>
    <s v="Radeon"/>
    <n v="109"/>
    <x v="1"/>
    <x v="1"/>
    <x v="1"/>
    <n v="86"/>
    <n v="65.7"/>
    <n v="8.9"/>
    <n v="59375"/>
    <n v="28"/>
    <n v="16625"/>
    <n v="76000"/>
    <n v="89528"/>
    <n v="54"/>
    <n v="2.8"/>
    <s v="Might reconsider"/>
    <s v="Medium"/>
  </r>
  <r>
    <s v="Royal Enfield"/>
    <s v="Himalayan 450"/>
    <n v="452"/>
    <x v="2"/>
    <x v="0"/>
    <x v="0"/>
    <n v="198"/>
    <n v="21.8"/>
    <n v="16.600000000000001"/>
    <n v="210687"/>
    <n v="31"/>
    <n v="65313"/>
    <n v="276000"/>
    <n v="323017"/>
    <n v="82"/>
    <n v="5.0999999999999996"/>
    <s v="Will likely switch brand"/>
    <s v="High"/>
  </r>
  <r>
    <s v="Honda"/>
    <s v="CB350RS"/>
    <n v="348"/>
    <x v="2"/>
    <x v="4"/>
    <x v="0"/>
    <n v="146"/>
    <n v="31.4"/>
    <n v="18.5"/>
    <n v="159375"/>
    <n v="28"/>
    <n v="44625"/>
    <n v="204000"/>
    <n v="236209"/>
    <n v="75"/>
    <n v="10"/>
    <s v="Will likely switch brand"/>
    <s v="High"/>
  </r>
  <r>
    <s v="Royal Enfield"/>
    <s v="Hunter 350"/>
    <n v="349"/>
    <x v="2"/>
    <x v="5"/>
    <x v="2"/>
    <n v="150"/>
    <n v="32.799999999999997"/>
    <n v="17.3"/>
    <n v="122656"/>
    <n v="28"/>
    <n v="34344"/>
    <n v="157000"/>
    <n v="183344"/>
    <n v="75"/>
    <n v="8.9"/>
    <s v="Will likely switch brand"/>
    <s v="High"/>
  </r>
  <r>
    <s v="KTM"/>
    <s v="Duke 390"/>
    <n v="373"/>
    <x v="2"/>
    <x v="4"/>
    <x v="0"/>
    <n v="160"/>
    <n v="22"/>
    <n v="16.3"/>
    <n v="229771"/>
    <n v="31"/>
    <n v="71229"/>
    <n v="301000"/>
    <n v="342819"/>
    <n v="81"/>
    <n v="4.0999999999999996"/>
    <s v="Might reconsider"/>
    <s v="Medium"/>
  </r>
  <r>
    <s v="Bajaj"/>
    <s v="Pulsar N250"/>
    <n v="249"/>
    <x v="0"/>
    <x v="0"/>
    <x v="0"/>
    <n v="152"/>
    <n v="34.4"/>
    <n v="15.5"/>
    <n v="123438"/>
    <n v="28"/>
    <n v="34562"/>
    <n v="158000"/>
    <n v="186390"/>
    <n v="68"/>
    <n v="6.6"/>
    <s v="Will likely switch brand"/>
    <s v="High"/>
  </r>
  <r>
    <s v="Hero"/>
    <s v="Mavrick 440"/>
    <n v="440"/>
    <x v="2"/>
    <x v="0"/>
    <x v="0"/>
    <n v="197"/>
    <n v="20.399999999999999"/>
    <n v="14.4"/>
    <n v="167939"/>
    <n v="31"/>
    <n v="52061"/>
    <n v="220000"/>
    <n v="253511"/>
    <n v="80"/>
    <n v="1.6"/>
    <s v="Likely to buy"/>
    <s v="Low"/>
  </r>
  <r>
    <s v="TVS"/>
    <s v="Apache RTR 160 4V"/>
    <n v="159"/>
    <x v="0"/>
    <x v="4"/>
    <x v="0"/>
    <n v="127"/>
    <n v="45.5"/>
    <n v="13.4"/>
    <n v="100000"/>
    <n v="28"/>
    <n v="28000"/>
    <n v="128000"/>
    <n v="151844"/>
    <n v="74"/>
    <n v="3.7"/>
    <s v="Might reconsider"/>
    <s v="Medium"/>
  </r>
  <r>
    <s v="Honda"/>
    <s v="SP 125"/>
    <n v="124"/>
    <x v="1"/>
    <x v="5"/>
    <x v="0"/>
    <n v="111"/>
    <n v="52.9"/>
    <n v="13.2"/>
    <n v="70312"/>
    <n v="28"/>
    <n v="19688"/>
    <n v="90000"/>
    <n v="105475"/>
    <n v="70"/>
    <n v="7.4"/>
    <s v="Will likely switch brand"/>
    <s v="High"/>
  </r>
  <r>
    <s v="Bajaj"/>
    <s v="Platina 100"/>
    <n v="102"/>
    <x v="1"/>
    <x v="4"/>
    <x v="1"/>
    <n v="87"/>
    <n v="76.400000000000006"/>
    <n v="9.6"/>
    <n v="57031"/>
    <n v="28"/>
    <n v="15969"/>
    <n v="73000"/>
    <n v="89116"/>
    <n v="56"/>
    <n v="3"/>
    <s v="Might reconsider"/>
    <s v="Medium"/>
  </r>
  <r>
    <s v="Bajaj"/>
    <s v="Pulsar 150"/>
    <n v="149"/>
    <x v="0"/>
    <x v="1"/>
    <x v="2"/>
    <n v="112"/>
    <n v="61.3"/>
    <n v="10.8"/>
    <n v="90625"/>
    <n v="28"/>
    <n v="25375"/>
    <n v="116000"/>
    <n v="136478"/>
    <n v="67"/>
    <n v="11.7"/>
    <s v="Will definitely switch"/>
    <s v="Very High"/>
  </r>
  <r>
    <s v="Suzuki"/>
    <s v="Gixxer SF"/>
    <n v="155"/>
    <x v="0"/>
    <x v="3"/>
    <x v="2"/>
    <n v="124"/>
    <n v="45"/>
    <n v="10.8"/>
    <n v="109375"/>
    <n v="28"/>
    <n v="30625"/>
    <n v="140000"/>
    <n v="161502"/>
    <n v="72"/>
    <n v="14.6"/>
    <s v="Will definitely switch"/>
    <s v="Very High"/>
  </r>
  <r>
    <s v="Honda"/>
    <s v="CD 110 Dream"/>
    <n v="109"/>
    <x v="1"/>
    <x v="4"/>
    <x v="1"/>
    <n v="96"/>
    <n v="70.099999999999994"/>
    <n v="8.6"/>
    <n v="64062"/>
    <n v="28"/>
    <n v="17938"/>
    <n v="82000"/>
    <n v="97308"/>
    <n v="64"/>
    <n v="8.3000000000000007"/>
    <s v="Will definitely switch"/>
    <s v="Very High"/>
  </r>
  <r>
    <s v="Royal Enfield"/>
    <s v="Guerrilla 450"/>
    <n v="452"/>
    <x v="2"/>
    <x v="1"/>
    <x v="0"/>
    <n v="185"/>
    <n v="20.8"/>
    <n v="17.5"/>
    <n v="222137"/>
    <n v="31"/>
    <n v="68863"/>
    <n v="291000"/>
    <n v="338138"/>
    <n v="87"/>
    <n v="13.9"/>
    <s v="Will definitely switch"/>
    <s v="Very High"/>
  </r>
  <r>
    <s v="Bajaj"/>
    <s v="Pulsar NS200"/>
    <n v="199"/>
    <x v="0"/>
    <x v="5"/>
    <x v="0"/>
    <n v="133"/>
    <n v="39.200000000000003"/>
    <n v="11"/>
    <n v="111719"/>
    <n v="28"/>
    <n v="31281"/>
    <n v="143000"/>
    <n v="165981"/>
    <n v="73"/>
    <n v="9"/>
    <s v="Will likely switch brand"/>
    <s v="High"/>
  </r>
  <r>
    <s v="Honda"/>
    <s v="CD 110 Dream"/>
    <n v="109"/>
    <x v="1"/>
    <x v="5"/>
    <x v="1"/>
    <n v="86"/>
    <n v="65.5"/>
    <n v="8.9"/>
    <n v="57031"/>
    <n v="28"/>
    <n v="15969"/>
    <n v="73000"/>
    <n v="85364"/>
    <n v="64"/>
    <n v="8.1999999999999993"/>
    <s v="Will definitely switch"/>
    <s v="Very High"/>
  </r>
  <r>
    <s v="Yamaha"/>
    <s v="FZ-X"/>
    <n v="149"/>
    <x v="0"/>
    <x v="2"/>
    <x v="0"/>
    <n v="110"/>
    <n v="53.4"/>
    <n v="10.3"/>
    <n v="104688"/>
    <n v="28"/>
    <n v="29312"/>
    <n v="134000"/>
    <n v="155161"/>
    <n v="76"/>
    <n v="4.3"/>
    <s v="Might reconsider"/>
    <s v="Medium"/>
  </r>
  <r>
    <s v="Honda"/>
    <s v="CD 110 Dream"/>
    <n v="109"/>
    <x v="1"/>
    <x v="5"/>
    <x v="1"/>
    <n v="92"/>
    <n v="74.8"/>
    <n v="8.1"/>
    <n v="58594"/>
    <n v="28"/>
    <n v="16406"/>
    <n v="75000"/>
    <n v="87895"/>
    <n v="58"/>
    <n v="2.7"/>
    <s v="Might reconsider"/>
    <s v="Medium"/>
  </r>
  <r>
    <s v="Bajaj"/>
    <s v="Pulsar N160"/>
    <n v="160"/>
    <x v="0"/>
    <x v="2"/>
    <x v="0"/>
    <n v="126"/>
    <n v="45.5"/>
    <n v="13"/>
    <n v="99219"/>
    <n v="28"/>
    <n v="27781"/>
    <n v="127000"/>
    <n v="149834"/>
    <n v="82"/>
    <n v="15"/>
    <s v="Will definitely switch"/>
    <s v="Very High"/>
  </r>
  <r>
    <s v="TVS"/>
    <s v="Jupiter 110"/>
    <n v="109"/>
    <x v="1"/>
    <x v="4"/>
    <x v="2"/>
    <n v="85"/>
    <n v="77.5"/>
    <n v="9.6999999999999993"/>
    <n v="57812"/>
    <n v="28"/>
    <n v="16188"/>
    <n v="74000"/>
    <n v="87897"/>
    <n v="68"/>
    <n v="10.199999999999999"/>
    <s v="Will definitely switch"/>
    <s v="Very High"/>
  </r>
  <r>
    <s v="Bajaj"/>
    <s v="Dominar 400"/>
    <n v="373"/>
    <x v="2"/>
    <x v="3"/>
    <x v="0"/>
    <n v="195"/>
    <n v="22.5"/>
    <n v="15.4"/>
    <n v="175573"/>
    <n v="31"/>
    <n v="54427"/>
    <n v="230000"/>
    <n v="268486"/>
    <n v="77"/>
    <n v="11.1"/>
    <s v="Will definitely switch"/>
    <s v="Very High"/>
  </r>
  <r>
    <s v="Honda"/>
    <s v="CD 110 Dream"/>
    <n v="109"/>
    <x v="1"/>
    <x v="0"/>
    <x v="1"/>
    <n v="99"/>
    <n v="68.599999999999994"/>
    <n v="8.6999999999999993"/>
    <n v="59375"/>
    <n v="28"/>
    <n v="16625"/>
    <n v="76000"/>
    <n v="90960"/>
    <n v="64"/>
    <n v="12.9"/>
    <s v="Will definitely switch"/>
    <s v="Very High"/>
  </r>
  <r>
    <s v="Honda"/>
    <s v="CB300R"/>
    <n v="293"/>
    <x v="2"/>
    <x v="2"/>
    <x v="0"/>
    <n v="150"/>
    <n v="34.6"/>
    <n v="18.3"/>
    <n v="204688"/>
    <n v="28"/>
    <n v="57312"/>
    <n v="262000"/>
    <n v="305869"/>
    <n v="75"/>
    <n v="6.9"/>
    <s v="Will likely switch brand"/>
    <s v="High"/>
  </r>
  <r>
    <s v="Suzuki"/>
    <s v="Gixxer SF"/>
    <n v="155"/>
    <x v="0"/>
    <x v="1"/>
    <x v="2"/>
    <n v="124"/>
    <n v="46.3"/>
    <n v="13.7"/>
    <n v="109375"/>
    <n v="28"/>
    <n v="30625"/>
    <n v="140000"/>
    <n v="162407"/>
    <n v="69"/>
    <n v="9"/>
    <s v="Will likely switch brand"/>
    <s v="High"/>
  </r>
  <r>
    <s v="KTM"/>
    <s v="Duke 125"/>
    <n v="124"/>
    <x v="0"/>
    <x v="3"/>
    <x v="0"/>
    <n v="120"/>
    <n v="53.5"/>
    <n v="12.6"/>
    <n v="146875"/>
    <n v="28"/>
    <n v="41125"/>
    <n v="188000"/>
    <n v="215873"/>
    <n v="71"/>
    <n v="5.6"/>
    <s v="Will likely switch brand"/>
    <s v="High"/>
  </r>
  <r>
    <s v="TVS"/>
    <s v="Apache RR 310"/>
    <n v="312"/>
    <x v="2"/>
    <x v="4"/>
    <x v="0"/>
    <n v="159"/>
    <n v="34.5"/>
    <n v="13.5"/>
    <n v="204688"/>
    <n v="28"/>
    <n v="57312"/>
    <n v="262000"/>
    <n v="296941"/>
    <n v="76"/>
    <n v="1.4"/>
    <s v="Likely to buy"/>
    <s v="Low"/>
  </r>
  <r>
    <s v="Royal Enfield"/>
    <s v="Interceptor 650"/>
    <n v="648"/>
    <x v="2"/>
    <x v="5"/>
    <x v="1"/>
    <n v="183"/>
    <n v="21.8"/>
    <n v="19"/>
    <n v="239695"/>
    <n v="31"/>
    <n v="74305"/>
    <n v="314000"/>
    <n v="357895"/>
    <n v="71"/>
    <n v="1.2"/>
    <s v="Likely to buy"/>
    <s v="Low"/>
  </r>
  <r>
    <s v="KTM"/>
    <s v="Duke 250"/>
    <n v="248"/>
    <x v="2"/>
    <x v="4"/>
    <x v="0"/>
    <n v="142"/>
    <n v="31.8"/>
    <n v="13.9"/>
    <n v="180469"/>
    <n v="28"/>
    <n v="50531"/>
    <n v="231000"/>
    <n v="269863"/>
    <n v="77"/>
    <n v="14.4"/>
    <s v="Will definitely switch"/>
    <s v="Very High"/>
  </r>
  <r>
    <s v="Bajaj"/>
    <s v="Pulsar NS200"/>
    <n v="199"/>
    <x v="0"/>
    <x v="2"/>
    <x v="0"/>
    <n v="129"/>
    <n v="43"/>
    <n v="12.7"/>
    <n v="113281"/>
    <n v="28"/>
    <n v="31719"/>
    <n v="145000"/>
    <n v="170272"/>
    <n v="76"/>
    <n v="3.8"/>
    <s v="Might reconsider"/>
    <s v="Medium"/>
  </r>
  <r>
    <s v="TVS"/>
    <s v="Apache RTR 160"/>
    <n v="159"/>
    <x v="0"/>
    <x v="1"/>
    <x v="2"/>
    <n v="127"/>
    <n v="43.1"/>
    <n v="13.5"/>
    <n v="89062"/>
    <n v="28"/>
    <n v="24938"/>
    <n v="114000"/>
    <n v="135711"/>
    <n v="67"/>
    <n v="5.6"/>
    <s v="Will likely switch brand"/>
    <s v="High"/>
  </r>
  <r>
    <s v="Yamaha"/>
    <s v="FZ-S V3"/>
    <n v="149"/>
    <x v="0"/>
    <x v="2"/>
    <x v="2"/>
    <n v="119"/>
    <n v="60"/>
    <n v="13.2"/>
    <n v="100781"/>
    <n v="28"/>
    <n v="28219"/>
    <n v="129000"/>
    <n v="148274"/>
    <n v="72"/>
    <n v="10.8"/>
    <s v="Will definitely switch"/>
    <s v="Very High"/>
  </r>
  <r>
    <s v="KTM"/>
    <s v="Duke 125"/>
    <n v="124"/>
    <x v="0"/>
    <x v="2"/>
    <x v="0"/>
    <n v="118"/>
    <n v="50.8"/>
    <n v="10.7"/>
    <n v="139062"/>
    <n v="28"/>
    <n v="38938"/>
    <n v="178000"/>
    <n v="206991"/>
    <n v="77"/>
    <n v="6.4"/>
    <s v="Will likely switch brand"/>
    <s v="High"/>
  </r>
  <r>
    <s v="Honda"/>
    <s v="SP 125"/>
    <n v="124"/>
    <x v="1"/>
    <x v="2"/>
    <x v="0"/>
    <n v="114"/>
    <n v="52"/>
    <n v="12.9"/>
    <n v="75000"/>
    <n v="28"/>
    <n v="21000"/>
    <n v="96000"/>
    <n v="113298"/>
    <n v="76"/>
    <n v="13.8"/>
    <s v="Will definitely switch"/>
    <s v="Very High"/>
  </r>
  <r>
    <s v="Bajaj"/>
    <s v="Pulsar N250"/>
    <n v="249"/>
    <x v="0"/>
    <x v="5"/>
    <x v="0"/>
    <n v="142"/>
    <n v="35.799999999999997"/>
    <n v="15.9"/>
    <n v="137500"/>
    <n v="28"/>
    <n v="38500"/>
    <n v="176000"/>
    <n v="203433"/>
    <n v="72"/>
    <n v="8.1"/>
    <s v="Will likely switch brand"/>
    <s v="High"/>
  </r>
  <r>
    <s v="Bajaj"/>
    <s v="Platina 100"/>
    <n v="102"/>
    <x v="1"/>
    <x v="3"/>
    <x v="1"/>
    <n v="99"/>
    <n v="72.3"/>
    <n v="9.6999999999999993"/>
    <n v="50781"/>
    <n v="28"/>
    <n v="14219"/>
    <n v="65000"/>
    <n v="76366"/>
    <n v="61"/>
    <n v="5.8"/>
    <s v="Will definitely switch"/>
    <s v="Very High"/>
  </r>
  <r>
    <s v="KTM"/>
    <s v="Duke 125"/>
    <n v="124"/>
    <x v="0"/>
    <x v="0"/>
    <x v="0"/>
    <n v="119"/>
    <n v="52.7"/>
    <n v="12.2"/>
    <n v="126562"/>
    <n v="28"/>
    <n v="35438"/>
    <n v="162000"/>
    <n v="186300"/>
    <n v="77"/>
    <n v="7.5"/>
    <s v="Will likely switch brand"/>
    <s v="High"/>
  </r>
  <r>
    <s v="TVS"/>
    <s v="Star City Plus"/>
    <n v="109"/>
    <x v="1"/>
    <x v="4"/>
    <x v="2"/>
    <n v="90"/>
    <n v="75.7"/>
    <n v="8.6"/>
    <n v="66406"/>
    <n v="28"/>
    <n v="18594"/>
    <n v="85000"/>
    <n v="99782"/>
    <n v="61"/>
    <n v="9.5"/>
    <s v="Will definitely switch"/>
    <s v="Very High"/>
  </r>
  <r>
    <s v="Suzuki"/>
    <s v="Gixxer SF"/>
    <n v="155"/>
    <x v="0"/>
    <x v="4"/>
    <x v="2"/>
    <n v="124"/>
    <n v="43.8"/>
    <n v="12.9"/>
    <n v="117969"/>
    <n v="28"/>
    <n v="33031"/>
    <n v="151000"/>
    <n v="172700"/>
    <n v="65"/>
    <n v="6"/>
    <s v="Will definitely switch"/>
    <s v="Very High"/>
  </r>
  <r>
    <s v="Suzuki"/>
    <s v="Gixxer SF"/>
    <n v="155"/>
    <x v="0"/>
    <x v="3"/>
    <x v="2"/>
    <n v="123"/>
    <n v="43.4"/>
    <n v="10.199999999999999"/>
    <n v="107812"/>
    <n v="28"/>
    <n v="30188"/>
    <n v="138000"/>
    <n v="163476"/>
    <n v="64"/>
    <n v="10.7"/>
    <s v="Will definitely switch"/>
    <s v="Very High"/>
  </r>
  <r>
    <s v="Hero"/>
    <s v="Splendor Plus"/>
    <n v="97"/>
    <x v="1"/>
    <x v="3"/>
    <x v="1"/>
    <n v="92"/>
    <n v="67.900000000000006"/>
    <n v="8.1"/>
    <n v="53906"/>
    <n v="28"/>
    <n v="15094"/>
    <n v="69000"/>
    <n v="80932"/>
    <n v="59"/>
    <n v="2.2999999999999998"/>
    <s v="Might reconsider"/>
    <s v="Medium"/>
  </r>
  <r>
    <s v="Hero"/>
    <s v="HF Deluxe"/>
    <n v="97"/>
    <x v="1"/>
    <x v="4"/>
    <x v="1"/>
    <n v="88"/>
    <n v="77.7"/>
    <n v="8.1"/>
    <n v="53125"/>
    <n v="28"/>
    <n v="14875"/>
    <n v="68000"/>
    <n v="79815"/>
    <n v="66"/>
    <n v="3.4"/>
    <s v="Might reconsider"/>
    <s v="Medium"/>
  </r>
  <r>
    <s v="Yamaha"/>
    <s v="MT-03"/>
    <n v="321"/>
    <x v="2"/>
    <x v="0"/>
    <x v="0"/>
    <n v="157"/>
    <n v="33"/>
    <n v="14.6"/>
    <n v="336719"/>
    <n v="28"/>
    <n v="94281"/>
    <n v="431000"/>
    <n v="491671"/>
    <n v="76"/>
    <n v="14.1"/>
    <s v="Will definitely switch"/>
    <s v="Very High"/>
  </r>
  <r>
    <s v="Honda"/>
    <s v="Unicorn"/>
    <n v="160"/>
    <x v="0"/>
    <x v="2"/>
    <x v="2"/>
    <n v="126"/>
    <n v="37.1"/>
    <n v="13.3"/>
    <n v="87500"/>
    <n v="28"/>
    <n v="24500"/>
    <n v="112000"/>
    <n v="129294"/>
    <n v="69"/>
    <n v="4.0999999999999996"/>
    <s v="Might reconsider"/>
    <s v="Medium"/>
  </r>
  <r>
    <s v="Royal Enfield"/>
    <s v="Guerrilla 450"/>
    <n v="452"/>
    <x v="2"/>
    <x v="1"/>
    <x v="0"/>
    <n v="166"/>
    <n v="22"/>
    <n v="14.2"/>
    <n v="205344"/>
    <n v="31"/>
    <n v="63656"/>
    <n v="269000"/>
    <n v="314781"/>
    <n v="85"/>
    <n v="12.1"/>
    <s v="Will definitely switch"/>
    <s v="Very High"/>
  </r>
  <r>
    <s v="Honda"/>
    <s v="SP 125"/>
    <n v="124"/>
    <x v="1"/>
    <x v="2"/>
    <x v="0"/>
    <n v="109"/>
    <n v="60.6"/>
    <n v="11.3"/>
    <n v="78125"/>
    <n v="28"/>
    <n v="21875"/>
    <n v="100000"/>
    <n v="121094"/>
    <n v="76"/>
    <n v="3.5"/>
    <s v="Might reconsider"/>
    <s v="Medium"/>
  </r>
  <r>
    <s v="Yamaha"/>
    <s v="MT-15 V2"/>
    <n v="155"/>
    <x v="0"/>
    <x v="2"/>
    <x v="0"/>
    <n v="140"/>
    <n v="40.799999999999997"/>
    <n v="14"/>
    <n v="123438"/>
    <n v="28"/>
    <n v="34562"/>
    <n v="158000"/>
    <n v="182212"/>
    <n v="70"/>
    <n v="8"/>
    <s v="Will likely switch brand"/>
    <s v="High"/>
  </r>
  <r>
    <s v="Bajaj"/>
    <s v="Dominar 400"/>
    <n v="373"/>
    <x v="2"/>
    <x v="0"/>
    <x v="0"/>
    <n v="208"/>
    <n v="23.3"/>
    <n v="14"/>
    <n v="169466"/>
    <n v="31"/>
    <n v="52534"/>
    <n v="222000"/>
    <n v="256678"/>
    <n v="73"/>
    <n v="9.6999999999999993"/>
    <s v="Will likely switch brand"/>
    <s v="High"/>
  </r>
  <r>
    <s v="Yamaha"/>
    <s v="R15M"/>
    <n v="155"/>
    <x v="0"/>
    <x v="5"/>
    <x v="0"/>
    <n v="139"/>
    <n v="39.4"/>
    <n v="10.5"/>
    <n v="150781"/>
    <n v="28"/>
    <n v="42219"/>
    <n v="193000"/>
    <n v="218345"/>
    <n v="74"/>
    <n v="11.3"/>
    <s v="Will definitely switch"/>
    <s v="Very High"/>
  </r>
  <r>
    <s v="Royal Enfield"/>
    <s v="Meteor 350"/>
    <n v="349"/>
    <x v="2"/>
    <x v="2"/>
    <x v="2"/>
    <n v="149"/>
    <n v="33.1"/>
    <n v="15.3"/>
    <n v="167969"/>
    <n v="28"/>
    <n v="47031"/>
    <n v="215000"/>
    <n v="251129"/>
    <n v="66"/>
    <n v="4.2"/>
    <s v="Might reconsider"/>
    <s v="Medium"/>
  </r>
  <r>
    <s v="TVS"/>
    <s v="Star City Plus"/>
    <n v="109"/>
    <x v="1"/>
    <x v="1"/>
    <x v="2"/>
    <n v="92"/>
    <n v="75.099999999999994"/>
    <n v="8.6"/>
    <n v="60938"/>
    <n v="28"/>
    <n v="17062"/>
    <n v="78000"/>
    <n v="91197"/>
    <n v="70"/>
    <n v="13.2"/>
    <s v="Will definitely switch"/>
    <s v="Very High"/>
  </r>
  <r>
    <s v="KTM"/>
    <s v="Adventure 390"/>
    <n v="373"/>
    <x v="2"/>
    <x v="4"/>
    <x v="0"/>
    <n v="169"/>
    <n v="19.600000000000001"/>
    <n v="17.100000000000001"/>
    <n v="280153"/>
    <n v="31"/>
    <n v="86847"/>
    <n v="367000"/>
    <n v="414715"/>
    <n v="74"/>
    <n v="2.8"/>
    <s v="Might reconsider"/>
    <s v="Medium"/>
  </r>
  <r>
    <s v="Bajaj"/>
    <s v="Pulsar NS200"/>
    <n v="199"/>
    <x v="0"/>
    <x v="1"/>
    <x v="0"/>
    <n v="126"/>
    <n v="38.6"/>
    <n v="11"/>
    <n v="112500"/>
    <n v="28"/>
    <n v="31500"/>
    <n v="144000"/>
    <n v="165653"/>
    <n v="70"/>
    <n v="6.9"/>
    <s v="Will likely switch brand"/>
    <s v="High"/>
  </r>
  <r>
    <s v="TVS"/>
    <s v="Apache RTR 160 4V"/>
    <n v="159"/>
    <x v="0"/>
    <x v="3"/>
    <x v="0"/>
    <n v="131"/>
    <n v="37.799999999999997"/>
    <n v="11.8"/>
    <n v="107031"/>
    <n v="28"/>
    <n v="29969"/>
    <n v="137000"/>
    <n v="161895"/>
    <n v="72"/>
    <n v="6.3"/>
    <s v="Will likely switch brand"/>
    <s v="High"/>
  </r>
  <r>
    <s v="Yamaha"/>
    <s v="R3"/>
    <n v="321"/>
    <x v="2"/>
    <x v="5"/>
    <x v="0"/>
    <n v="152"/>
    <n v="28.3"/>
    <n v="17.2"/>
    <n v="357812"/>
    <n v="28"/>
    <n v="100188"/>
    <n v="458000"/>
    <n v="521722"/>
    <n v="76"/>
    <n v="13"/>
    <s v="Will definitely switch"/>
    <s v="Very High"/>
  </r>
  <r>
    <s v="Honda"/>
    <s v="CB500X"/>
    <n v="471"/>
    <x v="2"/>
    <x v="0"/>
    <x v="0"/>
    <n v="184"/>
    <n v="21.8"/>
    <n v="15.3"/>
    <n v="446565"/>
    <n v="31"/>
    <n v="138435"/>
    <n v="585000"/>
    <n v="661165"/>
    <n v="84"/>
    <n v="9.5"/>
    <s v="Will likely switch brand"/>
    <s v="High"/>
  </r>
  <r>
    <s v="Yamaha"/>
    <s v="FZS 25"/>
    <n v="249"/>
    <x v="0"/>
    <x v="3"/>
    <x v="0"/>
    <n v="151"/>
    <n v="33.799999999999997"/>
    <n v="19.600000000000001"/>
    <n v="122656"/>
    <n v="28"/>
    <n v="34344"/>
    <n v="157000"/>
    <n v="184086"/>
    <n v="72"/>
    <n v="6.7"/>
    <s v="Will likely switch brand"/>
    <s v="High"/>
  </r>
  <r>
    <s v="Royal Enfield"/>
    <s v="Guerrilla 450"/>
    <n v="452"/>
    <x v="2"/>
    <x v="1"/>
    <x v="0"/>
    <n v="162"/>
    <n v="21.5"/>
    <n v="14.1"/>
    <n v="217557"/>
    <n v="31"/>
    <n v="67443"/>
    <n v="285000"/>
    <n v="327779"/>
    <n v="78"/>
    <n v="6.4"/>
    <s v="Will likely switch brand"/>
    <s v="High"/>
  </r>
  <r>
    <s v="KTM"/>
    <s v="RC 390"/>
    <n v="373"/>
    <x v="2"/>
    <x v="2"/>
    <x v="0"/>
    <n v="191"/>
    <n v="22.1"/>
    <n v="13.4"/>
    <n v="274809"/>
    <n v="31"/>
    <n v="85191"/>
    <n v="360000"/>
    <n v="419545"/>
    <n v="81"/>
    <n v="10.6"/>
    <s v="Will definitely switch"/>
    <s v="Very High"/>
  </r>
  <r>
    <s v="Royal Enfield"/>
    <s v="Interceptor 650"/>
    <n v="648"/>
    <x v="2"/>
    <x v="0"/>
    <x v="1"/>
    <n v="183"/>
    <n v="24.2"/>
    <n v="17.899999999999999"/>
    <n v="264885"/>
    <n v="31"/>
    <n v="82115"/>
    <n v="347000"/>
    <n v="399204"/>
    <n v="73"/>
    <n v="10.9"/>
    <s v="Will definitely switch"/>
    <s v="Very High"/>
  </r>
  <r>
    <s v="Honda"/>
    <s v="CB350RS"/>
    <n v="348"/>
    <x v="2"/>
    <x v="0"/>
    <x v="0"/>
    <n v="158"/>
    <n v="30.1"/>
    <n v="13.8"/>
    <n v="165625"/>
    <n v="28"/>
    <n v="46375"/>
    <n v="212000"/>
    <n v="245111"/>
    <n v="82"/>
    <n v="12.8"/>
    <s v="Will definitely switch"/>
    <s v="Very High"/>
  </r>
  <r>
    <s v="Honda"/>
    <s v="Shine"/>
    <n v="124"/>
    <x v="1"/>
    <x v="3"/>
    <x v="2"/>
    <n v="107"/>
    <n v="61.3"/>
    <n v="10.7"/>
    <n v="71875"/>
    <n v="28"/>
    <n v="20125"/>
    <n v="92000"/>
    <n v="110626"/>
    <n v="72"/>
    <n v="13.7"/>
    <s v="Will definitely switch"/>
    <s v="Very High"/>
  </r>
  <r>
    <s v="KTM"/>
    <s v="RC 200"/>
    <n v="199"/>
    <x v="0"/>
    <x v="2"/>
    <x v="0"/>
    <n v="138"/>
    <n v="45.9"/>
    <n v="13.5"/>
    <n v="160938"/>
    <n v="28"/>
    <n v="45062"/>
    <n v="206000"/>
    <n v="239834"/>
    <n v="78"/>
    <n v="11.3"/>
    <s v="Will definitely switch"/>
    <s v="Very High"/>
  </r>
  <r>
    <s v="Honda"/>
    <s v="Unicorn"/>
    <n v="160"/>
    <x v="0"/>
    <x v="0"/>
    <x v="2"/>
    <n v="126"/>
    <n v="39.700000000000003"/>
    <n v="13.9"/>
    <n v="92188"/>
    <n v="28"/>
    <n v="25812"/>
    <n v="118000"/>
    <n v="138043"/>
    <n v="68"/>
    <n v="10.8"/>
    <s v="Will definitely switch"/>
    <s v="Very High"/>
  </r>
  <r>
    <s v="Yamaha"/>
    <s v="R15 V4"/>
    <n v="155"/>
    <x v="0"/>
    <x v="5"/>
    <x v="0"/>
    <n v="129"/>
    <n v="41.2"/>
    <n v="10.7"/>
    <n v="129688"/>
    <n v="28"/>
    <n v="36312"/>
    <n v="166000"/>
    <n v="191186"/>
    <n v="73"/>
    <n v="3.4"/>
    <s v="Might reconsider"/>
    <s v="Medium"/>
  </r>
  <r>
    <s v="Honda"/>
    <s v="CB350 H'ness"/>
    <n v="348"/>
    <x v="2"/>
    <x v="2"/>
    <x v="0"/>
    <n v="146"/>
    <n v="32.5"/>
    <n v="14.3"/>
    <n v="156250"/>
    <n v="28"/>
    <n v="43750"/>
    <n v="200000"/>
    <n v="231095"/>
    <n v="74"/>
    <n v="3.8"/>
    <s v="Might reconsider"/>
    <s v="Medium"/>
  </r>
  <r>
    <s v="Bajaj"/>
    <s v="Pulsar 150"/>
    <n v="149"/>
    <x v="0"/>
    <x v="5"/>
    <x v="2"/>
    <n v="108"/>
    <n v="60.5"/>
    <n v="10.3"/>
    <n v="86719"/>
    <n v="28"/>
    <n v="24281"/>
    <n v="111000"/>
    <n v="132691"/>
    <n v="77"/>
    <n v="3.3"/>
    <s v="Might reconsider"/>
    <s v="Medium"/>
  </r>
  <r>
    <s v="Honda"/>
    <s v="CB200X"/>
    <n v="184"/>
    <x v="0"/>
    <x v="0"/>
    <x v="0"/>
    <n v="123"/>
    <n v="41.9"/>
    <n v="12.7"/>
    <n v="113281"/>
    <n v="28"/>
    <n v="31719"/>
    <n v="145000"/>
    <n v="168590"/>
    <n v="69"/>
    <n v="1.9"/>
    <s v="Likely to buy"/>
    <s v="Low"/>
  </r>
  <r>
    <s v="Hero"/>
    <s v="Xtreme 125R"/>
    <n v="125"/>
    <x v="1"/>
    <x v="5"/>
    <x v="0"/>
    <n v="113"/>
    <n v="55.3"/>
    <n v="12.4"/>
    <n v="76562"/>
    <n v="28"/>
    <n v="21438"/>
    <n v="98000"/>
    <n v="115311"/>
    <n v="72"/>
    <n v="7.6"/>
    <s v="Will likely switch brand"/>
    <s v="High"/>
  </r>
  <r>
    <s v="Royal Enfield"/>
    <s v="Hunter 350"/>
    <n v="349"/>
    <x v="2"/>
    <x v="0"/>
    <x v="2"/>
    <n v="161"/>
    <n v="35.4"/>
    <n v="19.8"/>
    <n v="126562"/>
    <n v="28"/>
    <n v="35438"/>
    <n v="162000"/>
    <n v="191807"/>
    <n v="78"/>
    <n v="6.3"/>
    <s v="Will likely switch brand"/>
    <s v="High"/>
  </r>
  <r>
    <s v="Royal Enfield"/>
    <s v="Bullet 350"/>
    <n v="346"/>
    <x v="2"/>
    <x v="1"/>
    <x v="1"/>
    <n v="144"/>
    <n v="33.700000000000003"/>
    <n v="15"/>
    <n v="143750"/>
    <n v="28"/>
    <n v="40250"/>
    <n v="184000"/>
    <n v="211111"/>
    <n v="59"/>
    <n v="9.4"/>
    <s v="Will definitely switch"/>
    <s v="Very High"/>
  </r>
  <r>
    <s v="TVS"/>
    <s v="Star City Plus"/>
    <n v="109"/>
    <x v="1"/>
    <x v="5"/>
    <x v="2"/>
    <n v="91"/>
    <n v="70.3"/>
    <n v="8"/>
    <n v="62500"/>
    <n v="28"/>
    <n v="17500"/>
    <n v="80000"/>
    <n v="95779"/>
    <n v="61"/>
    <n v="14.8"/>
    <s v="Will definitely switch"/>
    <s v="Very High"/>
  </r>
  <r>
    <s v="Royal Enfield"/>
    <s v="Scram 411"/>
    <n v="411"/>
    <x v="2"/>
    <x v="1"/>
    <x v="2"/>
    <n v="198"/>
    <n v="21.7"/>
    <n v="18.600000000000001"/>
    <n v="174046"/>
    <n v="31"/>
    <n v="53954"/>
    <n v="228000"/>
    <n v="270054"/>
    <n v="77"/>
    <n v="6.6"/>
    <s v="Will likely switch brand"/>
    <s v="High"/>
  </r>
  <r>
    <s v="Royal Enfield"/>
    <s v="Thunderbird 350X"/>
    <n v="346"/>
    <x v="2"/>
    <x v="4"/>
    <x v="2"/>
    <n v="143"/>
    <n v="34.700000000000003"/>
    <n v="18"/>
    <n v="142969"/>
    <n v="28"/>
    <n v="40031"/>
    <n v="183000"/>
    <n v="218051"/>
    <n v="72"/>
    <n v="5.0999999999999996"/>
    <s v="Will likely switch brand"/>
    <s v="High"/>
  </r>
  <r>
    <s v="Suzuki"/>
    <s v="Access 125"/>
    <n v="124"/>
    <x v="1"/>
    <x v="1"/>
    <x v="2"/>
    <n v="107"/>
    <n v="50.1"/>
    <n v="13.9"/>
    <n v="74219"/>
    <n v="28"/>
    <n v="20781"/>
    <n v="95000"/>
    <n v="111924"/>
    <n v="59"/>
    <n v="12.7"/>
    <s v="Will definitely switch"/>
    <s v="Very High"/>
  </r>
  <r>
    <s v="Yamaha"/>
    <s v="FZ-X"/>
    <n v="149"/>
    <x v="0"/>
    <x v="2"/>
    <x v="0"/>
    <n v="112"/>
    <n v="55.5"/>
    <n v="12.8"/>
    <n v="100000"/>
    <n v="28"/>
    <n v="28000"/>
    <n v="128000"/>
    <n v="149375"/>
    <n v="72"/>
    <n v="3.4"/>
    <s v="Might reconsider"/>
    <s v="Medium"/>
  </r>
  <r>
    <s v="Honda"/>
    <s v="Unicorn"/>
    <n v="160"/>
    <x v="0"/>
    <x v="2"/>
    <x v="2"/>
    <n v="128"/>
    <n v="46.1"/>
    <n v="11.9"/>
    <n v="89062"/>
    <n v="28"/>
    <n v="24938"/>
    <n v="114000"/>
    <n v="133506"/>
    <n v="71"/>
    <n v="11.1"/>
    <s v="Will definitely switch"/>
    <s v="Very High"/>
  </r>
  <r>
    <s v="Honda"/>
    <s v="CB200X"/>
    <n v="184"/>
    <x v="0"/>
    <x v="1"/>
    <x v="0"/>
    <n v="130"/>
    <n v="37.9"/>
    <n v="10.3"/>
    <n v="120312"/>
    <n v="28"/>
    <n v="33688"/>
    <n v="154000"/>
    <n v="182590"/>
    <n v="72"/>
    <n v="14"/>
    <s v="Will definitely switch"/>
    <s v="Very High"/>
  </r>
  <r>
    <s v="Royal Enfield"/>
    <s v="Hunter 350"/>
    <n v="349"/>
    <x v="2"/>
    <x v="3"/>
    <x v="2"/>
    <n v="165"/>
    <n v="33.200000000000003"/>
    <n v="18.7"/>
    <n v="126562"/>
    <n v="28"/>
    <n v="35438"/>
    <n v="162000"/>
    <n v="190417"/>
    <n v="74"/>
    <n v="14.5"/>
    <s v="Will definitely switch"/>
    <s v="Very High"/>
  </r>
  <r>
    <s v="Bajaj"/>
    <s v="Pulsar RS200"/>
    <n v="199"/>
    <x v="0"/>
    <x v="4"/>
    <x v="0"/>
    <n v="126"/>
    <n v="44.4"/>
    <n v="13.4"/>
    <n v="131250"/>
    <n v="28"/>
    <n v="36750"/>
    <n v="168000"/>
    <n v="192203"/>
    <n v="68"/>
    <n v="9"/>
    <s v="Will likely switch brand"/>
    <s v="High"/>
  </r>
  <r>
    <s v="Royal Enfield"/>
    <s v="Continental GT 650"/>
    <n v="648"/>
    <x v="2"/>
    <x v="5"/>
    <x v="1"/>
    <n v="184"/>
    <n v="20.399999999999999"/>
    <n v="18.600000000000001"/>
    <n v="262595"/>
    <n v="31"/>
    <n v="81405"/>
    <n v="344000"/>
    <n v="386482"/>
    <n v="69"/>
    <n v="5.5"/>
    <s v="Will likely switch brand"/>
    <s v="High"/>
  </r>
  <r>
    <s v="Honda"/>
    <s v="CB300R"/>
    <n v="293"/>
    <x v="2"/>
    <x v="5"/>
    <x v="0"/>
    <n v="154"/>
    <n v="28.2"/>
    <n v="18.899999999999999"/>
    <n v="211719"/>
    <n v="28"/>
    <n v="59281"/>
    <n v="271000"/>
    <n v="312155"/>
    <n v="77"/>
    <n v="3"/>
    <s v="Might reconsider"/>
    <s v="Medium"/>
  </r>
  <r>
    <s v="Yamaha"/>
    <s v="R15M"/>
    <n v="155"/>
    <x v="0"/>
    <x v="1"/>
    <x v="0"/>
    <n v="121"/>
    <n v="45.5"/>
    <n v="14"/>
    <n v="160938"/>
    <n v="28"/>
    <n v="45062"/>
    <n v="206000"/>
    <n v="235767"/>
    <n v="82"/>
    <n v="5.5"/>
    <s v="Will likely switch brand"/>
    <s v="High"/>
  </r>
  <r>
    <s v="Honda"/>
    <s v="CB200X"/>
    <n v="184"/>
    <x v="0"/>
    <x v="3"/>
    <x v="0"/>
    <n v="135"/>
    <n v="45.3"/>
    <n v="10.199999999999999"/>
    <n v="113281"/>
    <n v="28"/>
    <n v="31719"/>
    <n v="145000"/>
    <n v="172115"/>
    <n v="79"/>
    <n v="10.9"/>
    <s v="Will definitely switch"/>
    <s v="Very High"/>
  </r>
  <r>
    <s v="Royal Enfield"/>
    <s v="Bullet 350"/>
    <n v="346"/>
    <x v="2"/>
    <x v="2"/>
    <x v="1"/>
    <n v="141"/>
    <n v="33.5"/>
    <n v="15.7"/>
    <n v="128906"/>
    <n v="28"/>
    <n v="36094"/>
    <n v="165000"/>
    <n v="193600"/>
    <n v="61"/>
    <n v="13"/>
    <s v="Will definitely switch"/>
    <s v="Very High"/>
  </r>
  <r>
    <s v="Bajaj"/>
    <s v="CT100"/>
    <n v="102"/>
    <x v="1"/>
    <x v="1"/>
    <x v="1"/>
    <n v="96"/>
    <n v="69.599999999999994"/>
    <n v="9.5"/>
    <n v="50781"/>
    <n v="28"/>
    <n v="14219"/>
    <n v="65000"/>
    <n v="78789"/>
    <n v="61"/>
    <n v="6.5"/>
    <s v="Will definitely switch"/>
    <s v="Very High"/>
  </r>
  <r>
    <s v="TVS"/>
    <s v="Apache RTR 160 4V"/>
    <n v="159"/>
    <x v="0"/>
    <x v="0"/>
    <x v="0"/>
    <n v="130"/>
    <n v="37.9"/>
    <n v="13.4"/>
    <n v="108594"/>
    <n v="28"/>
    <n v="30406"/>
    <n v="139000"/>
    <n v="161367"/>
    <n v="75"/>
    <n v="13.1"/>
    <s v="Will definitely switch"/>
    <s v="Very High"/>
  </r>
  <r>
    <s v="TVS"/>
    <s v="Apache RR 310"/>
    <n v="312"/>
    <x v="2"/>
    <x v="2"/>
    <x v="0"/>
    <n v="144"/>
    <n v="31.9"/>
    <n v="14.4"/>
    <n v="217188"/>
    <n v="28"/>
    <n v="60812"/>
    <n v="278000"/>
    <n v="316015"/>
    <n v="72"/>
    <n v="4.0999999999999996"/>
    <s v="Might reconsider"/>
    <s v="Medium"/>
  </r>
  <r>
    <s v="Hero"/>
    <s v="HF Deluxe"/>
    <n v="97"/>
    <x v="1"/>
    <x v="0"/>
    <x v="1"/>
    <n v="98"/>
    <n v="67.900000000000006"/>
    <n v="8.1999999999999993"/>
    <n v="53125"/>
    <n v="28"/>
    <n v="14875"/>
    <n v="68000"/>
    <n v="80551"/>
    <n v="66"/>
    <n v="12.8"/>
    <s v="Will definitely switch"/>
    <s v="Very High"/>
  </r>
  <r>
    <s v="Yamaha"/>
    <s v="FZS 25"/>
    <n v="249"/>
    <x v="0"/>
    <x v="3"/>
    <x v="0"/>
    <n v="153"/>
    <n v="30.8"/>
    <n v="14.7"/>
    <n v="122656"/>
    <n v="28"/>
    <n v="34344"/>
    <n v="157000"/>
    <n v="182340"/>
    <n v="67"/>
    <n v="9.8000000000000007"/>
    <s v="Will likely switch brand"/>
    <s v="High"/>
  </r>
  <r>
    <s v="Honda"/>
    <s v="CB200X"/>
    <n v="184"/>
    <x v="0"/>
    <x v="3"/>
    <x v="0"/>
    <n v="132"/>
    <n v="43.5"/>
    <n v="13.5"/>
    <n v="112500"/>
    <n v="28"/>
    <n v="31500"/>
    <n v="144000"/>
    <n v="167342"/>
    <n v="79"/>
    <n v="10.199999999999999"/>
    <s v="Will definitely switch"/>
    <s v="Very High"/>
  </r>
  <r>
    <s v="Royal Enfield"/>
    <s v="Continental GT 650"/>
    <n v="648"/>
    <x v="2"/>
    <x v="1"/>
    <x v="1"/>
    <n v="167"/>
    <n v="20"/>
    <n v="14.6"/>
    <n v="250382"/>
    <n v="31"/>
    <n v="77618"/>
    <n v="328000"/>
    <n v="377551"/>
    <n v="70"/>
    <n v="10"/>
    <s v="Will likely switch brand"/>
    <s v="High"/>
  </r>
  <r>
    <s v="Yamaha"/>
    <s v="MT-15 V2"/>
    <n v="155"/>
    <x v="0"/>
    <x v="4"/>
    <x v="0"/>
    <n v="140"/>
    <n v="40.799999999999997"/>
    <n v="10.4"/>
    <n v="128125"/>
    <n v="28"/>
    <n v="35875"/>
    <n v="164000"/>
    <n v="192276"/>
    <n v="73"/>
    <n v="5.2"/>
    <s v="Will likely switch brand"/>
    <s v="High"/>
  </r>
  <r>
    <s v="Hero"/>
    <s v="Xpulse 200 4V"/>
    <n v="199"/>
    <x v="0"/>
    <x v="1"/>
    <x v="0"/>
    <n v="120"/>
    <n v="45.2"/>
    <n v="13.1"/>
    <n v="125000"/>
    <n v="28"/>
    <n v="35000"/>
    <n v="160000"/>
    <n v="188498"/>
    <n v="80"/>
    <n v="8.8000000000000007"/>
    <s v="Will likely switch brand"/>
    <s v="High"/>
  </r>
  <r>
    <s v="Suzuki"/>
    <s v="Gixxer"/>
    <n v="155"/>
    <x v="0"/>
    <x v="4"/>
    <x v="2"/>
    <n v="140"/>
    <n v="45.2"/>
    <n v="13.9"/>
    <n v="105469"/>
    <n v="28"/>
    <n v="29531"/>
    <n v="135000"/>
    <n v="159154"/>
    <n v="65"/>
    <n v="11.5"/>
    <s v="Will definitely switch"/>
    <s v="Very High"/>
  </r>
  <r>
    <s v="Honda"/>
    <s v="CB200X"/>
    <n v="184"/>
    <x v="0"/>
    <x v="1"/>
    <x v="0"/>
    <n v="130"/>
    <n v="41.5"/>
    <n v="10.8"/>
    <n v="110938"/>
    <n v="28"/>
    <n v="31062"/>
    <n v="142000"/>
    <n v="165806"/>
    <n v="70"/>
    <n v="1.5"/>
    <s v="Likely to buy"/>
    <s v="Low"/>
  </r>
  <r>
    <s v="Bajaj"/>
    <s v="CT100"/>
    <n v="102"/>
    <x v="1"/>
    <x v="4"/>
    <x v="1"/>
    <n v="94"/>
    <n v="78.099999999999994"/>
    <n v="8.8000000000000007"/>
    <n v="43750"/>
    <n v="28"/>
    <n v="12250"/>
    <n v="56000"/>
    <n v="65925"/>
    <n v="60"/>
    <n v="14.5"/>
    <s v="Will definitely switch"/>
    <s v="Very High"/>
  </r>
  <r>
    <s v="Hero"/>
    <s v="Splendor Plus"/>
    <n v="97"/>
    <x v="1"/>
    <x v="2"/>
    <x v="1"/>
    <n v="99"/>
    <n v="72.7"/>
    <n v="8.6"/>
    <n v="55469"/>
    <n v="28"/>
    <n v="15531"/>
    <n v="71000"/>
    <n v="83485"/>
    <n v="58"/>
    <n v="9.1"/>
    <s v="Will definitely switch"/>
    <s v="Very High"/>
  </r>
  <r>
    <s v="Royal Enfield"/>
    <s v="Himalayan 450"/>
    <n v="452"/>
    <x v="2"/>
    <x v="5"/>
    <x v="0"/>
    <n v="175"/>
    <n v="23.7"/>
    <n v="19"/>
    <n v="221374"/>
    <n v="31"/>
    <n v="68626"/>
    <n v="290000"/>
    <n v="336527"/>
    <n v="77"/>
    <n v="3.6"/>
    <s v="Might reconsider"/>
    <s v="Medium"/>
  </r>
  <r>
    <s v="Bajaj"/>
    <s v="Pulsar N250"/>
    <n v="249"/>
    <x v="0"/>
    <x v="1"/>
    <x v="0"/>
    <n v="163"/>
    <n v="30.3"/>
    <n v="14.8"/>
    <n v="138281"/>
    <n v="28"/>
    <n v="38719"/>
    <n v="177000"/>
    <n v="204968"/>
    <n v="74"/>
    <n v="6.9"/>
    <s v="Will likely switch brand"/>
    <s v="High"/>
  </r>
  <r>
    <s v="Royal Enfield"/>
    <s v="Continental GT 650"/>
    <n v="648"/>
    <x v="2"/>
    <x v="0"/>
    <x v="1"/>
    <n v="204"/>
    <n v="22.9"/>
    <n v="17.399999999999999"/>
    <n v="265649"/>
    <n v="31"/>
    <n v="82351"/>
    <n v="348000"/>
    <n v="394769"/>
    <n v="65"/>
    <n v="8.5"/>
    <s v="Will definitely switch"/>
    <s v="Very High"/>
  </r>
  <r>
    <s v="TVS"/>
    <s v="Raider 125"/>
    <n v="124"/>
    <x v="1"/>
    <x v="5"/>
    <x v="0"/>
    <n v="110"/>
    <n v="55.8"/>
    <n v="14"/>
    <n v="80469"/>
    <n v="28"/>
    <n v="22531"/>
    <n v="103000"/>
    <n v="121122"/>
    <n v="69"/>
    <n v="12.5"/>
    <s v="Will definitely switch"/>
    <s v="Very High"/>
  </r>
  <r>
    <s v="KTM"/>
    <s v="RC 390"/>
    <n v="373"/>
    <x v="2"/>
    <x v="0"/>
    <x v="0"/>
    <n v="167"/>
    <n v="20"/>
    <n v="15.3"/>
    <n v="251145"/>
    <n v="31"/>
    <n v="77855"/>
    <n v="329000"/>
    <n v="382611"/>
    <n v="81"/>
    <n v="8.6999999999999993"/>
    <s v="Will likely switch brand"/>
    <s v="High"/>
  </r>
  <r>
    <s v="Honda"/>
    <s v="Shine"/>
    <n v="124"/>
    <x v="1"/>
    <x v="4"/>
    <x v="2"/>
    <n v="108"/>
    <n v="52"/>
    <n v="11.5"/>
    <n v="68750"/>
    <n v="28"/>
    <n v="19250"/>
    <n v="88000"/>
    <n v="102259"/>
    <n v="65"/>
    <n v="14.7"/>
    <s v="Will definitely switch"/>
    <s v="Very High"/>
  </r>
  <r>
    <s v="Honda"/>
    <s v="Unicorn"/>
    <n v="160"/>
    <x v="0"/>
    <x v="2"/>
    <x v="2"/>
    <n v="135"/>
    <n v="42.9"/>
    <n v="12.3"/>
    <n v="93750"/>
    <n v="28"/>
    <n v="26250"/>
    <n v="120000"/>
    <n v="138311"/>
    <n v="63"/>
    <n v="8.4"/>
    <s v="Will definitely switch"/>
    <s v="Very High"/>
  </r>
  <r>
    <s v="TVS"/>
    <s v="Apache RTR 160 4V"/>
    <n v="159"/>
    <x v="0"/>
    <x v="2"/>
    <x v="0"/>
    <n v="132"/>
    <n v="40.200000000000003"/>
    <n v="12.7"/>
    <n v="106250"/>
    <n v="28"/>
    <n v="29750"/>
    <n v="136000"/>
    <n v="159402"/>
    <n v="68"/>
    <n v="5.8"/>
    <s v="Will likely switch brand"/>
    <s v="High"/>
  </r>
  <r>
    <s v="Suzuki"/>
    <s v="Gixxer SF"/>
    <n v="155"/>
    <x v="0"/>
    <x v="4"/>
    <x v="2"/>
    <n v="120"/>
    <n v="38.200000000000003"/>
    <n v="12.6"/>
    <n v="114062"/>
    <n v="28"/>
    <n v="31938"/>
    <n v="146000"/>
    <n v="172813"/>
    <n v="68"/>
    <n v="8.1999999999999993"/>
    <s v="Will likely switch brand"/>
    <s v="High"/>
  </r>
  <r>
    <s v="Honda"/>
    <s v="CB350RS"/>
    <n v="348"/>
    <x v="2"/>
    <x v="3"/>
    <x v="0"/>
    <n v="151"/>
    <n v="33.1"/>
    <n v="17.899999999999999"/>
    <n v="168750"/>
    <n v="28"/>
    <n v="47250"/>
    <n v="216000"/>
    <n v="251313"/>
    <n v="75"/>
    <n v="10.5"/>
    <s v="Will definitely switch"/>
    <s v="Very High"/>
  </r>
  <r>
    <s v="Bajaj"/>
    <s v="Pulsar 125"/>
    <n v="124"/>
    <x v="1"/>
    <x v="4"/>
    <x v="2"/>
    <n v="118"/>
    <n v="52"/>
    <n v="11.2"/>
    <n v="73438"/>
    <n v="28"/>
    <n v="20562"/>
    <n v="94000"/>
    <n v="109726"/>
    <n v="65"/>
    <n v="14.2"/>
    <s v="Will definitely switch"/>
    <s v="Very High"/>
  </r>
  <r>
    <s v="Honda"/>
    <s v="Shine"/>
    <n v="124"/>
    <x v="1"/>
    <x v="4"/>
    <x v="2"/>
    <n v="107"/>
    <n v="56.8"/>
    <n v="12.3"/>
    <n v="75000"/>
    <n v="28"/>
    <n v="21000"/>
    <n v="96000"/>
    <n v="111090"/>
    <n v="62"/>
    <n v="14.2"/>
    <s v="Will definitely switch"/>
    <s v="Very High"/>
  </r>
  <r>
    <s v="Honda"/>
    <s v="CD 110 Dream"/>
    <n v="109"/>
    <x v="1"/>
    <x v="2"/>
    <x v="1"/>
    <n v="98"/>
    <n v="77.8"/>
    <n v="8.3000000000000007"/>
    <n v="63281"/>
    <n v="28"/>
    <n v="17719"/>
    <n v="81000"/>
    <n v="94547"/>
    <n v="67"/>
    <n v="8.1"/>
    <s v="Will likely switch brand"/>
    <s v="High"/>
  </r>
  <r>
    <s v="Yamaha"/>
    <s v="R15M"/>
    <n v="155"/>
    <x v="0"/>
    <x v="2"/>
    <x v="0"/>
    <n v="120"/>
    <n v="38.200000000000003"/>
    <n v="10"/>
    <n v="156250"/>
    <n v="28"/>
    <n v="43750"/>
    <n v="200000"/>
    <n v="238394"/>
    <n v="76"/>
    <n v="3.7"/>
    <s v="Might reconsider"/>
    <s v="Medium"/>
  </r>
  <r>
    <s v="KTM"/>
    <s v="RC 200"/>
    <n v="199"/>
    <x v="0"/>
    <x v="1"/>
    <x v="0"/>
    <n v="136"/>
    <n v="46.5"/>
    <n v="11.8"/>
    <n v="173438"/>
    <n v="28"/>
    <n v="48562"/>
    <n v="222000"/>
    <n v="258869"/>
    <n v="84"/>
    <n v="9.5"/>
    <s v="Will likely switch brand"/>
    <s v="High"/>
  </r>
  <r>
    <s v="Bajaj"/>
    <s v="Platina 100"/>
    <n v="102"/>
    <x v="1"/>
    <x v="0"/>
    <x v="1"/>
    <n v="96"/>
    <n v="64.5"/>
    <n v="8.8000000000000007"/>
    <n v="54688"/>
    <n v="28"/>
    <n v="15312"/>
    <n v="70000"/>
    <n v="83823"/>
    <n v="57"/>
    <n v="8.1999999999999993"/>
    <s v="Will definitely switch"/>
    <s v="Very High"/>
  </r>
  <r>
    <s v="Royal Enfield"/>
    <s v="Continental GT 650"/>
    <n v="648"/>
    <x v="2"/>
    <x v="3"/>
    <x v="1"/>
    <n v="194"/>
    <n v="20.7"/>
    <n v="15.1"/>
    <n v="245802"/>
    <n v="31"/>
    <n v="76198"/>
    <n v="322000"/>
    <n v="376868"/>
    <n v="64"/>
    <n v="5.0999999999999996"/>
    <s v="Will definitely switch"/>
    <s v="Very High"/>
  </r>
  <r>
    <s v="Bajaj"/>
    <s v="Pulsar N250"/>
    <n v="249"/>
    <x v="0"/>
    <x v="0"/>
    <x v="0"/>
    <n v="160"/>
    <n v="35.299999999999997"/>
    <n v="19.5"/>
    <n v="118750"/>
    <n v="28"/>
    <n v="33250"/>
    <n v="152000"/>
    <n v="177002"/>
    <n v="79"/>
    <n v="12.6"/>
    <s v="Will definitely switch"/>
    <s v="Very High"/>
  </r>
  <r>
    <s v="Yamaha"/>
    <s v="R15 V4"/>
    <n v="155"/>
    <x v="0"/>
    <x v="4"/>
    <x v="0"/>
    <n v="120"/>
    <n v="40.5"/>
    <n v="11.6"/>
    <n v="130469"/>
    <n v="28"/>
    <n v="36531"/>
    <n v="167000"/>
    <n v="190169"/>
    <n v="72"/>
    <n v="13.5"/>
    <s v="Will definitely switch"/>
    <s v="Very High"/>
  </r>
  <r>
    <s v="Hero"/>
    <s v="HF Deluxe"/>
    <n v="97"/>
    <x v="1"/>
    <x v="0"/>
    <x v="1"/>
    <n v="98"/>
    <n v="76.7"/>
    <n v="8.3000000000000007"/>
    <n v="51562"/>
    <n v="28"/>
    <n v="14438"/>
    <n v="66000"/>
    <n v="78777"/>
    <n v="57"/>
    <n v="13.8"/>
    <s v="Will definitely switch"/>
    <s v="Very High"/>
  </r>
  <r>
    <s v="TVS"/>
    <s v="Radeon"/>
    <n v="109"/>
    <x v="1"/>
    <x v="2"/>
    <x v="1"/>
    <n v="93"/>
    <n v="76.599999999999994"/>
    <n v="9.6999999999999993"/>
    <n v="58594"/>
    <n v="28"/>
    <n v="16406"/>
    <n v="75000"/>
    <n v="88639"/>
    <n v="55"/>
    <n v="14.9"/>
    <s v="Will definitely switch"/>
    <s v="Very High"/>
  </r>
  <r>
    <s v="Bajaj"/>
    <s v="CT100"/>
    <n v="102"/>
    <x v="1"/>
    <x v="3"/>
    <x v="1"/>
    <n v="91"/>
    <n v="64.900000000000006"/>
    <n v="8.8000000000000007"/>
    <n v="44531"/>
    <n v="28"/>
    <n v="12469"/>
    <n v="57000"/>
    <n v="69884"/>
    <n v="59"/>
    <n v="1.6"/>
    <s v="Likely to buy"/>
    <s v="Low"/>
  </r>
  <r>
    <s v="Royal Enfield"/>
    <s v="Bullet 350"/>
    <n v="346"/>
    <x v="2"/>
    <x v="1"/>
    <x v="1"/>
    <n v="148"/>
    <n v="35.5"/>
    <n v="16.5"/>
    <n v="145312"/>
    <n v="28"/>
    <n v="40688"/>
    <n v="186000"/>
    <n v="212356"/>
    <n v="66"/>
    <n v="6.9"/>
    <s v="Will definitely switch"/>
    <s v="Very High"/>
  </r>
  <r>
    <s v="Honda"/>
    <s v="CB300R"/>
    <n v="293"/>
    <x v="2"/>
    <x v="0"/>
    <x v="0"/>
    <n v="163"/>
    <n v="33.700000000000003"/>
    <n v="18.5"/>
    <n v="204688"/>
    <n v="28"/>
    <n v="57312"/>
    <n v="262000"/>
    <n v="307506"/>
    <n v="78"/>
    <n v="2.8"/>
    <s v="Might reconsider"/>
    <s v="Medium"/>
  </r>
  <r>
    <s v="Honda"/>
    <s v="CB300R"/>
    <n v="293"/>
    <x v="2"/>
    <x v="2"/>
    <x v="0"/>
    <n v="150"/>
    <n v="28.6"/>
    <n v="13.1"/>
    <n v="199219"/>
    <n v="28"/>
    <n v="55781"/>
    <n v="255000"/>
    <n v="295032"/>
    <n v="78"/>
    <n v="14.7"/>
    <s v="Will definitely switch"/>
    <s v="Very High"/>
  </r>
  <r>
    <s v="Yamaha"/>
    <s v="MT-15 V2"/>
    <n v="155"/>
    <x v="0"/>
    <x v="0"/>
    <x v="0"/>
    <n v="136"/>
    <n v="43.2"/>
    <n v="13.5"/>
    <n v="128125"/>
    <n v="28"/>
    <n v="35875"/>
    <n v="164000"/>
    <n v="190737"/>
    <n v="69"/>
    <n v="4.5"/>
    <s v="Might reconsider"/>
    <s v="Medium"/>
  </r>
  <r>
    <s v="TVS"/>
    <s v="Star City Plus"/>
    <n v="109"/>
    <x v="1"/>
    <x v="1"/>
    <x v="2"/>
    <n v="90"/>
    <n v="73.400000000000006"/>
    <n v="9.3000000000000007"/>
    <n v="65625"/>
    <n v="28"/>
    <n v="18375"/>
    <n v="84000"/>
    <n v="97900"/>
    <n v="64"/>
    <n v="14.9"/>
    <s v="Will definitely switch"/>
    <s v="Very High"/>
  </r>
  <r>
    <s v="Honda"/>
    <s v="CB500X"/>
    <n v="471"/>
    <x v="2"/>
    <x v="0"/>
    <x v="0"/>
    <n v="187"/>
    <n v="24.3"/>
    <n v="19.100000000000001"/>
    <n v="423664"/>
    <n v="31"/>
    <n v="131336"/>
    <n v="555000"/>
    <n v="622200"/>
    <n v="76"/>
    <n v="9.6"/>
    <s v="Will likely switch brand"/>
    <s v="High"/>
  </r>
  <r>
    <s v="Royal Enfield"/>
    <s v="Continental GT 650"/>
    <n v="648"/>
    <x v="2"/>
    <x v="3"/>
    <x v="1"/>
    <n v="187"/>
    <n v="20.5"/>
    <n v="17.5"/>
    <n v="255725"/>
    <n v="31"/>
    <n v="79275"/>
    <n v="335000"/>
    <n v="383147"/>
    <n v="70"/>
    <n v="1.9"/>
    <s v="Likely to buy"/>
    <s v="Low"/>
  </r>
  <r>
    <s v="TVS"/>
    <s v="Apache RR 310"/>
    <n v="312"/>
    <x v="2"/>
    <x v="0"/>
    <x v="0"/>
    <n v="150"/>
    <n v="31.4"/>
    <n v="13.4"/>
    <n v="205469"/>
    <n v="28"/>
    <n v="57531"/>
    <n v="263000"/>
    <n v="305629"/>
    <n v="69"/>
    <n v="3.5"/>
    <s v="Might reconsider"/>
    <s v="Medium"/>
  </r>
  <r>
    <s v="Royal Enfield"/>
    <s v="Classic 350"/>
    <n v="349"/>
    <x v="2"/>
    <x v="5"/>
    <x v="2"/>
    <n v="148"/>
    <n v="31.5"/>
    <n v="13.8"/>
    <n v="145312"/>
    <n v="28"/>
    <n v="40688"/>
    <n v="186000"/>
    <n v="215764"/>
    <n v="73"/>
    <n v="6.1"/>
    <s v="Will likely switch brand"/>
    <s v="High"/>
  </r>
  <r>
    <s v="Hero"/>
    <s v="HF Deluxe"/>
    <n v="97"/>
    <x v="1"/>
    <x v="5"/>
    <x v="1"/>
    <n v="96"/>
    <n v="74.099999999999994"/>
    <n v="8.5"/>
    <n v="56250"/>
    <n v="28"/>
    <n v="15750"/>
    <n v="72000"/>
    <n v="85803"/>
    <n v="65"/>
    <n v="8.4"/>
    <s v="Will definitely switch"/>
    <s v="Very High"/>
  </r>
  <r>
    <s v="TVS"/>
    <s v="Apache RTR 160"/>
    <n v="159"/>
    <x v="0"/>
    <x v="2"/>
    <x v="2"/>
    <n v="139"/>
    <n v="43.3"/>
    <n v="13.3"/>
    <n v="89062"/>
    <n v="28"/>
    <n v="24938"/>
    <n v="114000"/>
    <n v="132848"/>
    <n v="60"/>
    <n v="1.6"/>
    <s v="Likely to buy"/>
    <s v="Low"/>
  </r>
  <r>
    <s v="Bajaj"/>
    <s v="Pulsar 150"/>
    <n v="149"/>
    <x v="0"/>
    <x v="4"/>
    <x v="2"/>
    <n v="114"/>
    <n v="56.6"/>
    <n v="12.1"/>
    <n v="92969"/>
    <n v="28"/>
    <n v="26031"/>
    <n v="119000"/>
    <n v="140912"/>
    <n v="69"/>
    <n v="14.9"/>
    <s v="Will definitely switch"/>
    <s v="Very High"/>
  </r>
  <r>
    <s v="Honda"/>
    <s v="CB500X"/>
    <n v="471"/>
    <x v="2"/>
    <x v="5"/>
    <x v="0"/>
    <n v="208"/>
    <n v="24.1"/>
    <n v="16.100000000000001"/>
    <n v="410687"/>
    <n v="31"/>
    <n v="127313"/>
    <n v="538000"/>
    <n v="610263"/>
    <n v="84"/>
    <n v="14.7"/>
    <s v="Will definitely switch"/>
    <s v="Very High"/>
  </r>
  <r>
    <s v="Honda"/>
    <s v="CB200X"/>
    <n v="184"/>
    <x v="0"/>
    <x v="4"/>
    <x v="0"/>
    <n v="125"/>
    <n v="44.9"/>
    <n v="11.2"/>
    <n v="125000"/>
    <n v="28"/>
    <n v="35000"/>
    <n v="160000"/>
    <n v="183437"/>
    <n v="78"/>
    <n v="4.8"/>
    <s v="Might reconsider"/>
    <s v="Medium"/>
  </r>
  <r>
    <s v="Hero"/>
    <s v="Xpulse 200"/>
    <n v="199"/>
    <x v="0"/>
    <x v="4"/>
    <x v="0"/>
    <n v="137"/>
    <n v="41.9"/>
    <n v="11.8"/>
    <n v="118750"/>
    <n v="28"/>
    <n v="33250"/>
    <n v="152000"/>
    <n v="178818"/>
    <n v="76"/>
    <n v="14.6"/>
    <s v="Will definitely switch"/>
    <s v="Very High"/>
  </r>
  <r>
    <s v="Yamaha"/>
    <s v="MT-03"/>
    <n v="321"/>
    <x v="2"/>
    <x v="1"/>
    <x v="0"/>
    <n v="140"/>
    <n v="29.7"/>
    <n v="17.899999999999999"/>
    <n v="352344"/>
    <n v="28"/>
    <n v="98656"/>
    <n v="451000"/>
    <n v="521398"/>
    <n v="72"/>
    <n v="9"/>
    <s v="Will likely switch brand"/>
    <s v="High"/>
  </r>
  <r>
    <s v="Yamaha"/>
    <s v="MT-03"/>
    <n v="321"/>
    <x v="2"/>
    <x v="4"/>
    <x v="0"/>
    <n v="149"/>
    <n v="34.700000000000003"/>
    <n v="14.6"/>
    <n v="357031"/>
    <n v="28"/>
    <n v="99969"/>
    <n v="457000"/>
    <n v="528249"/>
    <n v="74"/>
    <n v="8.6999999999999993"/>
    <s v="Will likely switch brand"/>
    <s v="High"/>
  </r>
  <r>
    <s v="Suzuki"/>
    <s v="Gixxer SF"/>
    <n v="155"/>
    <x v="0"/>
    <x v="4"/>
    <x v="2"/>
    <n v="128"/>
    <n v="46.3"/>
    <n v="14"/>
    <n v="108594"/>
    <n v="28"/>
    <n v="30406"/>
    <n v="139000"/>
    <n v="158056"/>
    <n v="64"/>
    <n v="10"/>
    <s v="Will definitely switch"/>
    <s v="Very High"/>
  </r>
  <r>
    <s v="Bajaj"/>
    <s v="Pulsar NS200"/>
    <n v="199"/>
    <x v="0"/>
    <x v="1"/>
    <x v="0"/>
    <n v="130"/>
    <n v="46.8"/>
    <n v="11.1"/>
    <n v="117969"/>
    <n v="28"/>
    <n v="33031"/>
    <n v="151000"/>
    <n v="173146"/>
    <n v="74"/>
    <n v="14.2"/>
    <s v="Will definitely switch"/>
    <s v="Very High"/>
  </r>
  <r>
    <s v="Honda"/>
    <s v="CB350 H'ness"/>
    <n v="348"/>
    <x v="2"/>
    <x v="5"/>
    <x v="0"/>
    <n v="140"/>
    <n v="33"/>
    <n v="14.2"/>
    <n v="161719"/>
    <n v="28"/>
    <n v="45281"/>
    <n v="207000"/>
    <n v="238411"/>
    <n v="77"/>
    <n v="4.0999999999999996"/>
    <s v="Might reconsider"/>
    <s v="Medium"/>
  </r>
  <r>
    <s v="Hero"/>
    <s v="Passion Pro"/>
    <n v="110"/>
    <x v="1"/>
    <x v="2"/>
    <x v="2"/>
    <n v="97"/>
    <n v="63.4"/>
    <n v="9.3000000000000007"/>
    <n v="62500"/>
    <n v="28"/>
    <n v="17500"/>
    <n v="80000"/>
    <n v="97566"/>
    <n v="73"/>
    <n v="4.5999999999999996"/>
    <s v="Might reconsider"/>
    <s v="Medium"/>
  </r>
  <r>
    <s v="Suzuki"/>
    <s v="Gixxer SF 250"/>
    <n v="249"/>
    <x v="0"/>
    <x v="4"/>
    <x v="0"/>
    <n v="165"/>
    <n v="32.6"/>
    <n v="18.100000000000001"/>
    <n v="145312"/>
    <n v="28"/>
    <n v="40688"/>
    <n v="186000"/>
    <n v="213791"/>
    <n v="69"/>
    <n v="3.2"/>
    <s v="Might reconsider"/>
    <s v="Medium"/>
  </r>
  <r>
    <s v="KTM"/>
    <s v="RC 390"/>
    <n v="373"/>
    <x v="2"/>
    <x v="2"/>
    <x v="0"/>
    <n v="171"/>
    <n v="21.8"/>
    <n v="14.3"/>
    <n v="250382"/>
    <n v="31"/>
    <n v="77618"/>
    <n v="328000"/>
    <n v="379274"/>
    <n v="74"/>
    <n v="9"/>
    <s v="Will likely switch brand"/>
    <s v="High"/>
  </r>
  <r>
    <s v="TVS"/>
    <s v="Apache RTR 160 4V"/>
    <n v="159"/>
    <x v="0"/>
    <x v="3"/>
    <x v="0"/>
    <n v="126"/>
    <n v="43.9"/>
    <n v="11"/>
    <n v="97656"/>
    <n v="28"/>
    <n v="27344"/>
    <n v="125000"/>
    <n v="143623"/>
    <n v="67"/>
    <n v="3"/>
    <s v="Might reconsider"/>
    <s v="Medium"/>
  </r>
  <r>
    <s v="KTM"/>
    <s v="Duke 200"/>
    <n v="199"/>
    <x v="0"/>
    <x v="0"/>
    <x v="0"/>
    <n v="132"/>
    <n v="43"/>
    <n v="13.1"/>
    <n v="146094"/>
    <n v="28"/>
    <n v="40906"/>
    <n v="187000"/>
    <n v="216276"/>
    <n v="74"/>
    <n v="1.3"/>
    <s v="Likely to buy"/>
    <s v="Low"/>
  </r>
  <r>
    <s v="Hero"/>
    <s v="Xtreme 125R"/>
    <n v="125"/>
    <x v="1"/>
    <x v="5"/>
    <x v="0"/>
    <n v="105"/>
    <n v="56.3"/>
    <n v="13.4"/>
    <n v="77344"/>
    <n v="28"/>
    <n v="21656"/>
    <n v="99000"/>
    <n v="118039"/>
    <n v="66"/>
    <n v="8.6"/>
    <s v="Will definitely switch"/>
    <s v="Very High"/>
  </r>
  <r>
    <s v="Honda"/>
    <s v="CD 110 Dream"/>
    <n v="109"/>
    <x v="1"/>
    <x v="4"/>
    <x v="1"/>
    <n v="94"/>
    <n v="75.3"/>
    <n v="8.1"/>
    <n v="57812"/>
    <n v="28"/>
    <n v="16188"/>
    <n v="74000"/>
    <n v="88214"/>
    <n v="62"/>
    <n v="7.7"/>
    <s v="Will definitely switch"/>
    <s v="Very High"/>
  </r>
  <r>
    <s v="TVS"/>
    <s v="Raider 125"/>
    <n v="124"/>
    <x v="1"/>
    <x v="3"/>
    <x v="0"/>
    <n v="108"/>
    <n v="55.6"/>
    <n v="10.6"/>
    <n v="75781"/>
    <n v="28"/>
    <n v="21219"/>
    <n v="97000"/>
    <n v="112169"/>
    <n v="71"/>
    <n v="13.4"/>
    <s v="Will definitely switch"/>
    <s v="Very High"/>
  </r>
  <r>
    <s v="Bajaj"/>
    <s v="Pulsar RS200"/>
    <n v="199"/>
    <x v="0"/>
    <x v="0"/>
    <x v="0"/>
    <n v="132"/>
    <n v="39.9"/>
    <n v="12"/>
    <n v="126562"/>
    <n v="28"/>
    <n v="35438"/>
    <n v="162000"/>
    <n v="187749"/>
    <n v="77"/>
    <n v="13.4"/>
    <s v="Will definitely switch"/>
    <s v="Very High"/>
  </r>
  <r>
    <s v="Honda"/>
    <s v="Hornet 2.0"/>
    <n v="184"/>
    <x v="0"/>
    <x v="0"/>
    <x v="0"/>
    <n v="123"/>
    <n v="43.2"/>
    <n v="13.6"/>
    <n v="104688"/>
    <n v="28"/>
    <n v="29312"/>
    <n v="134000"/>
    <n v="156934"/>
    <n v="74"/>
    <n v="13.9"/>
    <s v="Will definitely switch"/>
    <s v="Very High"/>
  </r>
  <r>
    <s v="Honda"/>
    <s v="CB500X"/>
    <n v="471"/>
    <x v="2"/>
    <x v="5"/>
    <x v="0"/>
    <n v="202"/>
    <n v="21.6"/>
    <n v="15.4"/>
    <n v="419847"/>
    <n v="31"/>
    <n v="130153"/>
    <n v="550000"/>
    <n v="633548"/>
    <n v="86"/>
    <n v="5.2"/>
    <s v="Will likely switch brand"/>
    <s v="High"/>
  </r>
  <r>
    <s v="Honda"/>
    <s v="Unicorn"/>
    <n v="160"/>
    <x v="0"/>
    <x v="4"/>
    <x v="2"/>
    <n v="122"/>
    <n v="45.1"/>
    <n v="13.1"/>
    <n v="86719"/>
    <n v="28"/>
    <n v="24281"/>
    <n v="111000"/>
    <n v="129333"/>
    <n v="68"/>
    <n v="13.1"/>
    <s v="Will definitely switch"/>
    <s v="Very High"/>
  </r>
  <r>
    <s v="Honda"/>
    <s v="CB350RS"/>
    <n v="348"/>
    <x v="2"/>
    <x v="2"/>
    <x v="0"/>
    <n v="143"/>
    <n v="34.4"/>
    <n v="14.9"/>
    <n v="167188"/>
    <n v="28"/>
    <n v="46812"/>
    <n v="214000"/>
    <n v="247930"/>
    <n v="81"/>
    <n v="7"/>
    <s v="Will likely switch brand"/>
    <s v="High"/>
  </r>
  <r>
    <s v="Honda"/>
    <s v="Shine"/>
    <n v="124"/>
    <x v="1"/>
    <x v="3"/>
    <x v="2"/>
    <n v="118"/>
    <n v="52.6"/>
    <n v="12.4"/>
    <n v="67969"/>
    <n v="28"/>
    <n v="19031"/>
    <n v="87000"/>
    <n v="101793"/>
    <n v="66"/>
    <n v="10.7"/>
    <s v="Will definitely switch"/>
    <s v="Very High"/>
  </r>
  <r>
    <s v="Royal Enfield"/>
    <s v="Bullet 350"/>
    <n v="346"/>
    <x v="2"/>
    <x v="1"/>
    <x v="1"/>
    <n v="155"/>
    <n v="31.4"/>
    <n v="16.8"/>
    <n v="128906"/>
    <n v="28"/>
    <n v="36094"/>
    <n v="165000"/>
    <n v="195991"/>
    <n v="67"/>
    <n v="8.5"/>
    <s v="Will likely switch brand"/>
    <s v="High"/>
  </r>
  <r>
    <s v="Bajaj"/>
    <s v="Dominar 400"/>
    <n v="373"/>
    <x v="2"/>
    <x v="4"/>
    <x v="0"/>
    <n v="207"/>
    <n v="23.5"/>
    <n v="15.5"/>
    <n v="180153"/>
    <n v="31"/>
    <n v="55847"/>
    <n v="236000"/>
    <n v="273801"/>
    <n v="73"/>
    <n v="10.8"/>
    <s v="Will definitely switch"/>
    <s v="Very High"/>
  </r>
  <r>
    <s v="Bajaj"/>
    <s v="Pulsar NS200"/>
    <n v="199"/>
    <x v="0"/>
    <x v="4"/>
    <x v="0"/>
    <n v="121"/>
    <n v="46.2"/>
    <n v="11.2"/>
    <n v="126562"/>
    <n v="28"/>
    <n v="35438"/>
    <n v="162000"/>
    <n v="184287"/>
    <n v="78"/>
    <n v="6.1"/>
    <s v="Will likely switch brand"/>
    <s v="High"/>
  </r>
  <r>
    <s v="Honda"/>
    <s v="CB350RS"/>
    <n v="348"/>
    <x v="2"/>
    <x v="0"/>
    <x v="0"/>
    <n v="147"/>
    <n v="30"/>
    <n v="19.7"/>
    <n v="181250"/>
    <n v="28"/>
    <n v="50750"/>
    <n v="232000"/>
    <n v="270683"/>
    <n v="72"/>
    <n v="11.5"/>
    <s v="Will definitely switch"/>
    <s v="Very High"/>
  </r>
  <r>
    <s v="Honda"/>
    <s v="CB350RS"/>
    <n v="348"/>
    <x v="2"/>
    <x v="3"/>
    <x v="0"/>
    <n v="143"/>
    <n v="28.6"/>
    <n v="18.899999999999999"/>
    <n v="168750"/>
    <n v="28"/>
    <n v="47250"/>
    <n v="216000"/>
    <n v="247678"/>
    <n v="82"/>
    <n v="9.1"/>
    <s v="Will likely switch brand"/>
    <s v="High"/>
  </r>
  <r>
    <s v="Bajaj"/>
    <s v="CT100"/>
    <n v="102"/>
    <x v="1"/>
    <x v="3"/>
    <x v="1"/>
    <n v="98"/>
    <n v="61.8"/>
    <n v="9.5"/>
    <n v="42969"/>
    <n v="28"/>
    <n v="12031"/>
    <n v="55000"/>
    <n v="64255"/>
    <n v="57"/>
    <n v="11.7"/>
    <s v="Will definitely switch"/>
    <s v="Very High"/>
  </r>
  <r>
    <s v="Suzuki"/>
    <s v="Gixxer"/>
    <n v="155"/>
    <x v="0"/>
    <x v="4"/>
    <x v="2"/>
    <n v="140"/>
    <n v="41.4"/>
    <n v="10.199999999999999"/>
    <n v="108594"/>
    <n v="28"/>
    <n v="30406"/>
    <n v="139000"/>
    <n v="160480"/>
    <n v="58"/>
    <n v="5"/>
    <s v="Might reconsider"/>
    <s v="Medium"/>
  </r>
  <r>
    <s v="Hero"/>
    <s v="Super Splendor"/>
    <n v="125"/>
    <x v="1"/>
    <x v="5"/>
    <x v="2"/>
    <n v="119"/>
    <n v="59.4"/>
    <n v="13.7"/>
    <n v="71875"/>
    <n v="28"/>
    <n v="20125"/>
    <n v="92000"/>
    <n v="106677"/>
    <n v="66"/>
    <n v="11"/>
    <s v="Will definitely switch"/>
    <s v="Very High"/>
  </r>
  <r>
    <s v="Yamaha"/>
    <s v="R3"/>
    <n v="321"/>
    <x v="2"/>
    <x v="4"/>
    <x v="0"/>
    <n v="156"/>
    <n v="35.6"/>
    <n v="18.2"/>
    <n v="340625"/>
    <n v="28"/>
    <n v="95375"/>
    <n v="436000"/>
    <n v="499160"/>
    <n v="82"/>
    <n v="14.7"/>
    <s v="Will definitely switch"/>
    <s v="Very High"/>
  </r>
  <r>
    <s v="KTM"/>
    <s v="Duke 200"/>
    <n v="199"/>
    <x v="0"/>
    <x v="2"/>
    <x v="0"/>
    <n v="122"/>
    <n v="43.1"/>
    <n v="12.6"/>
    <n v="159375"/>
    <n v="28"/>
    <n v="44625"/>
    <n v="204000"/>
    <n v="233266"/>
    <n v="75"/>
    <n v="7.7"/>
    <s v="Will likely switch brand"/>
    <s v="High"/>
  </r>
  <r>
    <s v="Royal Enfield"/>
    <s v="Continental GT 650"/>
    <n v="648"/>
    <x v="2"/>
    <x v="5"/>
    <x v="1"/>
    <n v="166"/>
    <n v="20.8"/>
    <n v="13.2"/>
    <n v="245802"/>
    <n v="31"/>
    <n v="76198"/>
    <n v="322000"/>
    <n v="374728"/>
    <n v="64"/>
    <n v="6.1"/>
    <s v="Will definitely switch"/>
    <s v="Very High"/>
  </r>
  <r>
    <s v="TVS"/>
    <s v="Apache RTR 160 4V"/>
    <n v="159"/>
    <x v="0"/>
    <x v="2"/>
    <x v="0"/>
    <n v="129"/>
    <n v="44.6"/>
    <n v="13.7"/>
    <n v="100000"/>
    <n v="28"/>
    <n v="28000"/>
    <n v="128000"/>
    <n v="145212"/>
    <n v="69"/>
    <n v="8.6999999999999993"/>
    <s v="Will likely switch brand"/>
    <s v="High"/>
  </r>
  <r>
    <s v="TVS"/>
    <s v="Sport"/>
    <n v="99"/>
    <x v="1"/>
    <x v="0"/>
    <x v="1"/>
    <n v="100"/>
    <n v="78.2"/>
    <n v="9.9"/>
    <n v="50781"/>
    <n v="28"/>
    <n v="14219"/>
    <n v="65000"/>
    <n v="79733"/>
    <n v="54"/>
    <n v="1.7"/>
    <s v="Likely to buy"/>
    <s v="Low"/>
  </r>
  <r>
    <s v="Hero"/>
    <s v="HF Deluxe"/>
    <n v="97"/>
    <x v="1"/>
    <x v="2"/>
    <x v="1"/>
    <n v="97"/>
    <n v="64.900000000000006"/>
    <n v="9.3000000000000007"/>
    <n v="58594"/>
    <n v="28"/>
    <n v="16406"/>
    <n v="75000"/>
    <n v="90991"/>
    <n v="61"/>
    <n v="14.6"/>
    <s v="Will definitely switch"/>
    <s v="Very High"/>
  </r>
  <r>
    <s v="Royal Enfield"/>
    <s v="Bullet 350"/>
    <n v="346"/>
    <x v="2"/>
    <x v="0"/>
    <x v="1"/>
    <n v="165"/>
    <n v="28.3"/>
    <n v="15"/>
    <n v="134375"/>
    <n v="28"/>
    <n v="37625"/>
    <n v="172000"/>
    <n v="198984"/>
    <n v="65"/>
    <n v="7.7"/>
    <s v="Will definitely switch"/>
    <s v="Very High"/>
  </r>
  <r>
    <s v="Honda"/>
    <s v="CB500X"/>
    <n v="471"/>
    <x v="2"/>
    <x v="2"/>
    <x v="0"/>
    <n v="173"/>
    <n v="20.6"/>
    <n v="14.1"/>
    <n v="455725"/>
    <n v="31"/>
    <n v="141275"/>
    <n v="597000"/>
    <n v="676966"/>
    <n v="86"/>
    <n v="10.199999999999999"/>
    <s v="Will definitely switch"/>
    <s v="Very High"/>
  </r>
  <r>
    <s v="Yamaha"/>
    <s v="R3"/>
    <n v="321"/>
    <x v="2"/>
    <x v="1"/>
    <x v="0"/>
    <n v="144"/>
    <n v="31.6"/>
    <n v="19"/>
    <n v="352344"/>
    <n v="28"/>
    <n v="98656"/>
    <n v="451000"/>
    <n v="523030"/>
    <n v="75"/>
    <n v="5.0999999999999996"/>
    <s v="Will likely switch brand"/>
    <s v="High"/>
  </r>
  <r>
    <s v="KTM"/>
    <s v="RC 390"/>
    <n v="373"/>
    <x v="2"/>
    <x v="4"/>
    <x v="0"/>
    <n v="199"/>
    <n v="20.5"/>
    <n v="17"/>
    <n v="236641"/>
    <n v="31"/>
    <n v="73359"/>
    <n v="310000"/>
    <n v="360151"/>
    <n v="80"/>
    <n v="2"/>
    <s v="Likely to buy"/>
    <s v="Low"/>
  </r>
  <r>
    <s v="Yamaha"/>
    <s v="R15M"/>
    <n v="155"/>
    <x v="0"/>
    <x v="5"/>
    <x v="0"/>
    <n v="122"/>
    <n v="42.5"/>
    <n v="10.7"/>
    <n v="146094"/>
    <n v="28"/>
    <n v="40906"/>
    <n v="187000"/>
    <n v="213815"/>
    <n v="74"/>
    <n v="2.2999999999999998"/>
    <s v="Might reconsider"/>
    <s v="Medium"/>
  </r>
  <r>
    <s v="TVS"/>
    <s v="Apache RTR 200 4V"/>
    <n v="197"/>
    <x v="0"/>
    <x v="5"/>
    <x v="0"/>
    <n v="134"/>
    <n v="37.700000000000003"/>
    <n v="13.1"/>
    <n v="110938"/>
    <n v="28"/>
    <n v="31062"/>
    <n v="142000"/>
    <n v="162608"/>
    <n v="70"/>
    <n v="14.8"/>
    <s v="Will definitely switch"/>
    <s v="Very High"/>
  </r>
  <r>
    <s v="KTM"/>
    <s v="Adventure 390"/>
    <n v="373"/>
    <x v="2"/>
    <x v="1"/>
    <x v="0"/>
    <n v="183"/>
    <n v="21.9"/>
    <n v="19.399999999999999"/>
    <n v="281679"/>
    <n v="31"/>
    <n v="87321"/>
    <n v="369000"/>
    <n v="416907"/>
    <n v="75"/>
    <n v="6.6"/>
    <s v="Will likely switch brand"/>
    <s v="High"/>
  </r>
  <r>
    <s v="Honda"/>
    <s v="CB300R"/>
    <n v="293"/>
    <x v="2"/>
    <x v="5"/>
    <x v="0"/>
    <n v="161"/>
    <n v="31"/>
    <n v="19.100000000000001"/>
    <n v="208594"/>
    <n v="28"/>
    <n v="58406"/>
    <n v="267000"/>
    <n v="308463"/>
    <n v="78"/>
    <n v="8.1"/>
    <s v="Will likely switch brand"/>
    <s v="High"/>
  </r>
  <r>
    <s v="Hero"/>
    <s v="Xtreme 125R"/>
    <n v="125"/>
    <x v="1"/>
    <x v="5"/>
    <x v="0"/>
    <n v="105"/>
    <n v="57.6"/>
    <n v="11.5"/>
    <n v="83594"/>
    <n v="28"/>
    <n v="23406"/>
    <n v="107000"/>
    <n v="126114"/>
    <n v="67"/>
    <n v="12.9"/>
    <s v="Will definitely switch"/>
    <s v="Very High"/>
  </r>
  <r>
    <s v="KTM"/>
    <s v="Duke 200"/>
    <n v="199"/>
    <x v="0"/>
    <x v="3"/>
    <x v="0"/>
    <n v="134"/>
    <n v="37.9"/>
    <n v="10.4"/>
    <n v="164844"/>
    <n v="28"/>
    <n v="46156"/>
    <n v="211000"/>
    <n v="244522"/>
    <n v="75"/>
    <n v="10"/>
    <s v="Will likely switch brand"/>
    <s v="High"/>
  </r>
  <r>
    <s v="Bajaj"/>
    <s v="Pulsar 125"/>
    <n v="124"/>
    <x v="1"/>
    <x v="1"/>
    <x v="2"/>
    <n v="115"/>
    <n v="51"/>
    <n v="11.9"/>
    <n v="77344"/>
    <n v="28"/>
    <n v="21656"/>
    <n v="99000"/>
    <n v="119124"/>
    <n v="58"/>
    <n v="5.4"/>
    <s v="Will definitely switch"/>
    <s v="Very High"/>
  </r>
  <r>
    <s v="Yamaha"/>
    <s v="FZS 25"/>
    <n v="249"/>
    <x v="0"/>
    <x v="1"/>
    <x v="0"/>
    <n v="146"/>
    <n v="29.3"/>
    <n v="18.399999999999999"/>
    <n v="121094"/>
    <n v="28"/>
    <n v="33906"/>
    <n v="155000"/>
    <n v="180482"/>
    <n v="70"/>
    <n v="9"/>
    <s v="Will likely switch brand"/>
    <s v="High"/>
  </r>
  <r>
    <s v="Hero"/>
    <s v="Xpulse 200"/>
    <n v="199"/>
    <x v="0"/>
    <x v="2"/>
    <x v="0"/>
    <n v="126"/>
    <n v="39.1"/>
    <n v="11.7"/>
    <n v="121094"/>
    <n v="28"/>
    <n v="33906"/>
    <n v="155000"/>
    <n v="179564"/>
    <n v="68"/>
    <n v="14.3"/>
    <s v="Will definitely switch"/>
    <s v="Very High"/>
  </r>
  <r>
    <s v="TVS"/>
    <s v="Radeon"/>
    <n v="109"/>
    <x v="1"/>
    <x v="2"/>
    <x v="1"/>
    <n v="99"/>
    <n v="63"/>
    <n v="9.8000000000000007"/>
    <n v="62500"/>
    <n v="28"/>
    <n v="17500"/>
    <n v="80000"/>
    <n v="92837"/>
    <n v="60"/>
    <n v="8.3000000000000007"/>
    <s v="Will definitely switch"/>
    <s v="Very High"/>
  </r>
  <r>
    <s v="Bajaj"/>
    <s v="Pulsar 125"/>
    <n v="124"/>
    <x v="1"/>
    <x v="3"/>
    <x v="2"/>
    <n v="114"/>
    <n v="61.1"/>
    <n v="11.9"/>
    <n v="78125"/>
    <n v="28"/>
    <n v="21875"/>
    <n v="100000"/>
    <n v="116573"/>
    <n v="64"/>
    <n v="3.8"/>
    <s v="Might reconsider"/>
    <s v="Medium"/>
  </r>
  <r>
    <s v="Suzuki"/>
    <s v="Gixxer SF"/>
    <n v="155"/>
    <x v="0"/>
    <x v="1"/>
    <x v="2"/>
    <n v="138"/>
    <n v="46.2"/>
    <n v="13.1"/>
    <n v="116406"/>
    <n v="28"/>
    <n v="32594"/>
    <n v="149000"/>
    <n v="171876"/>
    <n v="70"/>
    <n v="12.5"/>
    <s v="Will definitely switch"/>
    <s v="Very High"/>
  </r>
  <r>
    <s v="Bajaj"/>
    <s v="Pulsar N160"/>
    <n v="160"/>
    <x v="0"/>
    <x v="3"/>
    <x v="0"/>
    <n v="130"/>
    <n v="43.7"/>
    <n v="13.7"/>
    <n v="94531"/>
    <n v="28"/>
    <n v="26469"/>
    <n v="121000"/>
    <n v="142361"/>
    <n v="67"/>
    <n v="3.1"/>
    <s v="Might reconsider"/>
    <s v="Medium"/>
  </r>
  <r>
    <s v="Yamaha"/>
    <s v="R15M"/>
    <n v="155"/>
    <x v="0"/>
    <x v="4"/>
    <x v="0"/>
    <n v="120"/>
    <n v="39.6"/>
    <n v="12.5"/>
    <n v="165625"/>
    <n v="28"/>
    <n v="46375"/>
    <n v="212000"/>
    <n v="244060"/>
    <n v="74"/>
    <n v="14.2"/>
    <s v="Will definitely switch"/>
    <s v="Very High"/>
  </r>
  <r>
    <s v="Honda"/>
    <s v="SP 125"/>
    <n v="124"/>
    <x v="1"/>
    <x v="5"/>
    <x v="0"/>
    <n v="110"/>
    <n v="55.6"/>
    <n v="10.8"/>
    <n v="71094"/>
    <n v="28"/>
    <n v="19906"/>
    <n v="91000"/>
    <n v="108918"/>
    <n v="75"/>
    <n v="6.3"/>
    <s v="Will likely switch brand"/>
    <s v="High"/>
  </r>
  <r>
    <s v="Bajaj"/>
    <s v="Pulsar 150"/>
    <n v="149"/>
    <x v="0"/>
    <x v="0"/>
    <x v="2"/>
    <n v="114"/>
    <n v="48.6"/>
    <n v="12.8"/>
    <n v="96875"/>
    <n v="28"/>
    <n v="27125"/>
    <n v="124000"/>
    <n v="144027"/>
    <n v="70"/>
    <n v="12.5"/>
    <s v="Will definitely switch"/>
    <s v="Very High"/>
  </r>
  <r>
    <s v="Yamaha"/>
    <s v="FZ-S V3"/>
    <n v="149"/>
    <x v="0"/>
    <x v="3"/>
    <x v="2"/>
    <n v="115"/>
    <n v="55.3"/>
    <n v="11.7"/>
    <n v="100000"/>
    <n v="28"/>
    <n v="28000"/>
    <n v="128000"/>
    <n v="149745"/>
    <n v="63"/>
    <n v="14"/>
    <s v="Will definitely switch"/>
    <s v="Very High"/>
  </r>
  <r>
    <s v="Bajaj"/>
    <s v="Platina 110 H-Gear"/>
    <n v="115"/>
    <x v="1"/>
    <x v="1"/>
    <x v="2"/>
    <n v="118"/>
    <n v="59.6"/>
    <n v="13.8"/>
    <n v="63281"/>
    <n v="28"/>
    <n v="17719"/>
    <n v="81000"/>
    <n v="94310"/>
    <n v="67"/>
    <n v="5"/>
    <s v="Might reconsider"/>
    <s v="Medium"/>
  </r>
  <r>
    <s v="Honda"/>
    <s v="SP 125"/>
    <n v="124"/>
    <x v="1"/>
    <x v="1"/>
    <x v="0"/>
    <n v="118"/>
    <n v="48.6"/>
    <n v="13.7"/>
    <n v="82812"/>
    <n v="28"/>
    <n v="23188"/>
    <n v="106000"/>
    <n v="125957"/>
    <n v="67"/>
    <n v="7.9"/>
    <s v="Will likely switch brand"/>
    <s v="High"/>
  </r>
  <r>
    <s v="Honda"/>
    <s v="SP 125"/>
    <n v="124"/>
    <x v="1"/>
    <x v="3"/>
    <x v="0"/>
    <n v="118"/>
    <n v="52.2"/>
    <n v="12.2"/>
    <n v="78125"/>
    <n v="28"/>
    <n v="21875"/>
    <n v="100000"/>
    <n v="119359"/>
    <n v="69"/>
    <n v="4.0999999999999996"/>
    <s v="Might reconsider"/>
    <s v="Medium"/>
  </r>
  <r>
    <s v="Honda"/>
    <s v="Hornet 2.0"/>
    <n v="184"/>
    <x v="0"/>
    <x v="5"/>
    <x v="0"/>
    <n v="140"/>
    <n v="41.1"/>
    <n v="13.1"/>
    <n v="103906"/>
    <n v="28"/>
    <n v="29094"/>
    <n v="133000"/>
    <n v="154359"/>
    <n v="75"/>
    <n v="1.1000000000000001"/>
    <s v="Likely to buy"/>
    <s v="Low"/>
  </r>
  <r>
    <s v="Yamaha"/>
    <s v="R3"/>
    <n v="321"/>
    <x v="2"/>
    <x v="0"/>
    <x v="0"/>
    <n v="140"/>
    <n v="33.299999999999997"/>
    <n v="14.1"/>
    <n v="339062"/>
    <n v="28"/>
    <n v="94938"/>
    <n v="434000"/>
    <n v="503004"/>
    <n v="76"/>
    <n v="1.5"/>
    <s v="Likely to buy"/>
    <s v="Low"/>
  </r>
  <r>
    <s v="Royal Enfield"/>
    <s v="Guerrilla 450"/>
    <n v="452"/>
    <x v="2"/>
    <x v="3"/>
    <x v="0"/>
    <n v="196"/>
    <n v="21.1"/>
    <n v="14.3"/>
    <n v="233588"/>
    <n v="31"/>
    <n v="72412"/>
    <n v="306000"/>
    <n v="353849"/>
    <n v="83"/>
    <n v="4.4000000000000004"/>
    <s v="Might reconsider"/>
    <s v="Medium"/>
  </r>
  <r>
    <s v="KTM"/>
    <s v="Duke 125"/>
    <n v="124"/>
    <x v="0"/>
    <x v="5"/>
    <x v="0"/>
    <n v="117"/>
    <n v="60.8"/>
    <n v="12.1"/>
    <n v="143750"/>
    <n v="28"/>
    <n v="40250"/>
    <n v="184000"/>
    <n v="214791"/>
    <n v="77"/>
    <n v="6.6"/>
    <s v="Will likely switch brand"/>
    <s v="High"/>
  </r>
  <r>
    <s v="KTM"/>
    <s v="RC 390"/>
    <n v="373"/>
    <x v="2"/>
    <x v="2"/>
    <x v="0"/>
    <n v="210"/>
    <n v="22.7"/>
    <n v="19.399999999999999"/>
    <n v="245038"/>
    <n v="31"/>
    <n v="75962"/>
    <n v="321000"/>
    <n v="368722"/>
    <n v="77"/>
    <n v="12.8"/>
    <s v="Will definitely switch"/>
    <s v="Very High"/>
  </r>
  <r>
    <s v="Suzuki"/>
    <s v="Gixxer SF 250"/>
    <n v="249"/>
    <x v="0"/>
    <x v="1"/>
    <x v="0"/>
    <n v="160"/>
    <n v="31.5"/>
    <n v="18"/>
    <n v="143750"/>
    <n v="28"/>
    <n v="40250"/>
    <n v="184000"/>
    <n v="209061"/>
    <n v="72"/>
    <n v="3.1"/>
    <s v="Might reconsider"/>
    <s v="Medium"/>
  </r>
  <r>
    <s v="Honda"/>
    <s v="CD 110 Dream"/>
    <n v="109"/>
    <x v="1"/>
    <x v="4"/>
    <x v="1"/>
    <n v="96"/>
    <n v="72.3"/>
    <n v="8.6"/>
    <n v="61719"/>
    <n v="28"/>
    <n v="17281"/>
    <n v="79000"/>
    <n v="92788"/>
    <n v="59"/>
    <n v="4.4000000000000004"/>
    <s v="Might reconsider"/>
    <s v="Medium"/>
  </r>
  <r>
    <s v="Suzuki"/>
    <s v="Gixxer SF"/>
    <n v="155"/>
    <x v="0"/>
    <x v="4"/>
    <x v="2"/>
    <n v="121"/>
    <n v="44.7"/>
    <n v="12.5"/>
    <n v="119531"/>
    <n v="28"/>
    <n v="33469"/>
    <n v="153000"/>
    <n v="180293"/>
    <n v="62"/>
    <n v="2.2000000000000002"/>
    <s v="Might reconsider"/>
    <s v="Medium"/>
  </r>
  <r>
    <s v="Honda"/>
    <s v="Unicorn"/>
    <n v="160"/>
    <x v="0"/>
    <x v="5"/>
    <x v="2"/>
    <n v="125"/>
    <n v="39.799999999999997"/>
    <n v="13.7"/>
    <n v="84375"/>
    <n v="28"/>
    <n v="23625"/>
    <n v="108000"/>
    <n v="126730"/>
    <n v="63"/>
    <n v="2.1"/>
    <s v="Might reconsider"/>
    <s v="Medium"/>
  </r>
  <r>
    <s v="Bajaj"/>
    <s v="Pulsar NS200"/>
    <n v="199"/>
    <x v="0"/>
    <x v="3"/>
    <x v="0"/>
    <n v="140"/>
    <n v="41.9"/>
    <n v="11.5"/>
    <n v="114844"/>
    <n v="28"/>
    <n v="32156"/>
    <n v="147000"/>
    <n v="168423"/>
    <n v="68"/>
    <n v="3.9"/>
    <s v="Might reconsider"/>
    <s v="Medium"/>
  </r>
  <r>
    <s v="Royal Enfield"/>
    <s v="Meteor 350"/>
    <n v="349"/>
    <x v="2"/>
    <x v="1"/>
    <x v="2"/>
    <n v="145"/>
    <n v="28.2"/>
    <n v="19"/>
    <n v="167188"/>
    <n v="28"/>
    <n v="46812"/>
    <n v="214000"/>
    <n v="245312"/>
    <n v="76"/>
    <n v="8.9"/>
    <s v="Will likely switch brand"/>
    <s v="High"/>
  </r>
  <r>
    <s v="Honda"/>
    <s v="CB200X"/>
    <n v="184"/>
    <x v="0"/>
    <x v="5"/>
    <x v="0"/>
    <n v="120"/>
    <n v="43"/>
    <n v="13.7"/>
    <n v="125781"/>
    <n v="28"/>
    <n v="35219"/>
    <n v="161000"/>
    <n v="191182"/>
    <n v="71"/>
    <n v="8.3000000000000007"/>
    <s v="Will likely switch brand"/>
    <s v="High"/>
  </r>
  <r>
    <s v="Bajaj"/>
    <s v="Pulsar 150"/>
    <n v="149"/>
    <x v="0"/>
    <x v="0"/>
    <x v="2"/>
    <n v="116"/>
    <n v="51.3"/>
    <n v="11.3"/>
    <n v="91406"/>
    <n v="28"/>
    <n v="25594"/>
    <n v="117000"/>
    <n v="136214"/>
    <n v="63"/>
    <n v="13.6"/>
    <s v="Will definitely switch"/>
    <s v="Very High"/>
  </r>
  <r>
    <s v="Bajaj"/>
    <s v="Pulsar RS200"/>
    <n v="199"/>
    <x v="0"/>
    <x v="2"/>
    <x v="0"/>
    <n v="122"/>
    <n v="41.8"/>
    <n v="11.2"/>
    <n v="127344"/>
    <n v="28"/>
    <n v="35656"/>
    <n v="163000"/>
    <n v="188972"/>
    <n v="72"/>
    <n v="10.9"/>
    <s v="Will definitely switch"/>
    <s v="Very High"/>
  </r>
  <r>
    <s v="Yamaha"/>
    <s v="R15M"/>
    <n v="155"/>
    <x v="0"/>
    <x v="1"/>
    <x v="0"/>
    <n v="128"/>
    <n v="38.700000000000003"/>
    <n v="11.2"/>
    <n v="154688"/>
    <n v="28"/>
    <n v="43312"/>
    <n v="198000"/>
    <n v="233952"/>
    <n v="73"/>
    <n v="2.4"/>
    <s v="Might reconsider"/>
    <s v="Medium"/>
  </r>
  <r>
    <s v="Bajaj"/>
    <s v="Pulsar NS200"/>
    <n v="199"/>
    <x v="0"/>
    <x v="1"/>
    <x v="0"/>
    <n v="128"/>
    <n v="43"/>
    <n v="11.5"/>
    <n v="125781"/>
    <n v="28"/>
    <n v="35219"/>
    <n v="161000"/>
    <n v="188429"/>
    <n v="72"/>
    <n v="9.6999999999999993"/>
    <s v="Will likely switch brand"/>
    <s v="High"/>
  </r>
  <r>
    <s v="Bajaj"/>
    <s v="Pulsar N160"/>
    <n v="160"/>
    <x v="0"/>
    <x v="3"/>
    <x v="0"/>
    <n v="121"/>
    <n v="41.5"/>
    <n v="11.2"/>
    <n v="102344"/>
    <n v="28"/>
    <n v="28656"/>
    <n v="131000"/>
    <n v="151290"/>
    <n v="75"/>
    <n v="4.5"/>
    <s v="Might reconsider"/>
    <s v="Medium"/>
  </r>
  <r>
    <s v="Suzuki"/>
    <s v="Gixxer"/>
    <n v="155"/>
    <x v="0"/>
    <x v="4"/>
    <x v="2"/>
    <n v="125"/>
    <n v="41.3"/>
    <n v="12.6"/>
    <n v="103125"/>
    <n v="28"/>
    <n v="28875"/>
    <n v="132000"/>
    <n v="150474"/>
    <n v="63"/>
    <n v="4.4000000000000004"/>
    <s v="Might reconsider"/>
    <s v="Medium"/>
  </r>
  <r>
    <s v="Royal Enfield"/>
    <s v="Guerrilla 450"/>
    <n v="452"/>
    <x v="2"/>
    <x v="5"/>
    <x v="0"/>
    <n v="181"/>
    <n v="19.399999999999999"/>
    <n v="19.3"/>
    <n v="209160"/>
    <n v="31"/>
    <n v="64840"/>
    <n v="274000"/>
    <n v="312458"/>
    <n v="80"/>
    <n v="7.5"/>
    <s v="Will likely switch brand"/>
    <s v="High"/>
  </r>
  <r>
    <s v="Suzuki"/>
    <s v="V-Strom SX"/>
    <n v="249"/>
    <x v="2"/>
    <x v="2"/>
    <x v="0"/>
    <n v="148"/>
    <n v="29"/>
    <n v="13.5"/>
    <n v="160156"/>
    <n v="28"/>
    <n v="44844"/>
    <n v="205000"/>
    <n v="233636"/>
    <n v="77"/>
    <n v="14.2"/>
    <s v="Will definitely switch"/>
    <s v="Very High"/>
  </r>
  <r>
    <s v="KTM"/>
    <s v="Duke 390"/>
    <n v="373"/>
    <x v="2"/>
    <x v="5"/>
    <x v="0"/>
    <n v="191"/>
    <n v="20.399999999999999"/>
    <n v="15.9"/>
    <n v="243511"/>
    <n v="31"/>
    <n v="75489"/>
    <n v="319000"/>
    <n v="367644"/>
    <n v="78"/>
    <n v="1.7"/>
    <s v="Likely to buy"/>
    <s v="Low"/>
  </r>
  <r>
    <s v="Honda"/>
    <s v="CB200X"/>
    <n v="184"/>
    <x v="0"/>
    <x v="1"/>
    <x v="0"/>
    <n v="129"/>
    <n v="42.8"/>
    <n v="14"/>
    <n v="116406"/>
    <n v="28"/>
    <n v="32594"/>
    <n v="149000"/>
    <n v="173704"/>
    <n v="69"/>
    <n v="10"/>
    <s v="Will likely switch brand"/>
    <s v="High"/>
  </r>
  <r>
    <s v="Yamaha"/>
    <s v="FZ-X"/>
    <n v="149"/>
    <x v="0"/>
    <x v="0"/>
    <x v="0"/>
    <n v="106"/>
    <n v="60.5"/>
    <n v="11.9"/>
    <n v="101562"/>
    <n v="28"/>
    <n v="28438"/>
    <n v="130000"/>
    <n v="153909"/>
    <n v="79"/>
    <n v="10"/>
    <s v="Will likely switch brand"/>
    <s v="High"/>
  </r>
  <r>
    <s v="KTM"/>
    <s v="Duke 390"/>
    <n v="373"/>
    <x v="2"/>
    <x v="0"/>
    <x v="0"/>
    <n v="209"/>
    <n v="19.8"/>
    <n v="15.8"/>
    <n v="245038"/>
    <n v="31"/>
    <n v="75962"/>
    <n v="321000"/>
    <n v="368315"/>
    <n v="76"/>
    <n v="7.9"/>
    <s v="Will likely switch brand"/>
    <s v="High"/>
  </r>
  <r>
    <s v="Yamaha"/>
    <s v="FZ-S V3"/>
    <n v="149"/>
    <x v="0"/>
    <x v="0"/>
    <x v="2"/>
    <n v="108"/>
    <n v="60.8"/>
    <n v="10.6"/>
    <n v="101562"/>
    <n v="28"/>
    <n v="28438"/>
    <n v="130000"/>
    <n v="153532"/>
    <n v="67"/>
    <n v="4.0999999999999996"/>
    <s v="Might reconsider"/>
    <s v="Medium"/>
  </r>
  <r>
    <s v="Royal Enfield"/>
    <s v="Classic 350"/>
    <n v="349"/>
    <x v="2"/>
    <x v="1"/>
    <x v="2"/>
    <n v="165"/>
    <n v="29.6"/>
    <n v="19.899999999999999"/>
    <n v="160938"/>
    <n v="28"/>
    <n v="45062"/>
    <n v="206000"/>
    <n v="237920"/>
    <n v="71"/>
    <n v="12.4"/>
    <s v="Will definitely switch"/>
    <s v="Very High"/>
  </r>
  <r>
    <s v="Hero"/>
    <s v="Xtreme 160R"/>
    <n v="163"/>
    <x v="0"/>
    <x v="3"/>
    <x v="0"/>
    <n v="130"/>
    <n v="37.700000000000003"/>
    <n v="11.1"/>
    <n v="101562"/>
    <n v="28"/>
    <n v="28438"/>
    <n v="130000"/>
    <n v="151916"/>
    <n v="77"/>
    <n v="12.1"/>
    <s v="Will definitely switch"/>
    <s v="Very High"/>
  </r>
  <r>
    <s v="Bajaj"/>
    <s v="Platina 100"/>
    <n v="102"/>
    <x v="1"/>
    <x v="0"/>
    <x v="1"/>
    <n v="98"/>
    <n v="76.099999999999994"/>
    <n v="9"/>
    <n v="57031"/>
    <n v="28"/>
    <n v="15969"/>
    <n v="73000"/>
    <n v="86216"/>
    <n v="65"/>
    <n v="7.3"/>
    <s v="Will definitely switch"/>
    <s v="Very High"/>
  </r>
  <r>
    <s v="TVS"/>
    <s v="Sport"/>
    <n v="99"/>
    <x v="1"/>
    <x v="5"/>
    <x v="1"/>
    <n v="100"/>
    <n v="74.599999999999994"/>
    <n v="9.4"/>
    <n v="53906"/>
    <n v="28"/>
    <n v="15094"/>
    <n v="69000"/>
    <n v="83080"/>
    <n v="57"/>
    <n v="2.2999999999999998"/>
    <s v="Might reconsider"/>
    <s v="Medium"/>
  </r>
  <r>
    <s v="Royal Enfield"/>
    <s v="Himalayan 450"/>
    <n v="452"/>
    <x v="2"/>
    <x v="0"/>
    <x v="0"/>
    <n v="164"/>
    <n v="23"/>
    <n v="17.7"/>
    <n v="219847"/>
    <n v="31"/>
    <n v="68153"/>
    <n v="288000"/>
    <n v="336377"/>
    <n v="84"/>
    <n v="1.8"/>
    <s v="Will still buy"/>
    <s v="Low"/>
  </r>
  <r>
    <s v="Yamaha"/>
    <s v="FZ-X"/>
    <n v="149"/>
    <x v="0"/>
    <x v="2"/>
    <x v="0"/>
    <n v="115"/>
    <n v="59.1"/>
    <n v="10.6"/>
    <n v="110938"/>
    <n v="28"/>
    <n v="31062"/>
    <n v="142000"/>
    <n v="161838"/>
    <n v="73"/>
    <n v="10.9"/>
    <s v="Will definitely switch"/>
    <s v="Very High"/>
  </r>
  <r>
    <s v="Yamaha"/>
    <s v="R3"/>
    <n v="321"/>
    <x v="2"/>
    <x v="3"/>
    <x v="0"/>
    <n v="159"/>
    <n v="35.6"/>
    <n v="14.3"/>
    <n v="329688"/>
    <n v="28"/>
    <n v="92312"/>
    <n v="422000"/>
    <n v="481931"/>
    <n v="84"/>
    <n v="3.8"/>
    <s v="Might reconsider"/>
    <s v="Medium"/>
  </r>
  <r>
    <s v="TVS"/>
    <s v="Apache RTR 160"/>
    <n v="159"/>
    <x v="0"/>
    <x v="2"/>
    <x v="2"/>
    <n v="124"/>
    <n v="43.5"/>
    <n v="10.4"/>
    <n v="92969"/>
    <n v="28"/>
    <n v="26031"/>
    <n v="119000"/>
    <n v="141985"/>
    <n v="66"/>
    <n v="13.3"/>
    <s v="Will definitely switch"/>
    <s v="Very High"/>
  </r>
  <r>
    <s v="Hero"/>
    <s v="Passion Pro"/>
    <n v="110"/>
    <x v="1"/>
    <x v="1"/>
    <x v="2"/>
    <n v="96"/>
    <n v="70.5"/>
    <n v="8.1999999999999993"/>
    <n v="66406"/>
    <n v="28"/>
    <n v="18594"/>
    <n v="85000"/>
    <n v="99745"/>
    <n v="67"/>
    <n v="2.7"/>
    <s v="Might reconsider"/>
    <s v="Medium"/>
  </r>
  <r>
    <s v="KTM"/>
    <s v="RC 390"/>
    <n v="373"/>
    <x v="2"/>
    <x v="2"/>
    <x v="0"/>
    <n v="177"/>
    <n v="19.600000000000001"/>
    <n v="15.7"/>
    <n v="244275"/>
    <n v="31"/>
    <n v="75725"/>
    <n v="320000"/>
    <n v="366404"/>
    <n v="76"/>
    <n v="2.4"/>
    <s v="Might reconsider"/>
    <s v="Medium"/>
  </r>
  <r>
    <s v="KTM"/>
    <s v="RC 200"/>
    <n v="199"/>
    <x v="0"/>
    <x v="2"/>
    <x v="0"/>
    <n v="135"/>
    <n v="42.3"/>
    <n v="10.199999999999999"/>
    <n v="159375"/>
    <n v="28"/>
    <n v="44625"/>
    <n v="204000"/>
    <n v="231837"/>
    <n v="76"/>
    <n v="7.1"/>
    <s v="Will likely switch brand"/>
    <s v="High"/>
  </r>
  <r>
    <s v="TVS"/>
    <s v="Star City Plus"/>
    <n v="109"/>
    <x v="1"/>
    <x v="5"/>
    <x v="2"/>
    <n v="92"/>
    <n v="71.3"/>
    <n v="8.5"/>
    <n v="68750"/>
    <n v="28"/>
    <n v="19250"/>
    <n v="88000"/>
    <n v="100692"/>
    <n v="62"/>
    <n v="8.4"/>
    <s v="Will definitely switch"/>
    <s v="Very High"/>
  </r>
  <r>
    <s v="KTM"/>
    <s v="Duke 200"/>
    <n v="199"/>
    <x v="0"/>
    <x v="5"/>
    <x v="0"/>
    <n v="126"/>
    <n v="39.700000000000003"/>
    <n v="12.5"/>
    <n v="153906"/>
    <n v="28"/>
    <n v="43094"/>
    <n v="197000"/>
    <n v="227193"/>
    <n v="70"/>
    <n v="12"/>
    <s v="Will definitely switch"/>
    <s v="Very High"/>
  </r>
  <r>
    <s v="TVS"/>
    <s v="Apache RTR 160 4V"/>
    <n v="159"/>
    <x v="0"/>
    <x v="2"/>
    <x v="0"/>
    <n v="129"/>
    <n v="43.2"/>
    <n v="10.3"/>
    <n v="109375"/>
    <n v="28"/>
    <n v="30625"/>
    <n v="140000"/>
    <n v="162206"/>
    <n v="69"/>
    <n v="3.4"/>
    <s v="Might reconsider"/>
    <s v="Medium"/>
  </r>
  <r>
    <s v="Bajaj"/>
    <s v="Pulsar 125"/>
    <n v="124"/>
    <x v="1"/>
    <x v="5"/>
    <x v="2"/>
    <n v="115"/>
    <n v="54.7"/>
    <n v="13.5"/>
    <n v="71875"/>
    <n v="28"/>
    <n v="20125"/>
    <n v="92000"/>
    <n v="110294"/>
    <n v="57"/>
    <n v="3.5"/>
    <s v="Might reconsider"/>
    <s v="Medium"/>
  </r>
  <r>
    <s v="Bajaj"/>
    <s v="Platina 100"/>
    <n v="102"/>
    <x v="1"/>
    <x v="0"/>
    <x v="1"/>
    <n v="100"/>
    <n v="71.400000000000006"/>
    <n v="9.6"/>
    <n v="54688"/>
    <n v="28"/>
    <n v="15312"/>
    <n v="70000"/>
    <n v="84860"/>
    <n v="58"/>
    <n v="7.6"/>
    <s v="Will definitely switch"/>
    <s v="Very High"/>
  </r>
  <r>
    <s v="TVS"/>
    <s v="Apache RTR 200 4V"/>
    <n v="197"/>
    <x v="0"/>
    <x v="5"/>
    <x v="0"/>
    <n v="123"/>
    <n v="44.8"/>
    <n v="11.8"/>
    <n v="123438"/>
    <n v="28"/>
    <n v="34562"/>
    <n v="158000"/>
    <n v="181828"/>
    <n v="70"/>
    <n v="12.3"/>
    <s v="Will definitely switch"/>
    <s v="Very High"/>
  </r>
  <r>
    <s v="Royal Enfield"/>
    <s v="Thunderbird 350X"/>
    <n v="346"/>
    <x v="2"/>
    <x v="1"/>
    <x v="2"/>
    <n v="151"/>
    <n v="31.7"/>
    <n v="18.399999999999999"/>
    <n v="155469"/>
    <n v="28"/>
    <n v="43531"/>
    <n v="199000"/>
    <n v="228367"/>
    <n v="70"/>
    <n v="10.9"/>
    <s v="Will definitely switch"/>
    <s v="Very High"/>
  </r>
  <r>
    <s v="Yamaha"/>
    <s v="MT-15 V2"/>
    <n v="155"/>
    <x v="0"/>
    <x v="4"/>
    <x v="0"/>
    <n v="133"/>
    <n v="38.5"/>
    <n v="11.4"/>
    <n v="124219"/>
    <n v="28"/>
    <n v="34781"/>
    <n v="159000"/>
    <n v="185251"/>
    <n v="70"/>
    <n v="10.199999999999999"/>
    <s v="Will definitely switch"/>
    <s v="Very High"/>
  </r>
  <r>
    <s v="Hero"/>
    <s v="Glamour"/>
    <n v="125"/>
    <x v="1"/>
    <x v="3"/>
    <x v="2"/>
    <n v="107"/>
    <n v="51.1"/>
    <n v="12.6"/>
    <n v="71094"/>
    <n v="28"/>
    <n v="19906"/>
    <n v="91000"/>
    <n v="108951"/>
    <n v="61"/>
    <n v="13.9"/>
    <s v="Will definitely switch"/>
    <s v="Very High"/>
  </r>
  <r>
    <s v="TVS"/>
    <s v="Apache RTR 160"/>
    <n v="159"/>
    <x v="0"/>
    <x v="2"/>
    <x v="2"/>
    <n v="136"/>
    <n v="46.9"/>
    <n v="11.4"/>
    <n v="99219"/>
    <n v="28"/>
    <n v="27781"/>
    <n v="127000"/>
    <n v="150542"/>
    <n v="67"/>
    <n v="4.7"/>
    <s v="Might reconsider"/>
    <s v="Medium"/>
  </r>
  <r>
    <s v="Royal Enfield"/>
    <s v="Bullet 350"/>
    <n v="346"/>
    <x v="2"/>
    <x v="1"/>
    <x v="1"/>
    <n v="158"/>
    <n v="29.6"/>
    <n v="13.9"/>
    <n v="134375"/>
    <n v="28"/>
    <n v="37625"/>
    <n v="172000"/>
    <n v="200476"/>
    <n v="67"/>
    <n v="10.8"/>
    <s v="Will definitely switch"/>
    <s v="Very High"/>
  </r>
  <r>
    <s v="Yamaha"/>
    <s v="FZ-S V3"/>
    <n v="149"/>
    <x v="0"/>
    <x v="2"/>
    <x v="2"/>
    <n v="120"/>
    <n v="61.2"/>
    <n v="10.6"/>
    <n v="102344"/>
    <n v="28"/>
    <n v="28656"/>
    <n v="131000"/>
    <n v="152923"/>
    <n v="77"/>
    <n v="3.1"/>
    <s v="Might reconsider"/>
    <s v="Medium"/>
  </r>
  <r>
    <s v="TVS"/>
    <s v="Apache RTR 200 4V"/>
    <n v="197"/>
    <x v="0"/>
    <x v="4"/>
    <x v="0"/>
    <n v="129"/>
    <n v="37.6"/>
    <n v="11.1"/>
    <n v="119531"/>
    <n v="28"/>
    <n v="33469"/>
    <n v="153000"/>
    <n v="178005"/>
    <n v="66"/>
    <n v="7.4"/>
    <s v="Will definitely switch"/>
    <s v="Very High"/>
  </r>
  <r>
    <s v="Honda"/>
    <s v="CB200X"/>
    <n v="184"/>
    <x v="0"/>
    <x v="5"/>
    <x v="0"/>
    <n v="121"/>
    <n v="45.4"/>
    <n v="13.1"/>
    <n v="108594"/>
    <n v="28"/>
    <n v="30406"/>
    <n v="139000"/>
    <n v="161891"/>
    <n v="79"/>
    <n v="2.9"/>
    <s v="Might reconsider"/>
    <s v="Medium"/>
  </r>
  <r>
    <s v="Yamaha"/>
    <s v="R3"/>
    <n v="321"/>
    <x v="2"/>
    <x v="0"/>
    <x v="0"/>
    <n v="144"/>
    <n v="33.6"/>
    <n v="15"/>
    <n v="360938"/>
    <n v="28"/>
    <n v="101062"/>
    <n v="462000"/>
    <n v="530814"/>
    <n v="73"/>
    <n v="7"/>
    <s v="Will likely switch brand"/>
    <s v="High"/>
  </r>
  <r>
    <s v="Hero"/>
    <s v="Super Splendor"/>
    <n v="125"/>
    <x v="1"/>
    <x v="5"/>
    <x v="2"/>
    <n v="117"/>
    <n v="53.5"/>
    <n v="12.4"/>
    <n v="70312"/>
    <n v="28"/>
    <n v="19688"/>
    <n v="90000"/>
    <n v="107247"/>
    <n v="59"/>
    <n v="13.5"/>
    <s v="Will definitely switch"/>
    <s v="Very High"/>
  </r>
  <r>
    <s v="Bajaj"/>
    <s v="Platina 110 H-Gear"/>
    <n v="115"/>
    <x v="1"/>
    <x v="1"/>
    <x v="2"/>
    <n v="111"/>
    <n v="50.2"/>
    <n v="10.8"/>
    <n v="63281"/>
    <n v="28"/>
    <n v="17719"/>
    <n v="81000"/>
    <n v="97000"/>
    <n v="61"/>
    <n v="2.9"/>
    <s v="Might reconsider"/>
    <s v="Medium"/>
  </r>
  <r>
    <s v="TVS"/>
    <s v="Ronin"/>
    <n v="225"/>
    <x v="0"/>
    <x v="1"/>
    <x v="0"/>
    <n v="165"/>
    <n v="29.6"/>
    <n v="16.100000000000001"/>
    <n v="120312"/>
    <n v="28"/>
    <n v="33688"/>
    <n v="154000"/>
    <n v="180601"/>
    <n v="70"/>
    <n v="2.2999999999999998"/>
    <s v="Might reconsider"/>
    <s v="Medium"/>
  </r>
  <r>
    <s v="Royal Enfield"/>
    <s v="Meteor 350"/>
    <n v="349"/>
    <x v="2"/>
    <x v="1"/>
    <x v="2"/>
    <n v="153"/>
    <n v="31.4"/>
    <n v="13.2"/>
    <n v="164062"/>
    <n v="28"/>
    <n v="45938"/>
    <n v="210000"/>
    <n v="243807"/>
    <n v="72"/>
    <n v="7.5"/>
    <s v="Will likely switch brand"/>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BEE2D2-3B3F-4DE5-B5CF-144AC4298BCA}" name="PT_Plot4"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U3:W7" firstHeaderRow="0" firstDataRow="1" firstDataCol="1"/>
  <pivotFields count="18">
    <pivotField showAll="0"/>
    <pivotField showAll="0"/>
    <pivotField showAll="0"/>
    <pivotField axis="axisRow" showAll="0">
      <items count="4">
        <item x="1"/>
        <item x="0"/>
        <item x="2"/>
        <item t="default"/>
      </items>
    </pivotField>
    <pivotField showAll="0"/>
    <pivotField showAll="0">
      <items count="4">
        <item x="1"/>
        <item x="0"/>
        <item x="2"/>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s>
  <rowFields count="1">
    <field x="3"/>
  </rowFields>
  <rowItems count="4">
    <i>
      <x/>
    </i>
    <i>
      <x v="1"/>
    </i>
    <i>
      <x v="2"/>
    </i>
    <i t="grand">
      <x/>
    </i>
  </rowItems>
  <colFields count="1">
    <field x="-2"/>
  </colFields>
  <colItems count="2">
    <i>
      <x/>
    </i>
    <i i="1">
      <x v="1"/>
    </i>
  </colItems>
  <dataFields count="2">
    <dataField name="Primary_gst_amou" fld="11" baseField="0" baseItem="0"/>
    <dataField name="Secondary_factory_" fld="9"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E7B902-627C-45EE-9DDC-357CE79191D1}" name="PT_Plot3"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3:R7" firstHeaderRow="1" firstDataRow="1" firstDataCol="1"/>
  <pivotFields count="18">
    <pivotField showAll="0"/>
    <pivotField showAll="0"/>
    <pivotField showAll="0"/>
    <pivotField showAll="0">
      <items count="4">
        <item x="1"/>
        <item x="0"/>
        <item x="2"/>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hare_gst_amou"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6E4D88-8DCA-42F3-8E77-E0A91FC539C6}" name="PT_Plot2"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3:N7" firstHeaderRow="1" firstDataRow="1" firstDataCol="1"/>
  <pivotFields count="18">
    <pivotField showAll="0"/>
    <pivotField showAll="0"/>
    <pivotField showAll="0"/>
    <pivotField axis="axisRow" showAll="0">
      <items count="4">
        <item x="1"/>
        <item x="0"/>
        <item x="2"/>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Ranked_gst_amou"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450DCD-2AAA-4CEB-A9F3-BDA238CE5648}" name="PT_Plot1"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3:J10" firstHeaderRow="1" firstDataRow="1" firstDataCol="1"/>
  <pivotFields count="18">
    <pivotField showAll="0"/>
    <pivotField showAll="0"/>
    <pivotField showAll="0"/>
    <pivotField showAll="0">
      <items count="4">
        <item x="1"/>
        <item x="0"/>
        <item x="2"/>
        <item t="default"/>
      </items>
    </pivotField>
    <pivotField axis="axisRow" showAll="0">
      <items count="7">
        <item x="0"/>
        <item x="4"/>
        <item x="5"/>
        <item x="3"/>
        <item x="1"/>
        <item x="2"/>
        <item t="default"/>
      </items>
    </pivotField>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Trend_gst_amou"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7B5CE1-6061-4617-A1DE-665F8B72333F}" name="PT_MasterSummary"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18">
    <pivotField dataField="1" showAll="0"/>
    <pivotField showAll="0"/>
    <pivotField showAll="0"/>
    <pivotField showAll="0">
      <items count="4">
        <item x="1"/>
        <item x="0"/>
        <item x="2"/>
        <item t="default"/>
      </items>
    </pivotField>
    <pivotField showAll="0"/>
    <pivotField showAll="0">
      <items count="4">
        <item x="1"/>
        <item x="0"/>
        <item x="2"/>
        <item t="default"/>
      </items>
    </pivotField>
    <pivotField showAll="0"/>
    <pivotField showAll="0"/>
    <pivotField showAll="0"/>
    <pivotField dataField="1" showAll="0"/>
    <pivotField showAll="0"/>
    <pivotField dataField="1"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Sum_Primary" fld="11" baseField="0" baseItem="0"/>
    <dataField name="Avg_Primary" fld="11" subtotal="average" baseField="0" baseItem="0"/>
    <dataField name="StdDev_Primary" fld="11" subtotal="stdDev" baseField="0" baseItem="0"/>
    <dataField name="Count_Recs" fld="0" subtotal="count" baseField="0" baseItem="0"/>
    <dataField name="Sum_Secondary" fld="9" baseField="0" baseItem="0"/>
    <dataField name="Max_Primary" fld="11" subtotal="max" baseField="0" baseItem="0"/>
    <dataField name="Min_Primary" fld="11"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CE932E4-0A99-4F8B-BEA5-47CDA0E903C0}" sourceName="segment">
  <pivotTables>
    <pivotTable tabId="4" name="PT_MasterSummary"/>
    <pivotTable tabId="4" name="PT_Plot1"/>
    <pivotTable tabId="4" name="PT_Plot2"/>
    <pivotTable tabId="4" name="PT_Plot3"/>
    <pivotTable tabId="4" name="PT_Plot4"/>
  </pivotTables>
  <data>
    <tabular pivotCacheId="140084213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edometer_type" xr10:uid="{F3E0524A-9813-46AE-833E-DB196F74CD5E}" sourceName="speedometer_type">
  <pivotTables>
    <pivotTable tabId="4" name="PT_MasterSummary"/>
    <pivotTable tabId="4" name="PT_Plot1"/>
    <pivotTable tabId="4" name="PT_Plot2"/>
    <pivotTable tabId="4" name="PT_Plot3"/>
    <pivotTable tabId="4" name="PT_Plot4"/>
  </pivotTables>
  <data>
    <tabular pivotCacheId="140084213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Primary" xr10:uid="{02716A39-4DBB-457F-92A1-E4AF84A1F8BC}" cache="Slicer_segment" caption="segment" style="SlicerStyleDark1" rowHeight="247650"/>
  <slicer name="Slicer_Secondary" xr10:uid="{15D9B545-1167-4862-93D3-F6F9D0AAA1FC}" cache="Slicer_speedometer_type" caption="speedometer_type"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35E2E-9E60-4260-A3B4-CB12BF463C89}">
  <sheetPr codeName="Sheet3">
    <tabColor rgb="FFC2410C"/>
  </sheetPr>
  <dimension ref="B2:Q16"/>
  <sheetViews>
    <sheetView workbookViewId="0"/>
  </sheetViews>
  <sheetFormatPr defaultRowHeight="14.4" x14ac:dyDescent="0.3"/>
  <cols>
    <col min="1" max="1" width="3.33203125" style="1" customWidth="1"/>
    <col min="2" max="18" width="15.33203125" style="1" customWidth="1"/>
    <col min="19" max="16384" width="8.88671875" style="1"/>
  </cols>
  <sheetData>
    <row r="2" spans="2:17" x14ac:dyDescent="0.3">
      <c r="B2" s="2" t="s">
        <v>113</v>
      </c>
      <c r="C2" s="2"/>
      <c r="D2" s="2"/>
      <c r="E2" s="2"/>
      <c r="F2" s="2"/>
      <c r="G2" s="2"/>
      <c r="H2" s="2"/>
      <c r="I2" s="2"/>
      <c r="J2" s="2"/>
      <c r="K2" s="2"/>
      <c r="L2" s="2"/>
      <c r="M2" s="2"/>
      <c r="N2" s="2"/>
      <c r="O2" s="2"/>
      <c r="P2" s="2"/>
      <c r="Q2" s="2"/>
    </row>
    <row r="3" spans="2:17" x14ac:dyDescent="0.3">
      <c r="B3" s="3" t="s">
        <v>114</v>
      </c>
      <c r="C3" s="3"/>
      <c r="D3" s="3"/>
      <c r="E3" s="3"/>
      <c r="F3" s="3"/>
      <c r="G3" s="3"/>
      <c r="H3" s="3"/>
      <c r="I3" s="3"/>
      <c r="J3" s="3"/>
      <c r="K3" s="3"/>
      <c r="L3" s="3"/>
      <c r="M3" s="3"/>
      <c r="N3" s="3"/>
      <c r="O3" s="3"/>
      <c r="P3" s="3"/>
      <c r="Q3" s="3"/>
    </row>
    <row r="4" spans="2:17" ht="15" thickBot="1" x14ac:dyDescent="0.35">
      <c r="B4" s="4"/>
      <c r="C4" s="4"/>
      <c r="D4" s="4"/>
      <c r="E4" s="4"/>
      <c r="F4" s="4"/>
      <c r="G4" s="4"/>
      <c r="H4" s="4"/>
      <c r="I4" s="4"/>
      <c r="J4" s="4"/>
      <c r="K4" s="4"/>
      <c r="L4" s="4"/>
      <c r="M4" s="4"/>
      <c r="N4" s="4"/>
      <c r="O4" s="4"/>
      <c r="P4" s="4"/>
      <c r="Q4" s="4"/>
    </row>
    <row r="5" spans="2:17" ht="15" thickTop="1" x14ac:dyDescent="0.3"/>
    <row r="6" spans="2:17" ht="16.05" customHeight="1" x14ac:dyDescent="0.3">
      <c r="B6" s="8" t="s">
        <v>145</v>
      </c>
      <c r="C6" s="12"/>
      <c r="D6" s="15" t="s">
        <v>147</v>
      </c>
      <c r="E6" s="12"/>
      <c r="F6" s="8" t="s">
        <v>149</v>
      </c>
      <c r="G6" s="12"/>
      <c r="H6" s="15" t="s">
        <v>151</v>
      </c>
      <c r="I6" s="12"/>
      <c r="J6" s="8" t="s">
        <v>153</v>
      </c>
      <c r="K6" s="12"/>
      <c r="L6" s="15" t="s">
        <v>155</v>
      </c>
      <c r="M6" s="12"/>
      <c r="N6" s="8" t="s">
        <v>157</v>
      </c>
      <c r="O6" s="12"/>
      <c r="P6" s="15" t="s">
        <v>159</v>
      </c>
      <c r="Q6" s="9"/>
    </row>
    <row r="7" spans="2:17" ht="25.95" customHeight="1" x14ac:dyDescent="0.3">
      <c r="B7" s="10">
        <f>Pivot_Calculations!D4</f>
        <v>1000</v>
      </c>
      <c r="C7" s="13"/>
      <c r="D7" s="16">
        <f>Pivot_Calculations!A4</f>
        <v>39293438</v>
      </c>
      <c r="E7" s="19"/>
      <c r="F7" s="21">
        <f>Pivot_Calculations!B4</f>
        <v>39293.438000000002</v>
      </c>
      <c r="G7" s="22"/>
      <c r="H7" s="16">
        <f>Pivot_Calculations!E4</f>
        <v>136817562</v>
      </c>
      <c r="I7" s="19"/>
      <c r="J7" s="23">
        <f>Pivot_Calculations!C4</f>
        <v>21794.29991550458</v>
      </c>
      <c r="K7" s="24"/>
      <c r="L7" s="16">
        <f>Pivot_Calculations!F4</f>
        <v>146244</v>
      </c>
      <c r="M7" s="19"/>
      <c r="N7" s="25">
        <f>Pivot_Calculations!G4</f>
        <v>12031</v>
      </c>
      <c r="O7" s="19"/>
      <c r="P7" s="26">
        <f>IF(Pivot_Calculations!A4&gt;0, Pivot_Calculations!E4/Pivot_Calculations!A4, 0)</f>
        <v>3.4819442880004545</v>
      </c>
      <c r="Q7" s="27"/>
    </row>
    <row r="8" spans="2:17" ht="16.05" customHeight="1" x14ac:dyDescent="0.3">
      <c r="B8" s="11" t="s">
        <v>146</v>
      </c>
      <c r="C8" s="14"/>
      <c r="D8" s="17" t="s">
        <v>148</v>
      </c>
      <c r="E8" s="20"/>
      <c r="F8" s="11" t="s">
        <v>150</v>
      </c>
      <c r="G8" s="14"/>
      <c r="H8" s="17" t="s">
        <v>152</v>
      </c>
      <c r="I8" s="20"/>
      <c r="J8" s="11" t="s">
        <v>154</v>
      </c>
      <c r="K8" s="14"/>
      <c r="L8" s="17" t="s">
        <v>156</v>
      </c>
      <c r="M8" s="20"/>
      <c r="N8" s="11" t="s">
        <v>158</v>
      </c>
      <c r="O8" s="14"/>
      <c r="P8" s="17" t="s">
        <v>160</v>
      </c>
      <c r="Q8" s="18"/>
    </row>
    <row r="10" spans="2:17" x14ac:dyDescent="0.3">
      <c r="B10" s="29" t="s">
        <v>161</v>
      </c>
      <c r="C10" s="28"/>
      <c r="D10" s="28"/>
      <c r="E10" s="28"/>
      <c r="F10" s="28"/>
      <c r="G10" s="28"/>
      <c r="H10" s="28"/>
      <c r="I10" s="28"/>
      <c r="J10" s="30" t="s">
        <v>162</v>
      </c>
      <c r="K10" s="31"/>
      <c r="L10" s="31"/>
      <c r="M10" s="31"/>
      <c r="N10" s="31"/>
      <c r="O10" s="31"/>
      <c r="P10" s="31"/>
      <c r="Q10" s="31"/>
    </row>
    <row r="11" spans="2:17" x14ac:dyDescent="0.3">
      <c r="B11" s="29"/>
      <c r="C11" s="28"/>
      <c r="D11" s="28"/>
      <c r="E11" s="28"/>
      <c r="F11" s="28"/>
      <c r="G11" s="28"/>
      <c r="H11" s="28"/>
      <c r="I11" s="28"/>
      <c r="J11" s="32" t="s">
        <v>163</v>
      </c>
      <c r="K11" s="32"/>
      <c r="L11" s="32"/>
      <c r="M11" s="33" t="s">
        <v>164</v>
      </c>
      <c r="N11" s="33"/>
      <c r="O11" s="33"/>
      <c r="P11" s="33"/>
      <c r="Q11" s="33"/>
    </row>
    <row r="12" spans="2:17" x14ac:dyDescent="0.3">
      <c r="B12" s="29"/>
      <c r="C12" s="28"/>
      <c r="D12" s="28"/>
      <c r="E12" s="28"/>
      <c r="F12" s="28"/>
      <c r="G12" s="28"/>
      <c r="H12" s="28"/>
      <c r="I12" s="28"/>
      <c r="J12" s="32" t="s">
        <v>165</v>
      </c>
      <c r="K12" s="32"/>
      <c r="L12" s="32"/>
      <c r="M12" s="33" t="s">
        <v>166</v>
      </c>
      <c r="N12" s="33"/>
      <c r="O12" s="33"/>
      <c r="P12" s="33"/>
      <c r="Q12" s="33"/>
    </row>
    <row r="13" spans="2:17" x14ac:dyDescent="0.3">
      <c r="B13" s="29"/>
      <c r="C13" s="28"/>
      <c r="D13" s="28"/>
      <c r="E13" s="28"/>
      <c r="F13" s="28"/>
      <c r="G13" s="28"/>
      <c r="H13" s="28"/>
      <c r="I13" s="28"/>
      <c r="J13" s="32" t="s">
        <v>167</v>
      </c>
      <c r="K13" s="32"/>
      <c r="L13" s="32"/>
      <c r="M13" s="33">
        <v>4.3928000000000003</v>
      </c>
      <c r="N13" s="33"/>
      <c r="O13" s="33"/>
      <c r="P13" s="33"/>
      <c r="Q13" s="33"/>
    </row>
    <row r="14" spans="2:17" x14ac:dyDescent="0.3">
      <c r="B14" s="29"/>
      <c r="C14" s="28"/>
      <c r="D14" s="28"/>
      <c r="E14" s="28"/>
      <c r="F14" s="28"/>
      <c r="G14" s="28"/>
      <c r="H14" s="28"/>
      <c r="I14" s="28"/>
      <c r="J14" s="32" t="s">
        <v>168</v>
      </c>
      <c r="K14" s="32"/>
      <c r="L14" s="32"/>
      <c r="M14" s="34">
        <v>37094.86</v>
      </c>
      <c r="N14" s="33"/>
      <c r="O14" s="33"/>
      <c r="P14" s="33"/>
      <c r="Q14" s="33"/>
    </row>
    <row r="15" spans="2:17" x14ac:dyDescent="0.3">
      <c r="B15" s="29"/>
      <c r="C15" s="28"/>
      <c r="D15" s="28"/>
      <c r="E15" s="28"/>
      <c r="F15" s="28"/>
      <c r="G15" s="28"/>
      <c r="H15" s="28"/>
      <c r="I15" s="28"/>
      <c r="J15" s="32" t="s">
        <v>169</v>
      </c>
      <c r="K15" s="32"/>
      <c r="L15" s="32"/>
      <c r="M15" s="33">
        <v>3.3999999999999998E-3</v>
      </c>
      <c r="N15" s="33"/>
      <c r="O15" s="33"/>
      <c r="P15" s="33"/>
      <c r="Q15" s="33"/>
    </row>
    <row r="16" spans="2:17" x14ac:dyDescent="0.3">
      <c r="B16" s="29"/>
      <c r="C16" s="28"/>
      <c r="D16" s="28"/>
      <c r="E16" s="28"/>
      <c r="F16" s="28"/>
      <c r="G16" s="28"/>
      <c r="H16" s="28"/>
      <c r="I16" s="28"/>
      <c r="J16" s="32" t="s">
        <v>170</v>
      </c>
      <c r="K16" s="32"/>
      <c r="L16" s="32"/>
      <c r="M16" s="34">
        <v>21768.240000000002</v>
      </c>
      <c r="N16" s="33"/>
      <c r="O16" s="33"/>
      <c r="P16" s="33"/>
      <c r="Q16" s="33"/>
    </row>
  </sheetData>
  <mergeCells count="40">
    <mergeCell ref="M13:Q13"/>
    <mergeCell ref="J14:L14"/>
    <mergeCell ref="M14:Q14"/>
    <mergeCell ref="J15:L15"/>
    <mergeCell ref="M15:Q15"/>
    <mergeCell ref="J16:L16"/>
    <mergeCell ref="M16:Q16"/>
    <mergeCell ref="P6:Q6"/>
    <mergeCell ref="P7:Q7"/>
    <mergeCell ref="P8:Q8"/>
    <mergeCell ref="B10:I16"/>
    <mergeCell ref="J10:Q10"/>
    <mergeCell ref="J11:L11"/>
    <mergeCell ref="M11:Q11"/>
    <mergeCell ref="J12:L12"/>
    <mergeCell ref="M12:Q12"/>
    <mergeCell ref="J13:L13"/>
    <mergeCell ref="L6:M6"/>
    <mergeCell ref="L7:M7"/>
    <mergeCell ref="L8:M8"/>
    <mergeCell ref="N6:O6"/>
    <mergeCell ref="N7:O7"/>
    <mergeCell ref="N8:O8"/>
    <mergeCell ref="F8:G8"/>
    <mergeCell ref="H6:I6"/>
    <mergeCell ref="H7:I7"/>
    <mergeCell ref="H8:I8"/>
    <mergeCell ref="J6:K6"/>
    <mergeCell ref="J7:K7"/>
    <mergeCell ref="J8:K8"/>
    <mergeCell ref="B2:Q2"/>
    <mergeCell ref="B3:Q4"/>
    <mergeCell ref="B6:C6"/>
    <mergeCell ref="B7:C7"/>
    <mergeCell ref="B8:C8"/>
    <mergeCell ref="D6:E6"/>
    <mergeCell ref="D7:E7"/>
    <mergeCell ref="D8:E8"/>
    <mergeCell ref="F6:G6"/>
    <mergeCell ref="F7:G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78991-8C36-4051-9F7F-FBF66D394520}">
  <sheetPr codeName="Sheet4"/>
  <dimension ref="A1:AE1001"/>
  <sheetViews>
    <sheetView workbookViewId="0"/>
  </sheetViews>
  <sheetFormatPr defaultRowHeight="14.4" x14ac:dyDescent="0.3"/>
  <cols>
    <col min="1" max="1" width="12.109375" bestFit="1" customWidth="1"/>
    <col min="2" max="2" width="11.21875" bestFit="1" customWidth="1"/>
    <col min="3" max="3" width="14.44140625" bestFit="1" customWidth="1"/>
    <col min="4" max="4" width="10.6640625" bestFit="1" customWidth="1"/>
    <col min="5" max="5" width="14.44140625" bestFit="1" customWidth="1"/>
    <col min="6" max="6" width="11.6640625" bestFit="1" customWidth="1"/>
    <col min="7" max="7" width="11.33203125" bestFit="1" customWidth="1"/>
    <col min="9" max="9" width="12.44140625" bestFit="1" customWidth="1"/>
    <col min="10" max="10" width="14.44140625" bestFit="1" customWidth="1"/>
    <col min="13" max="13" width="12.44140625" bestFit="1" customWidth="1"/>
    <col min="14" max="14" width="16" bestFit="1" customWidth="1"/>
    <col min="17" max="17" width="12.44140625" bestFit="1" customWidth="1"/>
    <col min="18" max="18" width="14.5546875" bestFit="1" customWidth="1"/>
    <col min="21" max="21" width="12.44140625" bestFit="1" customWidth="1"/>
    <col min="22" max="22" width="16.33203125" bestFit="1" customWidth="1"/>
    <col min="23" max="23" width="17.33203125" bestFit="1" customWidth="1"/>
  </cols>
  <sheetData>
    <row r="1" spans="1:31" x14ac:dyDescent="0.3">
      <c r="AA1" t="s">
        <v>129</v>
      </c>
      <c r="AB1" t="s">
        <v>130</v>
      </c>
      <c r="AD1" t="s">
        <v>138</v>
      </c>
      <c r="AE1" t="s">
        <v>139</v>
      </c>
    </row>
    <row r="2" spans="1:31" x14ac:dyDescent="0.3">
      <c r="AA2" t="s">
        <v>131</v>
      </c>
      <c r="AB2">
        <f>COUNTA(Raw_Data!A2:A1001)</f>
        <v>1000</v>
      </c>
      <c r="AD2">
        <v>1</v>
      </c>
      <c r="AE2">
        <f>Raw_Data!L2</f>
        <v>28219</v>
      </c>
    </row>
    <row r="3" spans="1:31" x14ac:dyDescent="0.3">
      <c r="A3" t="s">
        <v>115</v>
      </c>
      <c r="B3" t="s">
        <v>116</v>
      </c>
      <c r="C3" t="s">
        <v>117</v>
      </c>
      <c r="D3" t="s">
        <v>118</v>
      </c>
      <c r="E3" t="s">
        <v>119</v>
      </c>
      <c r="F3" t="s">
        <v>120</v>
      </c>
      <c r="G3" t="s">
        <v>121</v>
      </c>
      <c r="I3" s="6" t="s">
        <v>122</v>
      </c>
      <c r="J3" t="s">
        <v>124</v>
      </c>
      <c r="M3" s="6" t="s">
        <v>122</v>
      </c>
      <c r="N3" t="s">
        <v>125</v>
      </c>
      <c r="Q3" s="6" t="s">
        <v>122</v>
      </c>
      <c r="R3" t="s">
        <v>126</v>
      </c>
      <c r="U3" s="6" t="s">
        <v>122</v>
      </c>
      <c r="V3" t="s">
        <v>127</v>
      </c>
      <c r="W3" t="s">
        <v>128</v>
      </c>
      <c r="AA3" t="s">
        <v>132</v>
      </c>
      <c r="AB3">
        <f>SUM(Raw_Data!L2:L1001)</f>
        <v>39293438</v>
      </c>
      <c r="AD3">
        <v>2</v>
      </c>
      <c r="AE3">
        <f>Raw_Data!L3</f>
        <v>34562</v>
      </c>
    </row>
    <row r="4" spans="1:31" x14ac:dyDescent="0.3">
      <c r="A4" s="5">
        <v>39293438</v>
      </c>
      <c r="B4" s="5">
        <v>39293.438000000002</v>
      </c>
      <c r="C4" s="5">
        <v>21794.29991550458</v>
      </c>
      <c r="D4" s="5">
        <v>1000</v>
      </c>
      <c r="E4" s="5">
        <v>136817562</v>
      </c>
      <c r="F4" s="5">
        <v>146244</v>
      </c>
      <c r="G4" s="5">
        <v>12031</v>
      </c>
      <c r="I4" s="7">
        <v>2020</v>
      </c>
      <c r="J4" s="5">
        <v>6055238</v>
      </c>
      <c r="M4" s="7" t="s">
        <v>30</v>
      </c>
      <c r="N4" s="5">
        <v>4652150</v>
      </c>
      <c r="Q4" s="7" t="s">
        <v>31</v>
      </c>
      <c r="R4" s="5">
        <v>4391643</v>
      </c>
      <c r="U4" s="7" t="s">
        <v>30</v>
      </c>
      <c r="V4" s="5">
        <v>4652150</v>
      </c>
      <c r="W4" s="5">
        <v>16614850</v>
      </c>
      <c r="AA4" t="s">
        <v>133</v>
      </c>
      <c r="AB4">
        <f>AVERAGE(Raw_Data!L2:L1001)</f>
        <v>39293.438000000002</v>
      </c>
      <c r="AD4">
        <v>3</v>
      </c>
      <c r="AE4">
        <f>Raw_Data!L4</f>
        <v>16844</v>
      </c>
    </row>
    <row r="5" spans="1:31" x14ac:dyDescent="0.3">
      <c r="I5" s="7">
        <v>2021</v>
      </c>
      <c r="J5" s="5">
        <v>6482591</v>
      </c>
      <c r="M5" s="7" t="s">
        <v>20</v>
      </c>
      <c r="N5" s="5">
        <v>13802031</v>
      </c>
      <c r="Q5" s="7" t="s">
        <v>21</v>
      </c>
      <c r="R5" s="5">
        <v>27161075</v>
      </c>
      <c r="U5" s="7" t="s">
        <v>20</v>
      </c>
      <c r="V5" s="5">
        <v>13802031</v>
      </c>
      <c r="W5" s="5">
        <v>49292969</v>
      </c>
      <c r="AA5" t="s">
        <v>134</v>
      </c>
      <c r="AB5">
        <f>_xlfn.STDEV.S(Raw_Data!L2:L1001)</f>
        <v>21794.29991550458</v>
      </c>
      <c r="AD5">
        <v>4</v>
      </c>
      <c r="AE5">
        <f>Raw_Data!L5</f>
        <v>41125</v>
      </c>
    </row>
    <row r="6" spans="1:31" x14ac:dyDescent="0.3">
      <c r="I6" s="7">
        <v>2022</v>
      </c>
      <c r="J6" s="5">
        <v>6546525</v>
      </c>
      <c r="M6" s="7" t="s">
        <v>34</v>
      </c>
      <c r="N6" s="5">
        <v>20839257</v>
      </c>
      <c r="Q6" s="7" t="s">
        <v>35</v>
      </c>
      <c r="R6" s="5">
        <v>7740720</v>
      </c>
      <c r="U6" s="7" t="s">
        <v>34</v>
      </c>
      <c r="V6" s="5">
        <v>20839257</v>
      </c>
      <c r="W6" s="5">
        <v>70909743</v>
      </c>
      <c r="AA6" t="s">
        <v>135</v>
      </c>
      <c r="AB6">
        <f>MEDIAN(Raw_Data!L2:L1001)</f>
        <v>34671.5</v>
      </c>
      <c r="AD6">
        <v>5</v>
      </c>
      <c r="AE6">
        <f>Raw_Data!L6</f>
        <v>51588</v>
      </c>
    </row>
    <row r="7" spans="1:31" x14ac:dyDescent="0.3">
      <c r="I7" s="7">
        <v>2023</v>
      </c>
      <c r="J7" s="5">
        <v>6221006</v>
      </c>
      <c r="M7" s="7" t="s">
        <v>123</v>
      </c>
      <c r="N7" s="5">
        <v>39293438</v>
      </c>
      <c r="Q7" s="7" t="s">
        <v>123</v>
      </c>
      <c r="R7" s="5">
        <v>39293438</v>
      </c>
      <c r="U7" s="7" t="s">
        <v>123</v>
      </c>
      <c r="V7" s="5">
        <v>39293438</v>
      </c>
      <c r="W7" s="5">
        <v>136817562</v>
      </c>
      <c r="AA7" t="s">
        <v>136</v>
      </c>
      <c r="AB7">
        <f>_xlfn.PERCENTILE.INC(Raw_Data!L2:L1001, 0.25)</f>
        <v>22750</v>
      </c>
      <c r="AD7">
        <v>6</v>
      </c>
      <c r="AE7">
        <f>Raw_Data!L7</f>
        <v>48038</v>
      </c>
    </row>
    <row r="8" spans="1:31" x14ac:dyDescent="0.3">
      <c r="I8" s="7">
        <v>2024</v>
      </c>
      <c r="J8" s="5">
        <v>7241686</v>
      </c>
      <c r="AA8" t="s">
        <v>137</v>
      </c>
      <c r="AB8">
        <f>_xlfn.PERCENTILE.INC(Raw_Data!L2:L1001, 0.75)</f>
        <v>47031</v>
      </c>
      <c r="AD8">
        <v>7</v>
      </c>
      <c r="AE8">
        <f>Raw_Data!L8</f>
        <v>17062</v>
      </c>
    </row>
    <row r="9" spans="1:31" x14ac:dyDescent="0.3">
      <c r="I9" s="7">
        <v>2025</v>
      </c>
      <c r="J9" s="5">
        <v>6746392</v>
      </c>
      <c r="AD9">
        <v>8</v>
      </c>
      <c r="AE9">
        <f>Raw_Data!L9</f>
        <v>20562</v>
      </c>
    </row>
    <row r="10" spans="1:31" x14ac:dyDescent="0.3">
      <c r="I10" s="7" t="s">
        <v>123</v>
      </c>
      <c r="J10" s="5">
        <v>39293438</v>
      </c>
      <c r="AA10" t="s">
        <v>140</v>
      </c>
      <c r="AB10">
        <f>SLOPE(AE2:AE1001, AD2:AD1001)</f>
        <v>4.3927702087702079</v>
      </c>
      <c r="AD10">
        <v>9</v>
      </c>
      <c r="AE10">
        <f>Raw_Data!L10</f>
        <v>26906</v>
      </c>
    </row>
    <row r="11" spans="1:31" x14ac:dyDescent="0.3">
      <c r="AA11" t="s">
        <v>141</v>
      </c>
      <c r="AB11">
        <f>INTERCEPT(AE2:AE1001, AD2:AD1001)</f>
        <v>37094.856510510515</v>
      </c>
      <c r="AD11">
        <v>10</v>
      </c>
      <c r="AE11">
        <f>Raw_Data!L11</f>
        <v>45938</v>
      </c>
    </row>
    <row r="12" spans="1:31" x14ac:dyDescent="0.3">
      <c r="AA12" t="s">
        <v>142</v>
      </c>
      <c r="AB12">
        <f>RSQ(AE2:AE1001, AD2:AD1001)</f>
        <v>3.3887845324648259E-3</v>
      </c>
      <c r="AD12">
        <v>11</v>
      </c>
      <c r="AE12">
        <f>Raw_Data!L12</f>
        <v>29750</v>
      </c>
    </row>
    <row r="13" spans="1:31" x14ac:dyDescent="0.3">
      <c r="AA13" t="s">
        <v>143</v>
      </c>
      <c r="AB13">
        <f>STEYX(AE2:AE1001, AD2:AD1001)</f>
        <v>21768.238225792404</v>
      </c>
      <c r="AD13">
        <v>12</v>
      </c>
      <c r="AE13">
        <f>Raw_Data!L13</f>
        <v>33906</v>
      </c>
    </row>
    <row r="14" spans="1:31" x14ac:dyDescent="0.3">
      <c r="AA14" t="s">
        <v>144</v>
      </c>
      <c r="AB14">
        <f>AB10*1001+AB11</f>
        <v>41492.019489489496</v>
      </c>
      <c r="AD14">
        <v>13</v>
      </c>
      <c r="AE14">
        <f>Raw_Data!L14</f>
        <v>64531</v>
      </c>
    </row>
    <row r="15" spans="1:31" x14ac:dyDescent="0.3">
      <c r="AD15">
        <v>14</v>
      </c>
      <c r="AE15">
        <f>Raw_Data!L15</f>
        <v>16406</v>
      </c>
    </row>
    <row r="16" spans="1:31" x14ac:dyDescent="0.3">
      <c r="AD16">
        <v>15</v>
      </c>
      <c r="AE16">
        <f>Raw_Data!L16</f>
        <v>36531</v>
      </c>
    </row>
    <row r="17" spans="30:31" x14ac:dyDescent="0.3">
      <c r="AD17">
        <v>16</v>
      </c>
      <c r="AE17">
        <f>Raw_Data!L17</f>
        <v>38500</v>
      </c>
    </row>
    <row r="18" spans="30:31" x14ac:dyDescent="0.3">
      <c r="AD18">
        <v>17</v>
      </c>
      <c r="AE18">
        <f>Raw_Data!L18</f>
        <v>17062</v>
      </c>
    </row>
    <row r="19" spans="30:31" x14ac:dyDescent="0.3">
      <c r="AD19">
        <v>18</v>
      </c>
      <c r="AE19">
        <f>Raw_Data!L19</f>
        <v>20781</v>
      </c>
    </row>
    <row r="20" spans="30:31" x14ac:dyDescent="0.3">
      <c r="AD20">
        <v>19</v>
      </c>
      <c r="AE20">
        <f>Raw_Data!L20</f>
        <v>48781</v>
      </c>
    </row>
    <row r="21" spans="30:31" x14ac:dyDescent="0.3">
      <c r="AD21">
        <v>20</v>
      </c>
      <c r="AE21">
        <f>Raw_Data!L21</f>
        <v>45281</v>
      </c>
    </row>
    <row r="22" spans="30:31" x14ac:dyDescent="0.3">
      <c r="AD22">
        <v>21</v>
      </c>
      <c r="AE22">
        <f>Raw_Data!L22</f>
        <v>52771</v>
      </c>
    </row>
    <row r="23" spans="30:31" x14ac:dyDescent="0.3">
      <c r="AD23">
        <v>22</v>
      </c>
      <c r="AE23">
        <f>Raw_Data!L23</f>
        <v>39156</v>
      </c>
    </row>
    <row r="24" spans="30:31" x14ac:dyDescent="0.3">
      <c r="AD24">
        <v>23</v>
      </c>
      <c r="AE24">
        <f>Raw_Data!L24</f>
        <v>49438</v>
      </c>
    </row>
    <row r="25" spans="30:31" x14ac:dyDescent="0.3">
      <c r="AD25">
        <v>24</v>
      </c>
      <c r="AE25">
        <f>Raw_Data!L25</f>
        <v>37188</v>
      </c>
    </row>
    <row r="26" spans="30:31" x14ac:dyDescent="0.3">
      <c r="AD26">
        <v>25</v>
      </c>
      <c r="AE26">
        <f>Raw_Data!L26</f>
        <v>41125</v>
      </c>
    </row>
    <row r="27" spans="30:31" x14ac:dyDescent="0.3">
      <c r="AD27">
        <v>26</v>
      </c>
      <c r="AE27">
        <f>Raw_Data!L27</f>
        <v>16625</v>
      </c>
    </row>
    <row r="28" spans="30:31" x14ac:dyDescent="0.3">
      <c r="AD28">
        <v>27</v>
      </c>
      <c r="AE28">
        <f>Raw_Data!L28</f>
        <v>19906</v>
      </c>
    </row>
    <row r="29" spans="30:31" x14ac:dyDescent="0.3">
      <c r="AD29">
        <v>28</v>
      </c>
      <c r="AE29">
        <f>Raw_Data!L29</f>
        <v>62344</v>
      </c>
    </row>
    <row r="30" spans="30:31" x14ac:dyDescent="0.3">
      <c r="AD30">
        <v>29</v>
      </c>
      <c r="AE30">
        <f>Raw_Data!L30</f>
        <v>44188</v>
      </c>
    </row>
    <row r="31" spans="30:31" x14ac:dyDescent="0.3">
      <c r="AD31">
        <v>30</v>
      </c>
      <c r="AE31">
        <f>Raw_Data!L31</f>
        <v>17500</v>
      </c>
    </row>
    <row r="32" spans="30:31" x14ac:dyDescent="0.3">
      <c r="AD32">
        <v>31</v>
      </c>
      <c r="AE32">
        <f>Raw_Data!L32</f>
        <v>16625</v>
      </c>
    </row>
    <row r="33" spans="30:31" x14ac:dyDescent="0.3">
      <c r="AD33">
        <v>32</v>
      </c>
      <c r="AE33">
        <f>Raw_Data!L33</f>
        <v>47688</v>
      </c>
    </row>
    <row r="34" spans="30:31" x14ac:dyDescent="0.3">
      <c r="AD34">
        <v>33</v>
      </c>
      <c r="AE34">
        <f>Raw_Data!L34</f>
        <v>51188</v>
      </c>
    </row>
    <row r="35" spans="30:31" x14ac:dyDescent="0.3">
      <c r="AD35">
        <v>34</v>
      </c>
      <c r="AE35">
        <f>Raw_Data!L35</f>
        <v>19688</v>
      </c>
    </row>
    <row r="36" spans="30:31" x14ac:dyDescent="0.3">
      <c r="AD36">
        <v>35</v>
      </c>
      <c r="AE36">
        <f>Raw_Data!L36</f>
        <v>20781</v>
      </c>
    </row>
    <row r="37" spans="30:31" x14ac:dyDescent="0.3">
      <c r="AD37">
        <v>36</v>
      </c>
      <c r="AE37">
        <f>Raw_Data!L37</f>
        <v>27781</v>
      </c>
    </row>
    <row r="38" spans="30:31" x14ac:dyDescent="0.3">
      <c r="AD38">
        <v>37</v>
      </c>
      <c r="AE38">
        <f>Raw_Data!L38</f>
        <v>16625</v>
      </c>
    </row>
    <row r="39" spans="30:31" x14ac:dyDescent="0.3">
      <c r="AD39">
        <v>38</v>
      </c>
      <c r="AE39">
        <f>Raw_Data!L39</f>
        <v>24062</v>
      </c>
    </row>
    <row r="40" spans="30:31" x14ac:dyDescent="0.3">
      <c r="AD40">
        <v>39</v>
      </c>
      <c r="AE40">
        <f>Raw_Data!L40</f>
        <v>47031</v>
      </c>
    </row>
    <row r="41" spans="30:31" x14ac:dyDescent="0.3">
      <c r="AD41">
        <v>40</v>
      </c>
      <c r="AE41">
        <f>Raw_Data!L41</f>
        <v>24938</v>
      </c>
    </row>
    <row r="42" spans="30:31" x14ac:dyDescent="0.3">
      <c r="AD42">
        <v>41</v>
      </c>
      <c r="AE42">
        <f>Raw_Data!L42</f>
        <v>32375</v>
      </c>
    </row>
    <row r="43" spans="30:31" x14ac:dyDescent="0.3">
      <c r="AD43">
        <v>42</v>
      </c>
      <c r="AE43">
        <f>Raw_Data!L43</f>
        <v>16406</v>
      </c>
    </row>
    <row r="44" spans="30:31" x14ac:dyDescent="0.3">
      <c r="AD44">
        <v>43</v>
      </c>
      <c r="AE44">
        <f>Raw_Data!L44</f>
        <v>22094</v>
      </c>
    </row>
    <row r="45" spans="30:31" x14ac:dyDescent="0.3">
      <c r="AD45">
        <v>44</v>
      </c>
      <c r="AE45">
        <f>Raw_Data!L45</f>
        <v>17281</v>
      </c>
    </row>
    <row r="46" spans="30:31" x14ac:dyDescent="0.3">
      <c r="AD46">
        <v>45</v>
      </c>
      <c r="AE46">
        <f>Raw_Data!L46</f>
        <v>30406</v>
      </c>
    </row>
    <row r="47" spans="30:31" x14ac:dyDescent="0.3">
      <c r="AD47">
        <v>46</v>
      </c>
      <c r="AE47">
        <f>Raw_Data!L47</f>
        <v>35875</v>
      </c>
    </row>
    <row r="48" spans="30:31" x14ac:dyDescent="0.3">
      <c r="AD48">
        <v>47</v>
      </c>
      <c r="AE48">
        <f>Raw_Data!L48</f>
        <v>28219</v>
      </c>
    </row>
    <row r="49" spans="30:31" x14ac:dyDescent="0.3">
      <c r="AD49">
        <v>48</v>
      </c>
      <c r="AE49">
        <f>Raw_Data!L49</f>
        <v>72176</v>
      </c>
    </row>
    <row r="50" spans="30:31" x14ac:dyDescent="0.3">
      <c r="AD50">
        <v>49</v>
      </c>
      <c r="AE50">
        <f>Raw_Data!L50</f>
        <v>80221</v>
      </c>
    </row>
    <row r="51" spans="30:31" x14ac:dyDescent="0.3">
      <c r="AD51">
        <v>50</v>
      </c>
      <c r="AE51">
        <f>Raw_Data!L51</f>
        <v>38281</v>
      </c>
    </row>
    <row r="52" spans="30:31" x14ac:dyDescent="0.3">
      <c r="AD52">
        <v>51</v>
      </c>
      <c r="AE52">
        <f>Raw_Data!L52</f>
        <v>29312</v>
      </c>
    </row>
    <row r="53" spans="30:31" x14ac:dyDescent="0.3">
      <c r="AD53">
        <v>52</v>
      </c>
      <c r="AE53">
        <f>Raw_Data!L53</f>
        <v>78328</v>
      </c>
    </row>
    <row r="54" spans="30:31" x14ac:dyDescent="0.3">
      <c r="AD54">
        <v>53</v>
      </c>
      <c r="AE54">
        <f>Raw_Data!L54</f>
        <v>37625</v>
      </c>
    </row>
    <row r="55" spans="30:31" x14ac:dyDescent="0.3">
      <c r="AD55">
        <v>54</v>
      </c>
      <c r="AE55">
        <f>Raw_Data!L55</f>
        <v>17938</v>
      </c>
    </row>
    <row r="56" spans="30:31" x14ac:dyDescent="0.3">
      <c r="AD56">
        <v>55</v>
      </c>
      <c r="AE56">
        <f>Raw_Data!L56</f>
        <v>31938</v>
      </c>
    </row>
    <row r="57" spans="30:31" x14ac:dyDescent="0.3">
      <c r="AD57">
        <v>56</v>
      </c>
      <c r="AE57">
        <f>Raw_Data!L57</f>
        <v>26469</v>
      </c>
    </row>
    <row r="58" spans="30:31" x14ac:dyDescent="0.3">
      <c r="AD58">
        <v>57</v>
      </c>
      <c r="AE58">
        <f>Raw_Data!L58</f>
        <v>22312</v>
      </c>
    </row>
    <row r="59" spans="30:31" x14ac:dyDescent="0.3">
      <c r="AD59">
        <v>58</v>
      </c>
      <c r="AE59">
        <f>Raw_Data!L59</f>
        <v>52061</v>
      </c>
    </row>
    <row r="60" spans="30:31" x14ac:dyDescent="0.3">
      <c r="AD60">
        <v>59</v>
      </c>
      <c r="AE60">
        <f>Raw_Data!L60</f>
        <v>29312</v>
      </c>
    </row>
    <row r="61" spans="30:31" x14ac:dyDescent="0.3">
      <c r="AD61">
        <v>60</v>
      </c>
      <c r="AE61">
        <f>Raw_Data!L61</f>
        <v>78328</v>
      </c>
    </row>
    <row r="62" spans="30:31" x14ac:dyDescent="0.3">
      <c r="AD62">
        <v>61</v>
      </c>
      <c r="AE62">
        <f>Raw_Data!L62</f>
        <v>26469</v>
      </c>
    </row>
    <row r="63" spans="30:31" x14ac:dyDescent="0.3">
      <c r="AD63">
        <v>62</v>
      </c>
      <c r="AE63">
        <f>Raw_Data!L63</f>
        <v>39156</v>
      </c>
    </row>
    <row r="64" spans="30:31" x14ac:dyDescent="0.3">
      <c r="AD64">
        <v>63</v>
      </c>
      <c r="AE64">
        <f>Raw_Data!L64</f>
        <v>40031</v>
      </c>
    </row>
    <row r="65" spans="30:31" x14ac:dyDescent="0.3">
      <c r="AD65">
        <v>64</v>
      </c>
      <c r="AE65">
        <f>Raw_Data!L65</f>
        <v>34125</v>
      </c>
    </row>
    <row r="66" spans="30:31" x14ac:dyDescent="0.3">
      <c r="AD66">
        <v>65</v>
      </c>
      <c r="AE66">
        <f>Raw_Data!L66</f>
        <v>22531</v>
      </c>
    </row>
    <row r="67" spans="30:31" x14ac:dyDescent="0.3">
      <c r="AD67">
        <v>66</v>
      </c>
      <c r="AE67">
        <f>Raw_Data!L67</f>
        <v>60375</v>
      </c>
    </row>
    <row r="68" spans="30:31" x14ac:dyDescent="0.3">
      <c r="AD68">
        <v>67</v>
      </c>
      <c r="AE68">
        <f>Raw_Data!L68</f>
        <v>18375</v>
      </c>
    </row>
    <row r="69" spans="30:31" x14ac:dyDescent="0.3">
      <c r="AD69">
        <v>68</v>
      </c>
      <c r="AE69">
        <f>Raw_Data!L69</f>
        <v>18375</v>
      </c>
    </row>
    <row r="70" spans="30:31" x14ac:dyDescent="0.3">
      <c r="AD70">
        <v>69</v>
      </c>
      <c r="AE70">
        <f>Raw_Data!L70</f>
        <v>45500</v>
      </c>
    </row>
    <row r="71" spans="30:31" x14ac:dyDescent="0.3">
      <c r="AD71">
        <v>70</v>
      </c>
      <c r="AE71">
        <f>Raw_Data!L71</f>
        <v>14000</v>
      </c>
    </row>
    <row r="72" spans="30:31" x14ac:dyDescent="0.3">
      <c r="AD72">
        <v>71</v>
      </c>
      <c r="AE72">
        <f>Raw_Data!L72</f>
        <v>26469</v>
      </c>
    </row>
    <row r="73" spans="30:31" x14ac:dyDescent="0.3">
      <c r="AD73">
        <v>72</v>
      </c>
      <c r="AE73">
        <f>Raw_Data!L73</f>
        <v>21875</v>
      </c>
    </row>
    <row r="74" spans="30:31" x14ac:dyDescent="0.3">
      <c r="AD74">
        <v>73</v>
      </c>
      <c r="AE74">
        <f>Raw_Data!L74</f>
        <v>46812</v>
      </c>
    </row>
    <row r="75" spans="30:31" x14ac:dyDescent="0.3">
      <c r="AD75">
        <v>74</v>
      </c>
      <c r="AE75">
        <f>Raw_Data!L75</f>
        <v>18812</v>
      </c>
    </row>
    <row r="76" spans="30:31" x14ac:dyDescent="0.3">
      <c r="AD76">
        <v>75</v>
      </c>
      <c r="AE76">
        <f>Raw_Data!L76</f>
        <v>22531</v>
      </c>
    </row>
    <row r="77" spans="30:31" x14ac:dyDescent="0.3">
      <c r="AD77">
        <v>76</v>
      </c>
      <c r="AE77">
        <f>Raw_Data!L77</f>
        <v>37844</v>
      </c>
    </row>
    <row r="78" spans="30:31" x14ac:dyDescent="0.3">
      <c r="AD78">
        <v>77</v>
      </c>
      <c r="AE78">
        <f>Raw_Data!L78</f>
        <v>33031</v>
      </c>
    </row>
    <row r="79" spans="30:31" x14ac:dyDescent="0.3">
      <c r="AD79">
        <v>78</v>
      </c>
      <c r="AE79">
        <f>Raw_Data!L79</f>
        <v>44625</v>
      </c>
    </row>
    <row r="80" spans="30:31" x14ac:dyDescent="0.3">
      <c r="AD80">
        <v>79</v>
      </c>
      <c r="AE80">
        <f>Raw_Data!L80</f>
        <v>15312</v>
      </c>
    </row>
    <row r="81" spans="30:31" x14ac:dyDescent="0.3">
      <c r="AD81">
        <v>80</v>
      </c>
      <c r="AE81">
        <f>Raw_Data!L81</f>
        <v>46812</v>
      </c>
    </row>
    <row r="82" spans="30:31" x14ac:dyDescent="0.3">
      <c r="AD82">
        <v>81</v>
      </c>
      <c r="AE82">
        <f>Raw_Data!L82</f>
        <v>104562</v>
      </c>
    </row>
    <row r="83" spans="30:31" x14ac:dyDescent="0.3">
      <c r="AD83">
        <v>82</v>
      </c>
      <c r="AE83">
        <f>Raw_Data!L83</f>
        <v>64531</v>
      </c>
    </row>
    <row r="84" spans="30:31" x14ac:dyDescent="0.3">
      <c r="AD84">
        <v>83</v>
      </c>
      <c r="AE84">
        <f>Raw_Data!L84</f>
        <v>45281</v>
      </c>
    </row>
    <row r="85" spans="30:31" x14ac:dyDescent="0.3">
      <c r="AD85">
        <v>84</v>
      </c>
      <c r="AE85">
        <f>Raw_Data!L85</f>
        <v>79038</v>
      </c>
    </row>
    <row r="86" spans="30:31" x14ac:dyDescent="0.3">
      <c r="AD86">
        <v>85</v>
      </c>
      <c r="AE86">
        <f>Raw_Data!L86</f>
        <v>22750</v>
      </c>
    </row>
    <row r="87" spans="30:31" x14ac:dyDescent="0.3">
      <c r="AD87">
        <v>86</v>
      </c>
      <c r="AE87">
        <f>Raw_Data!L87</f>
        <v>17062</v>
      </c>
    </row>
    <row r="88" spans="30:31" x14ac:dyDescent="0.3">
      <c r="AD88">
        <v>87</v>
      </c>
      <c r="AE88">
        <f>Raw_Data!L88</f>
        <v>20125</v>
      </c>
    </row>
    <row r="89" spans="30:31" x14ac:dyDescent="0.3">
      <c r="AD89">
        <v>88</v>
      </c>
      <c r="AE89">
        <f>Raw_Data!L89</f>
        <v>21219</v>
      </c>
    </row>
    <row r="90" spans="30:31" x14ac:dyDescent="0.3">
      <c r="AD90">
        <v>89</v>
      </c>
      <c r="AE90">
        <f>Raw_Data!L90</f>
        <v>29094</v>
      </c>
    </row>
    <row r="91" spans="30:31" x14ac:dyDescent="0.3">
      <c r="AD91">
        <v>90</v>
      </c>
      <c r="AE91">
        <f>Raw_Data!L91</f>
        <v>46156</v>
      </c>
    </row>
    <row r="92" spans="30:31" x14ac:dyDescent="0.3">
      <c r="AD92">
        <v>91</v>
      </c>
      <c r="AE92">
        <f>Raw_Data!L92</f>
        <v>52771</v>
      </c>
    </row>
    <row r="93" spans="30:31" x14ac:dyDescent="0.3">
      <c r="AD93">
        <v>92</v>
      </c>
      <c r="AE93">
        <f>Raw_Data!L93</f>
        <v>81168</v>
      </c>
    </row>
    <row r="94" spans="30:31" x14ac:dyDescent="0.3">
      <c r="AD94">
        <v>93</v>
      </c>
      <c r="AE94">
        <f>Raw_Data!L94</f>
        <v>15531</v>
      </c>
    </row>
    <row r="95" spans="30:31" x14ac:dyDescent="0.3">
      <c r="AD95">
        <v>94</v>
      </c>
      <c r="AE95">
        <f>Raw_Data!L95</f>
        <v>64366</v>
      </c>
    </row>
    <row r="96" spans="30:31" x14ac:dyDescent="0.3">
      <c r="AD96">
        <v>95</v>
      </c>
      <c r="AE96">
        <f>Raw_Data!L96</f>
        <v>37844</v>
      </c>
    </row>
    <row r="97" spans="30:31" x14ac:dyDescent="0.3">
      <c r="AD97">
        <v>96</v>
      </c>
      <c r="AE97">
        <f>Raw_Data!L97</f>
        <v>42875</v>
      </c>
    </row>
    <row r="98" spans="30:31" x14ac:dyDescent="0.3">
      <c r="AD98">
        <v>97</v>
      </c>
      <c r="AE98">
        <f>Raw_Data!L98</f>
        <v>37844</v>
      </c>
    </row>
    <row r="99" spans="30:31" x14ac:dyDescent="0.3">
      <c r="AD99">
        <v>98</v>
      </c>
      <c r="AE99">
        <f>Raw_Data!L99</f>
        <v>35219</v>
      </c>
    </row>
    <row r="100" spans="30:31" x14ac:dyDescent="0.3">
      <c r="AD100">
        <v>99</v>
      </c>
      <c r="AE100">
        <f>Raw_Data!L100</f>
        <v>25812</v>
      </c>
    </row>
    <row r="101" spans="30:31" x14ac:dyDescent="0.3">
      <c r="AD101">
        <v>100</v>
      </c>
      <c r="AE101">
        <f>Raw_Data!L101</f>
        <v>62781</v>
      </c>
    </row>
    <row r="102" spans="30:31" x14ac:dyDescent="0.3">
      <c r="AD102">
        <v>101</v>
      </c>
      <c r="AE102">
        <f>Raw_Data!L102</f>
        <v>27781</v>
      </c>
    </row>
    <row r="103" spans="30:31" x14ac:dyDescent="0.3">
      <c r="AD103">
        <v>102</v>
      </c>
      <c r="AE103">
        <f>Raw_Data!L103</f>
        <v>24281</v>
      </c>
    </row>
    <row r="104" spans="30:31" x14ac:dyDescent="0.3">
      <c r="AD104">
        <v>103</v>
      </c>
      <c r="AE104">
        <f>Raw_Data!L104</f>
        <v>36969</v>
      </c>
    </row>
    <row r="105" spans="30:31" x14ac:dyDescent="0.3">
      <c r="AD105">
        <v>104</v>
      </c>
      <c r="AE105">
        <f>Raw_Data!L105</f>
        <v>36750</v>
      </c>
    </row>
    <row r="106" spans="30:31" x14ac:dyDescent="0.3">
      <c r="AD106">
        <v>105</v>
      </c>
      <c r="AE106">
        <f>Raw_Data!L106</f>
        <v>50312</v>
      </c>
    </row>
    <row r="107" spans="30:31" x14ac:dyDescent="0.3">
      <c r="AD107">
        <v>106</v>
      </c>
      <c r="AE107">
        <f>Raw_Data!L107</f>
        <v>19469</v>
      </c>
    </row>
    <row r="108" spans="30:31" x14ac:dyDescent="0.3">
      <c r="AD108">
        <v>107</v>
      </c>
      <c r="AE108">
        <f>Raw_Data!L108</f>
        <v>31938</v>
      </c>
    </row>
    <row r="109" spans="30:31" x14ac:dyDescent="0.3">
      <c r="AD109">
        <v>108</v>
      </c>
      <c r="AE109">
        <f>Raw_Data!L109</f>
        <v>19031</v>
      </c>
    </row>
    <row r="110" spans="30:31" x14ac:dyDescent="0.3">
      <c r="AD110">
        <v>109</v>
      </c>
      <c r="AE110">
        <f>Raw_Data!L110</f>
        <v>56557</v>
      </c>
    </row>
    <row r="111" spans="30:31" x14ac:dyDescent="0.3">
      <c r="AD111">
        <v>110</v>
      </c>
      <c r="AE111">
        <f>Raw_Data!L111</f>
        <v>28656</v>
      </c>
    </row>
    <row r="112" spans="30:31" x14ac:dyDescent="0.3">
      <c r="AD112">
        <v>111</v>
      </c>
      <c r="AE112">
        <f>Raw_Data!L112</f>
        <v>35656</v>
      </c>
    </row>
    <row r="113" spans="30:31" x14ac:dyDescent="0.3">
      <c r="AD113">
        <v>112</v>
      </c>
      <c r="AE113">
        <f>Raw_Data!L113</f>
        <v>73595</v>
      </c>
    </row>
    <row r="114" spans="30:31" x14ac:dyDescent="0.3">
      <c r="AD114">
        <v>113</v>
      </c>
      <c r="AE114">
        <f>Raw_Data!L114</f>
        <v>59500</v>
      </c>
    </row>
    <row r="115" spans="30:31" x14ac:dyDescent="0.3">
      <c r="AD115">
        <v>114</v>
      </c>
      <c r="AE115">
        <f>Raw_Data!L115</f>
        <v>31719</v>
      </c>
    </row>
    <row r="116" spans="30:31" x14ac:dyDescent="0.3">
      <c r="AD116">
        <v>115</v>
      </c>
      <c r="AE116">
        <f>Raw_Data!L116</f>
        <v>47031</v>
      </c>
    </row>
    <row r="117" spans="30:31" x14ac:dyDescent="0.3">
      <c r="AD117">
        <v>116</v>
      </c>
      <c r="AE117">
        <f>Raw_Data!L117</f>
        <v>19250</v>
      </c>
    </row>
    <row r="118" spans="30:31" x14ac:dyDescent="0.3">
      <c r="AD118">
        <v>117</v>
      </c>
      <c r="AE118">
        <f>Raw_Data!L118</f>
        <v>19469</v>
      </c>
    </row>
    <row r="119" spans="30:31" x14ac:dyDescent="0.3">
      <c r="AD119">
        <v>118</v>
      </c>
      <c r="AE119">
        <f>Raw_Data!L119</f>
        <v>28000</v>
      </c>
    </row>
    <row r="120" spans="30:31" x14ac:dyDescent="0.3">
      <c r="AD120">
        <v>119</v>
      </c>
      <c r="AE120">
        <f>Raw_Data!L120</f>
        <v>94500</v>
      </c>
    </row>
    <row r="121" spans="30:31" x14ac:dyDescent="0.3">
      <c r="AD121">
        <v>120</v>
      </c>
      <c r="AE121">
        <f>Raw_Data!L121</f>
        <v>29312</v>
      </c>
    </row>
    <row r="122" spans="30:31" x14ac:dyDescent="0.3">
      <c r="AD122">
        <v>121</v>
      </c>
      <c r="AE122">
        <f>Raw_Data!L122</f>
        <v>16406</v>
      </c>
    </row>
    <row r="123" spans="30:31" x14ac:dyDescent="0.3">
      <c r="AD123">
        <v>122</v>
      </c>
      <c r="AE123">
        <f>Raw_Data!L123</f>
        <v>17281</v>
      </c>
    </row>
    <row r="124" spans="30:31" x14ac:dyDescent="0.3">
      <c r="AD124">
        <v>123</v>
      </c>
      <c r="AE124">
        <f>Raw_Data!L124</f>
        <v>15531</v>
      </c>
    </row>
    <row r="125" spans="30:31" x14ac:dyDescent="0.3">
      <c r="AD125">
        <v>124</v>
      </c>
      <c r="AE125">
        <f>Raw_Data!L125</f>
        <v>40469</v>
      </c>
    </row>
    <row r="126" spans="30:31" x14ac:dyDescent="0.3">
      <c r="AD126">
        <v>125</v>
      </c>
      <c r="AE126">
        <f>Raw_Data!L126</f>
        <v>46156</v>
      </c>
    </row>
    <row r="127" spans="30:31" x14ac:dyDescent="0.3">
      <c r="AD127">
        <v>126</v>
      </c>
      <c r="AE127">
        <f>Raw_Data!L127</f>
        <v>16844</v>
      </c>
    </row>
    <row r="128" spans="30:31" x14ac:dyDescent="0.3">
      <c r="AD128">
        <v>127</v>
      </c>
      <c r="AE128">
        <f>Raw_Data!L128</f>
        <v>64094</v>
      </c>
    </row>
    <row r="129" spans="30:31" x14ac:dyDescent="0.3">
      <c r="AD129">
        <v>128</v>
      </c>
      <c r="AE129">
        <f>Raw_Data!L129</f>
        <v>20125</v>
      </c>
    </row>
    <row r="130" spans="30:31" x14ac:dyDescent="0.3">
      <c r="AD130">
        <v>129</v>
      </c>
      <c r="AE130">
        <f>Raw_Data!L130</f>
        <v>43312</v>
      </c>
    </row>
    <row r="131" spans="30:31" x14ac:dyDescent="0.3">
      <c r="AD131">
        <v>130</v>
      </c>
      <c r="AE131">
        <f>Raw_Data!L131</f>
        <v>91817</v>
      </c>
    </row>
    <row r="132" spans="30:31" x14ac:dyDescent="0.3">
      <c r="AD132">
        <v>131</v>
      </c>
      <c r="AE132">
        <f>Raw_Data!L132</f>
        <v>30844</v>
      </c>
    </row>
    <row r="133" spans="30:31" x14ac:dyDescent="0.3">
      <c r="AD133">
        <v>132</v>
      </c>
      <c r="AE133">
        <f>Raw_Data!L133</f>
        <v>133702</v>
      </c>
    </row>
    <row r="134" spans="30:31" x14ac:dyDescent="0.3">
      <c r="AD134">
        <v>133</v>
      </c>
      <c r="AE134">
        <f>Raw_Data!L134</f>
        <v>16625</v>
      </c>
    </row>
    <row r="135" spans="30:31" x14ac:dyDescent="0.3">
      <c r="AD135">
        <v>134</v>
      </c>
      <c r="AE135">
        <f>Raw_Data!L135</f>
        <v>49221</v>
      </c>
    </row>
    <row r="136" spans="30:31" x14ac:dyDescent="0.3">
      <c r="AD136">
        <v>135</v>
      </c>
      <c r="AE136">
        <f>Raw_Data!L136</f>
        <v>42656</v>
      </c>
    </row>
    <row r="137" spans="30:31" x14ac:dyDescent="0.3">
      <c r="AD137">
        <v>136</v>
      </c>
      <c r="AE137">
        <f>Raw_Data!L137</f>
        <v>15312</v>
      </c>
    </row>
    <row r="138" spans="30:31" x14ac:dyDescent="0.3">
      <c r="AD138">
        <v>137</v>
      </c>
      <c r="AE138">
        <f>Raw_Data!L138</f>
        <v>57031</v>
      </c>
    </row>
    <row r="139" spans="30:31" x14ac:dyDescent="0.3">
      <c r="AD139">
        <v>138</v>
      </c>
      <c r="AE139">
        <f>Raw_Data!L139</f>
        <v>30844</v>
      </c>
    </row>
    <row r="140" spans="30:31" x14ac:dyDescent="0.3">
      <c r="AD140">
        <v>139</v>
      </c>
      <c r="AE140">
        <f>Raw_Data!L140</f>
        <v>39375</v>
      </c>
    </row>
    <row r="141" spans="30:31" x14ac:dyDescent="0.3">
      <c r="AD141">
        <v>140</v>
      </c>
      <c r="AE141">
        <f>Raw_Data!L141</f>
        <v>94938</v>
      </c>
    </row>
    <row r="142" spans="30:31" x14ac:dyDescent="0.3">
      <c r="AD142">
        <v>141</v>
      </c>
      <c r="AE142">
        <f>Raw_Data!L142</f>
        <v>14656</v>
      </c>
    </row>
    <row r="143" spans="30:31" x14ac:dyDescent="0.3">
      <c r="AD143">
        <v>142</v>
      </c>
      <c r="AE143">
        <f>Raw_Data!L143</f>
        <v>37188</v>
      </c>
    </row>
    <row r="144" spans="30:31" x14ac:dyDescent="0.3">
      <c r="AD144">
        <v>143</v>
      </c>
      <c r="AE144">
        <f>Raw_Data!L144</f>
        <v>29094</v>
      </c>
    </row>
    <row r="145" spans="30:31" x14ac:dyDescent="0.3">
      <c r="AD145">
        <v>144</v>
      </c>
      <c r="AE145">
        <f>Raw_Data!L145</f>
        <v>44406</v>
      </c>
    </row>
    <row r="146" spans="30:31" x14ac:dyDescent="0.3">
      <c r="AD146">
        <v>145</v>
      </c>
      <c r="AE146">
        <f>Raw_Data!L146</f>
        <v>69573</v>
      </c>
    </row>
    <row r="147" spans="30:31" x14ac:dyDescent="0.3">
      <c r="AD147">
        <v>146</v>
      </c>
      <c r="AE147">
        <f>Raw_Data!L147</f>
        <v>81405</v>
      </c>
    </row>
    <row r="148" spans="30:31" x14ac:dyDescent="0.3">
      <c r="AD148">
        <v>147</v>
      </c>
      <c r="AE148">
        <f>Raw_Data!L148</f>
        <v>26250</v>
      </c>
    </row>
    <row r="149" spans="30:31" x14ac:dyDescent="0.3">
      <c r="AD149">
        <v>148</v>
      </c>
      <c r="AE149">
        <f>Raw_Data!L149</f>
        <v>38062</v>
      </c>
    </row>
    <row r="150" spans="30:31" x14ac:dyDescent="0.3">
      <c r="AD150">
        <v>149</v>
      </c>
      <c r="AE150">
        <f>Raw_Data!L150</f>
        <v>36094</v>
      </c>
    </row>
    <row r="151" spans="30:31" x14ac:dyDescent="0.3">
      <c r="AD151">
        <v>150</v>
      </c>
      <c r="AE151">
        <f>Raw_Data!L151</f>
        <v>36969</v>
      </c>
    </row>
    <row r="152" spans="30:31" x14ac:dyDescent="0.3">
      <c r="AD152">
        <v>151</v>
      </c>
      <c r="AE152">
        <f>Raw_Data!L152</f>
        <v>73359</v>
      </c>
    </row>
    <row r="153" spans="30:31" x14ac:dyDescent="0.3">
      <c r="AD153">
        <v>152</v>
      </c>
      <c r="AE153">
        <f>Raw_Data!L153</f>
        <v>40031</v>
      </c>
    </row>
    <row r="154" spans="30:31" x14ac:dyDescent="0.3">
      <c r="AD154">
        <v>153</v>
      </c>
      <c r="AE154">
        <f>Raw_Data!L154</f>
        <v>68626</v>
      </c>
    </row>
    <row r="155" spans="30:31" x14ac:dyDescent="0.3">
      <c r="AD155">
        <v>154</v>
      </c>
      <c r="AE155">
        <f>Raw_Data!L155</f>
        <v>19688</v>
      </c>
    </row>
    <row r="156" spans="30:31" x14ac:dyDescent="0.3">
      <c r="AD156">
        <v>155</v>
      </c>
      <c r="AE156">
        <f>Raw_Data!L156</f>
        <v>20125</v>
      </c>
    </row>
    <row r="157" spans="30:31" x14ac:dyDescent="0.3">
      <c r="AD157">
        <v>156</v>
      </c>
      <c r="AE157">
        <f>Raw_Data!L157</f>
        <v>25156</v>
      </c>
    </row>
    <row r="158" spans="30:31" x14ac:dyDescent="0.3">
      <c r="AD158">
        <v>157</v>
      </c>
      <c r="AE158">
        <f>Raw_Data!L158</f>
        <v>38938</v>
      </c>
    </row>
    <row r="159" spans="30:31" x14ac:dyDescent="0.3">
      <c r="AD159">
        <v>158</v>
      </c>
      <c r="AE159">
        <f>Raw_Data!L159</f>
        <v>20562</v>
      </c>
    </row>
    <row r="160" spans="30:31" x14ac:dyDescent="0.3">
      <c r="AD160">
        <v>159</v>
      </c>
      <c r="AE160">
        <f>Raw_Data!L160</f>
        <v>18375</v>
      </c>
    </row>
    <row r="161" spans="30:31" x14ac:dyDescent="0.3">
      <c r="AD161">
        <v>160</v>
      </c>
      <c r="AE161">
        <f>Raw_Data!L161</f>
        <v>31062</v>
      </c>
    </row>
    <row r="162" spans="30:31" x14ac:dyDescent="0.3">
      <c r="AD162">
        <v>161</v>
      </c>
      <c r="AE162">
        <f>Raw_Data!L162</f>
        <v>50168</v>
      </c>
    </row>
    <row r="163" spans="30:31" x14ac:dyDescent="0.3">
      <c r="AD163">
        <v>162</v>
      </c>
      <c r="AE163">
        <f>Raw_Data!L163</f>
        <v>21656</v>
      </c>
    </row>
    <row r="164" spans="30:31" x14ac:dyDescent="0.3">
      <c r="AD164">
        <v>163</v>
      </c>
      <c r="AE164">
        <f>Raw_Data!L164</f>
        <v>37406</v>
      </c>
    </row>
    <row r="165" spans="30:31" x14ac:dyDescent="0.3">
      <c r="AD165">
        <v>164</v>
      </c>
      <c r="AE165">
        <f>Raw_Data!L165</f>
        <v>29750</v>
      </c>
    </row>
    <row r="166" spans="30:31" x14ac:dyDescent="0.3">
      <c r="AD166">
        <v>165</v>
      </c>
      <c r="AE166">
        <f>Raw_Data!L166</f>
        <v>19469</v>
      </c>
    </row>
    <row r="167" spans="30:31" x14ac:dyDescent="0.3">
      <c r="AD167">
        <v>166</v>
      </c>
      <c r="AE167">
        <f>Raw_Data!L167</f>
        <v>39156</v>
      </c>
    </row>
    <row r="168" spans="30:31" x14ac:dyDescent="0.3">
      <c r="AD168">
        <v>167</v>
      </c>
      <c r="AE168">
        <f>Raw_Data!L168</f>
        <v>36969</v>
      </c>
    </row>
    <row r="169" spans="30:31" x14ac:dyDescent="0.3">
      <c r="AD169">
        <v>168</v>
      </c>
      <c r="AE169">
        <f>Raw_Data!L169</f>
        <v>24500</v>
      </c>
    </row>
    <row r="170" spans="30:31" x14ac:dyDescent="0.3">
      <c r="AD170">
        <v>169</v>
      </c>
      <c r="AE170">
        <f>Raw_Data!L170</f>
        <v>13781</v>
      </c>
    </row>
    <row r="171" spans="30:31" x14ac:dyDescent="0.3">
      <c r="AD171">
        <v>170</v>
      </c>
      <c r="AE171">
        <f>Raw_Data!L171</f>
        <v>21000</v>
      </c>
    </row>
    <row r="172" spans="30:31" x14ac:dyDescent="0.3">
      <c r="AD172">
        <v>171</v>
      </c>
      <c r="AE172">
        <f>Raw_Data!L172</f>
        <v>34781</v>
      </c>
    </row>
    <row r="173" spans="30:31" x14ac:dyDescent="0.3">
      <c r="AD173">
        <v>172</v>
      </c>
      <c r="AE173">
        <f>Raw_Data!L173</f>
        <v>29969</v>
      </c>
    </row>
    <row r="174" spans="30:31" x14ac:dyDescent="0.3">
      <c r="AD174">
        <v>173</v>
      </c>
      <c r="AE174">
        <f>Raw_Data!L174</f>
        <v>30844</v>
      </c>
    </row>
    <row r="175" spans="30:31" x14ac:dyDescent="0.3">
      <c r="AD175">
        <v>174</v>
      </c>
      <c r="AE175">
        <f>Raw_Data!L175</f>
        <v>21219</v>
      </c>
    </row>
    <row r="176" spans="30:31" x14ac:dyDescent="0.3">
      <c r="AD176">
        <v>175</v>
      </c>
      <c r="AE176">
        <f>Raw_Data!L176</f>
        <v>43531</v>
      </c>
    </row>
    <row r="177" spans="30:31" x14ac:dyDescent="0.3">
      <c r="AD177">
        <v>176</v>
      </c>
      <c r="AE177">
        <f>Raw_Data!L177</f>
        <v>37844</v>
      </c>
    </row>
    <row r="178" spans="30:31" x14ac:dyDescent="0.3">
      <c r="AD178">
        <v>177</v>
      </c>
      <c r="AE178">
        <f>Raw_Data!L178</f>
        <v>58924</v>
      </c>
    </row>
    <row r="179" spans="30:31" x14ac:dyDescent="0.3">
      <c r="AD179">
        <v>178</v>
      </c>
      <c r="AE179">
        <f>Raw_Data!L179</f>
        <v>29094</v>
      </c>
    </row>
    <row r="180" spans="30:31" x14ac:dyDescent="0.3">
      <c r="AD180">
        <v>179</v>
      </c>
      <c r="AE180">
        <f>Raw_Data!L180</f>
        <v>32812</v>
      </c>
    </row>
    <row r="181" spans="30:31" x14ac:dyDescent="0.3">
      <c r="AD181">
        <v>180</v>
      </c>
      <c r="AE181">
        <f>Raw_Data!L181</f>
        <v>36312</v>
      </c>
    </row>
    <row r="182" spans="30:31" x14ac:dyDescent="0.3">
      <c r="AD182">
        <v>181</v>
      </c>
      <c r="AE182">
        <f>Raw_Data!L182</f>
        <v>26469</v>
      </c>
    </row>
    <row r="183" spans="30:31" x14ac:dyDescent="0.3">
      <c r="AD183">
        <v>182</v>
      </c>
      <c r="AE183">
        <f>Raw_Data!L183</f>
        <v>25375</v>
      </c>
    </row>
    <row r="184" spans="30:31" x14ac:dyDescent="0.3">
      <c r="AD184">
        <v>183</v>
      </c>
      <c r="AE184">
        <f>Raw_Data!L184</f>
        <v>87321</v>
      </c>
    </row>
    <row r="185" spans="30:31" x14ac:dyDescent="0.3">
      <c r="AD185">
        <v>184</v>
      </c>
      <c r="AE185">
        <f>Raw_Data!L185</f>
        <v>14219</v>
      </c>
    </row>
    <row r="186" spans="30:31" x14ac:dyDescent="0.3">
      <c r="AD186">
        <v>185</v>
      </c>
      <c r="AE186">
        <f>Raw_Data!L186</f>
        <v>42219</v>
      </c>
    </row>
    <row r="187" spans="30:31" x14ac:dyDescent="0.3">
      <c r="AD187">
        <v>186</v>
      </c>
      <c r="AE187">
        <f>Raw_Data!L187</f>
        <v>33688</v>
      </c>
    </row>
    <row r="188" spans="30:31" x14ac:dyDescent="0.3">
      <c r="AD188">
        <v>187</v>
      </c>
      <c r="AE188">
        <f>Raw_Data!L188</f>
        <v>21219</v>
      </c>
    </row>
    <row r="189" spans="30:31" x14ac:dyDescent="0.3">
      <c r="AD189">
        <v>188</v>
      </c>
      <c r="AE189">
        <f>Raw_Data!L189</f>
        <v>36969</v>
      </c>
    </row>
    <row r="190" spans="30:31" x14ac:dyDescent="0.3">
      <c r="AD190">
        <v>189</v>
      </c>
      <c r="AE190">
        <f>Raw_Data!L190</f>
        <v>36312</v>
      </c>
    </row>
    <row r="191" spans="30:31" x14ac:dyDescent="0.3">
      <c r="AD191">
        <v>190</v>
      </c>
      <c r="AE191">
        <f>Raw_Data!L191</f>
        <v>45938</v>
      </c>
    </row>
    <row r="192" spans="30:31" x14ac:dyDescent="0.3">
      <c r="AD192">
        <v>191</v>
      </c>
      <c r="AE192">
        <f>Raw_Data!L192</f>
        <v>73595</v>
      </c>
    </row>
    <row r="193" spans="30:31" x14ac:dyDescent="0.3">
      <c r="AD193">
        <v>192</v>
      </c>
      <c r="AE193">
        <f>Raw_Data!L193</f>
        <v>32594</v>
      </c>
    </row>
    <row r="194" spans="30:31" x14ac:dyDescent="0.3">
      <c r="AD194">
        <v>193</v>
      </c>
      <c r="AE194">
        <f>Raw_Data!L194</f>
        <v>36531</v>
      </c>
    </row>
    <row r="195" spans="30:31" x14ac:dyDescent="0.3">
      <c r="AD195">
        <v>194</v>
      </c>
      <c r="AE195">
        <f>Raw_Data!L195</f>
        <v>18375</v>
      </c>
    </row>
    <row r="196" spans="30:31" x14ac:dyDescent="0.3">
      <c r="AD196">
        <v>195</v>
      </c>
      <c r="AE196">
        <f>Raw_Data!L196</f>
        <v>45500</v>
      </c>
    </row>
    <row r="197" spans="30:31" x14ac:dyDescent="0.3">
      <c r="AD197">
        <v>196</v>
      </c>
      <c r="AE197">
        <f>Raw_Data!L197</f>
        <v>36750</v>
      </c>
    </row>
    <row r="198" spans="30:31" x14ac:dyDescent="0.3">
      <c r="AD198">
        <v>197</v>
      </c>
      <c r="AE198">
        <f>Raw_Data!L198</f>
        <v>37406</v>
      </c>
    </row>
    <row r="199" spans="30:31" x14ac:dyDescent="0.3">
      <c r="AD199">
        <v>198</v>
      </c>
      <c r="AE199">
        <f>Raw_Data!L199</f>
        <v>33906</v>
      </c>
    </row>
    <row r="200" spans="30:31" x14ac:dyDescent="0.3">
      <c r="AD200">
        <v>199</v>
      </c>
      <c r="AE200">
        <f>Raw_Data!L200</f>
        <v>71939</v>
      </c>
    </row>
    <row r="201" spans="30:31" x14ac:dyDescent="0.3">
      <c r="AD201">
        <v>200</v>
      </c>
      <c r="AE201">
        <f>Raw_Data!L201</f>
        <v>38062</v>
      </c>
    </row>
    <row r="202" spans="30:31" x14ac:dyDescent="0.3">
      <c r="AD202">
        <v>201</v>
      </c>
      <c r="AE202">
        <f>Raw_Data!L202</f>
        <v>40031</v>
      </c>
    </row>
    <row r="203" spans="30:31" x14ac:dyDescent="0.3">
      <c r="AD203">
        <v>202</v>
      </c>
      <c r="AE203">
        <f>Raw_Data!L203</f>
        <v>20562</v>
      </c>
    </row>
    <row r="204" spans="30:31" x14ac:dyDescent="0.3">
      <c r="AD204">
        <v>203</v>
      </c>
      <c r="AE204">
        <f>Raw_Data!L204</f>
        <v>28219</v>
      </c>
    </row>
    <row r="205" spans="30:31" x14ac:dyDescent="0.3">
      <c r="AD205">
        <v>204</v>
      </c>
      <c r="AE205">
        <f>Raw_Data!L205</f>
        <v>46594</v>
      </c>
    </row>
    <row r="206" spans="30:31" x14ac:dyDescent="0.3">
      <c r="AD206">
        <v>205</v>
      </c>
      <c r="AE206">
        <f>Raw_Data!L206</f>
        <v>31938</v>
      </c>
    </row>
    <row r="207" spans="30:31" x14ac:dyDescent="0.3">
      <c r="AD207">
        <v>206</v>
      </c>
      <c r="AE207">
        <f>Raw_Data!L207</f>
        <v>84244</v>
      </c>
    </row>
    <row r="208" spans="30:31" x14ac:dyDescent="0.3">
      <c r="AD208">
        <v>207</v>
      </c>
      <c r="AE208">
        <f>Raw_Data!L208</f>
        <v>50531</v>
      </c>
    </row>
    <row r="209" spans="30:31" x14ac:dyDescent="0.3">
      <c r="AD209">
        <v>208</v>
      </c>
      <c r="AE209">
        <f>Raw_Data!L209</f>
        <v>18156</v>
      </c>
    </row>
    <row r="210" spans="30:31" x14ac:dyDescent="0.3">
      <c r="AD210">
        <v>209</v>
      </c>
      <c r="AE210">
        <f>Raw_Data!L210</f>
        <v>50641</v>
      </c>
    </row>
    <row r="211" spans="30:31" x14ac:dyDescent="0.3">
      <c r="AD211">
        <v>210</v>
      </c>
      <c r="AE211">
        <f>Raw_Data!L211</f>
        <v>27125</v>
      </c>
    </row>
    <row r="212" spans="30:31" x14ac:dyDescent="0.3">
      <c r="AD212">
        <v>211</v>
      </c>
      <c r="AE212">
        <f>Raw_Data!L212</f>
        <v>28875</v>
      </c>
    </row>
    <row r="213" spans="30:31" x14ac:dyDescent="0.3">
      <c r="AD213">
        <v>212</v>
      </c>
      <c r="AE213">
        <f>Raw_Data!L213</f>
        <v>49000</v>
      </c>
    </row>
    <row r="214" spans="30:31" x14ac:dyDescent="0.3">
      <c r="AD214">
        <v>213</v>
      </c>
      <c r="AE214">
        <f>Raw_Data!L214</f>
        <v>70992</v>
      </c>
    </row>
    <row r="215" spans="30:31" x14ac:dyDescent="0.3">
      <c r="AD215">
        <v>214</v>
      </c>
      <c r="AE215">
        <f>Raw_Data!L215</f>
        <v>42219</v>
      </c>
    </row>
    <row r="216" spans="30:31" x14ac:dyDescent="0.3">
      <c r="AD216">
        <v>215</v>
      </c>
      <c r="AE216">
        <f>Raw_Data!L216</f>
        <v>43750</v>
      </c>
    </row>
    <row r="217" spans="30:31" x14ac:dyDescent="0.3">
      <c r="AD217">
        <v>216</v>
      </c>
      <c r="AE217">
        <f>Raw_Data!L217</f>
        <v>52771</v>
      </c>
    </row>
    <row r="218" spans="30:31" x14ac:dyDescent="0.3">
      <c r="AD218">
        <v>217</v>
      </c>
      <c r="AE218">
        <f>Raw_Data!L218</f>
        <v>36312</v>
      </c>
    </row>
    <row r="219" spans="30:31" x14ac:dyDescent="0.3">
      <c r="AD219">
        <v>218</v>
      </c>
      <c r="AE219">
        <f>Raw_Data!L219</f>
        <v>83061</v>
      </c>
    </row>
    <row r="220" spans="30:31" x14ac:dyDescent="0.3">
      <c r="AD220">
        <v>219</v>
      </c>
      <c r="AE220">
        <f>Raw_Data!L220</f>
        <v>21656</v>
      </c>
    </row>
    <row r="221" spans="30:31" x14ac:dyDescent="0.3">
      <c r="AD221">
        <v>220</v>
      </c>
      <c r="AE221">
        <f>Raw_Data!L221</f>
        <v>18375</v>
      </c>
    </row>
    <row r="222" spans="30:31" x14ac:dyDescent="0.3">
      <c r="AD222">
        <v>221</v>
      </c>
      <c r="AE222">
        <f>Raw_Data!L222</f>
        <v>38719</v>
      </c>
    </row>
    <row r="223" spans="30:31" x14ac:dyDescent="0.3">
      <c r="AD223">
        <v>222</v>
      </c>
      <c r="AE223">
        <f>Raw_Data!L223</f>
        <v>34781</v>
      </c>
    </row>
    <row r="224" spans="30:31" x14ac:dyDescent="0.3">
      <c r="AD224">
        <v>223</v>
      </c>
      <c r="AE224">
        <f>Raw_Data!L224</f>
        <v>33250</v>
      </c>
    </row>
    <row r="225" spans="30:31" x14ac:dyDescent="0.3">
      <c r="AD225">
        <v>224</v>
      </c>
      <c r="AE225">
        <f>Raw_Data!L225</f>
        <v>79038</v>
      </c>
    </row>
    <row r="226" spans="30:31" x14ac:dyDescent="0.3">
      <c r="AD226">
        <v>225</v>
      </c>
      <c r="AE226">
        <f>Raw_Data!L226</f>
        <v>75962</v>
      </c>
    </row>
    <row r="227" spans="30:31" x14ac:dyDescent="0.3">
      <c r="AD227">
        <v>226</v>
      </c>
      <c r="AE227">
        <f>Raw_Data!L227</f>
        <v>16406</v>
      </c>
    </row>
    <row r="228" spans="30:31" x14ac:dyDescent="0.3">
      <c r="AD228">
        <v>227</v>
      </c>
      <c r="AE228">
        <f>Raw_Data!L228</f>
        <v>49695</v>
      </c>
    </row>
    <row r="229" spans="30:31" x14ac:dyDescent="0.3">
      <c r="AD229">
        <v>228</v>
      </c>
      <c r="AE229">
        <f>Raw_Data!L229</f>
        <v>35875</v>
      </c>
    </row>
    <row r="230" spans="30:31" x14ac:dyDescent="0.3">
      <c r="AD230">
        <v>229</v>
      </c>
      <c r="AE230">
        <f>Raw_Data!L230</f>
        <v>19250</v>
      </c>
    </row>
    <row r="231" spans="30:31" x14ac:dyDescent="0.3">
      <c r="AD231">
        <v>230</v>
      </c>
      <c r="AE231">
        <f>Raw_Data!L231</f>
        <v>51188</v>
      </c>
    </row>
    <row r="232" spans="30:31" x14ac:dyDescent="0.3">
      <c r="AD232">
        <v>231</v>
      </c>
      <c r="AE232">
        <f>Raw_Data!L232</f>
        <v>32156</v>
      </c>
    </row>
    <row r="233" spans="30:31" x14ac:dyDescent="0.3">
      <c r="AD233">
        <v>232</v>
      </c>
      <c r="AE233">
        <f>Raw_Data!L233</f>
        <v>23625</v>
      </c>
    </row>
    <row r="234" spans="30:31" x14ac:dyDescent="0.3">
      <c r="AD234">
        <v>233</v>
      </c>
      <c r="AE234">
        <f>Raw_Data!L234</f>
        <v>44406</v>
      </c>
    </row>
    <row r="235" spans="30:31" x14ac:dyDescent="0.3">
      <c r="AD235">
        <v>234</v>
      </c>
      <c r="AE235">
        <f>Raw_Data!L235</f>
        <v>17500</v>
      </c>
    </row>
    <row r="236" spans="30:31" x14ac:dyDescent="0.3">
      <c r="AD236">
        <v>235</v>
      </c>
      <c r="AE236">
        <f>Raw_Data!L236</f>
        <v>39375</v>
      </c>
    </row>
    <row r="237" spans="30:31" x14ac:dyDescent="0.3">
      <c r="AD237">
        <v>236</v>
      </c>
      <c r="AE237">
        <f>Raw_Data!L237</f>
        <v>46812</v>
      </c>
    </row>
    <row r="238" spans="30:31" x14ac:dyDescent="0.3">
      <c r="AD238">
        <v>237</v>
      </c>
      <c r="AE238">
        <f>Raw_Data!L238</f>
        <v>43969</v>
      </c>
    </row>
    <row r="239" spans="30:31" x14ac:dyDescent="0.3">
      <c r="AD239">
        <v>238</v>
      </c>
      <c r="AE239">
        <f>Raw_Data!L239</f>
        <v>18375</v>
      </c>
    </row>
    <row r="240" spans="30:31" x14ac:dyDescent="0.3">
      <c r="AD240">
        <v>239</v>
      </c>
      <c r="AE240">
        <f>Raw_Data!L240</f>
        <v>20562</v>
      </c>
    </row>
    <row r="241" spans="30:31" x14ac:dyDescent="0.3">
      <c r="AD241">
        <v>240</v>
      </c>
      <c r="AE241">
        <f>Raw_Data!L241</f>
        <v>92969</v>
      </c>
    </row>
    <row r="242" spans="30:31" x14ac:dyDescent="0.3">
      <c r="AD242">
        <v>241</v>
      </c>
      <c r="AE242">
        <f>Raw_Data!L242</f>
        <v>35219</v>
      </c>
    </row>
    <row r="243" spans="30:31" x14ac:dyDescent="0.3">
      <c r="AD243">
        <v>242</v>
      </c>
      <c r="AE243">
        <f>Raw_Data!L243</f>
        <v>28219</v>
      </c>
    </row>
    <row r="244" spans="30:31" x14ac:dyDescent="0.3">
      <c r="AD244">
        <v>243</v>
      </c>
      <c r="AE244">
        <f>Raw_Data!L244</f>
        <v>50531</v>
      </c>
    </row>
    <row r="245" spans="30:31" x14ac:dyDescent="0.3">
      <c r="AD245">
        <v>244</v>
      </c>
      <c r="AE245">
        <f>Raw_Data!L245</f>
        <v>16625</v>
      </c>
    </row>
    <row r="246" spans="30:31" x14ac:dyDescent="0.3">
      <c r="AD246">
        <v>245</v>
      </c>
      <c r="AE246">
        <f>Raw_Data!L246</f>
        <v>40688</v>
      </c>
    </row>
    <row r="247" spans="30:31" x14ac:dyDescent="0.3">
      <c r="AD247">
        <v>246</v>
      </c>
      <c r="AE247">
        <f>Raw_Data!L247</f>
        <v>29969</v>
      </c>
    </row>
    <row r="248" spans="30:31" x14ac:dyDescent="0.3">
      <c r="AD248">
        <v>247</v>
      </c>
      <c r="AE248">
        <f>Raw_Data!L248</f>
        <v>31500</v>
      </c>
    </row>
    <row r="249" spans="30:31" x14ac:dyDescent="0.3">
      <c r="AD249">
        <v>248</v>
      </c>
      <c r="AE249">
        <f>Raw_Data!L249</f>
        <v>40250</v>
      </c>
    </row>
    <row r="250" spans="30:31" x14ac:dyDescent="0.3">
      <c r="AD250">
        <v>249</v>
      </c>
      <c r="AE250">
        <f>Raw_Data!L250</f>
        <v>31281</v>
      </c>
    </row>
    <row r="251" spans="30:31" x14ac:dyDescent="0.3">
      <c r="AD251">
        <v>250</v>
      </c>
      <c r="AE251">
        <f>Raw_Data!L251</f>
        <v>75725</v>
      </c>
    </row>
    <row r="252" spans="30:31" x14ac:dyDescent="0.3">
      <c r="AD252">
        <v>251</v>
      </c>
      <c r="AE252">
        <f>Raw_Data!L252</f>
        <v>28000</v>
      </c>
    </row>
    <row r="253" spans="30:31" x14ac:dyDescent="0.3">
      <c r="AD253">
        <v>252</v>
      </c>
      <c r="AE253">
        <f>Raw_Data!L253</f>
        <v>51115</v>
      </c>
    </row>
    <row r="254" spans="30:31" x14ac:dyDescent="0.3">
      <c r="AD254">
        <v>253</v>
      </c>
      <c r="AE254">
        <f>Raw_Data!L254</f>
        <v>64969</v>
      </c>
    </row>
    <row r="255" spans="30:31" x14ac:dyDescent="0.3">
      <c r="AD255">
        <v>254</v>
      </c>
      <c r="AE255">
        <f>Raw_Data!L255</f>
        <v>42875</v>
      </c>
    </row>
    <row r="256" spans="30:31" x14ac:dyDescent="0.3">
      <c r="AD256">
        <v>255</v>
      </c>
      <c r="AE256">
        <f>Raw_Data!L256</f>
        <v>26688</v>
      </c>
    </row>
    <row r="257" spans="30:31" x14ac:dyDescent="0.3">
      <c r="AD257">
        <v>256</v>
      </c>
      <c r="AE257">
        <f>Raw_Data!L257</f>
        <v>49438</v>
      </c>
    </row>
    <row r="258" spans="30:31" x14ac:dyDescent="0.3">
      <c r="AD258">
        <v>257</v>
      </c>
      <c r="AE258">
        <f>Raw_Data!L258</f>
        <v>18594</v>
      </c>
    </row>
    <row r="259" spans="30:31" x14ac:dyDescent="0.3">
      <c r="AD259">
        <v>258</v>
      </c>
      <c r="AE259">
        <f>Raw_Data!L259</f>
        <v>19469</v>
      </c>
    </row>
    <row r="260" spans="30:31" x14ac:dyDescent="0.3">
      <c r="AD260">
        <v>259</v>
      </c>
      <c r="AE260">
        <f>Raw_Data!L260</f>
        <v>29094</v>
      </c>
    </row>
    <row r="261" spans="30:31" x14ac:dyDescent="0.3">
      <c r="AD261">
        <v>260</v>
      </c>
      <c r="AE261">
        <f>Raw_Data!L261</f>
        <v>36312</v>
      </c>
    </row>
    <row r="262" spans="30:31" x14ac:dyDescent="0.3">
      <c r="AD262">
        <v>261</v>
      </c>
      <c r="AE262">
        <f>Raw_Data!L262</f>
        <v>26250</v>
      </c>
    </row>
    <row r="263" spans="30:31" x14ac:dyDescent="0.3">
      <c r="AD263">
        <v>262</v>
      </c>
      <c r="AE263">
        <f>Raw_Data!L263</f>
        <v>57969</v>
      </c>
    </row>
    <row r="264" spans="30:31" x14ac:dyDescent="0.3">
      <c r="AD264">
        <v>263</v>
      </c>
      <c r="AE264">
        <f>Raw_Data!L264</f>
        <v>39156</v>
      </c>
    </row>
    <row r="265" spans="30:31" x14ac:dyDescent="0.3">
      <c r="AD265">
        <v>264</v>
      </c>
      <c r="AE265">
        <f>Raw_Data!L265</f>
        <v>38500</v>
      </c>
    </row>
    <row r="266" spans="30:31" x14ac:dyDescent="0.3">
      <c r="AD266">
        <v>265</v>
      </c>
      <c r="AE266">
        <f>Raw_Data!L266</f>
        <v>23625</v>
      </c>
    </row>
    <row r="267" spans="30:31" x14ac:dyDescent="0.3">
      <c r="AD267">
        <v>266</v>
      </c>
      <c r="AE267">
        <f>Raw_Data!L267</f>
        <v>15531</v>
      </c>
    </row>
    <row r="268" spans="30:31" x14ac:dyDescent="0.3">
      <c r="AD268">
        <v>267</v>
      </c>
      <c r="AE268">
        <f>Raw_Data!L268</f>
        <v>21000</v>
      </c>
    </row>
    <row r="269" spans="30:31" x14ac:dyDescent="0.3">
      <c r="AD269">
        <v>268</v>
      </c>
      <c r="AE269">
        <f>Raw_Data!L269</f>
        <v>16406</v>
      </c>
    </row>
    <row r="270" spans="30:31" x14ac:dyDescent="0.3">
      <c r="AD270">
        <v>269</v>
      </c>
      <c r="AE270">
        <f>Raw_Data!L270</f>
        <v>95594</v>
      </c>
    </row>
    <row r="271" spans="30:31" x14ac:dyDescent="0.3">
      <c r="AD271">
        <v>270</v>
      </c>
      <c r="AE271">
        <f>Raw_Data!L271</f>
        <v>16406</v>
      </c>
    </row>
    <row r="272" spans="30:31" x14ac:dyDescent="0.3">
      <c r="AD272">
        <v>271</v>
      </c>
      <c r="AE272">
        <f>Raw_Data!L272</f>
        <v>31281</v>
      </c>
    </row>
    <row r="273" spans="30:31" x14ac:dyDescent="0.3">
      <c r="AD273">
        <v>272</v>
      </c>
      <c r="AE273">
        <f>Raw_Data!L273</f>
        <v>17500</v>
      </c>
    </row>
    <row r="274" spans="30:31" x14ac:dyDescent="0.3">
      <c r="AD274">
        <v>273</v>
      </c>
      <c r="AE274">
        <f>Raw_Data!L274</f>
        <v>32812</v>
      </c>
    </row>
    <row r="275" spans="30:31" x14ac:dyDescent="0.3">
      <c r="AD275">
        <v>274</v>
      </c>
      <c r="AE275">
        <f>Raw_Data!L275</f>
        <v>36969</v>
      </c>
    </row>
    <row r="276" spans="30:31" x14ac:dyDescent="0.3">
      <c r="AD276">
        <v>275</v>
      </c>
      <c r="AE276">
        <f>Raw_Data!L276</f>
        <v>16625</v>
      </c>
    </row>
    <row r="277" spans="30:31" x14ac:dyDescent="0.3">
      <c r="AD277">
        <v>276</v>
      </c>
      <c r="AE277">
        <f>Raw_Data!L277</f>
        <v>32594</v>
      </c>
    </row>
    <row r="278" spans="30:31" x14ac:dyDescent="0.3">
      <c r="AD278">
        <v>277</v>
      </c>
      <c r="AE278">
        <f>Raw_Data!L278</f>
        <v>12688</v>
      </c>
    </row>
    <row r="279" spans="30:31" x14ac:dyDescent="0.3">
      <c r="AD279">
        <v>278</v>
      </c>
      <c r="AE279">
        <f>Raw_Data!L279</f>
        <v>35219</v>
      </c>
    </row>
    <row r="280" spans="30:31" x14ac:dyDescent="0.3">
      <c r="AD280">
        <v>279</v>
      </c>
      <c r="AE280">
        <f>Raw_Data!L280</f>
        <v>44188</v>
      </c>
    </row>
    <row r="281" spans="30:31" x14ac:dyDescent="0.3">
      <c r="AD281">
        <v>280</v>
      </c>
      <c r="AE281">
        <f>Raw_Data!L281</f>
        <v>40688</v>
      </c>
    </row>
    <row r="282" spans="30:31" x14ac:dyDescent="0.3">
      <c r="AD282">
        <v>281</v>
      </c>
      <c r="AE282">
        <f>Raw_Data!L282</f>
        <v>63656</v>
      </c>
    </row>
    <row r="283" spans="30:31" x14ac:dyDescent="0.3">
      <c r="AD283">
        <v>282</v>
      </c>
      <c r="AE283">
        <f>Raw_Data!L283</f>
        <v>16844</v>
      </c>
    </row>
    <row r="284" spans="30:31" x14ac:dyDescent="0.3">
      <c r="AD284">
        <v>283</v>
      </c>
      <c r="AE284">
        <f>Raw_Data!L284</f>
        <v>33906</v>
      </c>
    </row>
    <row r="285" spans="30:31" x14ac:dyDescent="0.3">
      <c r="AD285">
        <v>284</v>
      </c>
      <c r="AE285">
        <f>Raw_Data!L285</f>
        <v>19469</v>
      </c>
    </row>
    <row r="286" spans="30:31" x14ac:dyDescent="0.3">
      <c r="AD286">
        <v>285</v>
      </c>
      <c r="AE286">
        <f>Raw_Data!L286</f>
        <v>31281</v>
      </c>
    </row>
    <row r="287" spans="30:31" x14ac:dyDescent="0.3">
      <c r="AD287">
        <v>286</v>
      </c>
      <c r="AE287">
        <f>Raw_Data!L287</f>
        <v>26688</v>
      </c>
    </row>
    <row r="288" spans="30:31" x14ac:dyDescent="0.3">
      <c r="AD288">
        <v>287</v>
      </c>
      <c r="AE288">
        <f>Raw_Data!L288</f>
        <v>32594</v>
      </c>
    </row>
    <row r="289" spans="30:31" x14ac:dyDescent="0.3">
      <c r="AD289">
        <v>288</v>
      </c>
      <c r="AE289">
        <f>Raw_Data!L289</f>
        <v>19250</v>
      </c>
    </row>
    <row r="290" spans="30:31" x14ac:dyDescent="0.3">
      <c r="AD290">
        <v>289</v>
      </c>
      <c r="AE290">
        <f>Raw_Data!L290</f>
        <v>40906</v>
      </c>
    </row>
    <row r="291" spans="30:31" x14ac:dyDescent="0.3">
      <c r="AD291">
        <v>290</v>
      </c>
      <c r="AE291">
        <f>Raw_Data!L291</f>
        <v>17281</v>
      </c>
    </row>
    <row r="292" spans="30:31" x14ac:dyDescent="0.3">
      <c r="AD292">
        <v>291</v>
      </c>
      <c r="AE292">
        <f>Raw_Data!L292</f>
        <v>35875</v>
      </c>
    </row>
    <row r="293" spans="30:31" x14ac:dyDescent="0.3">
      <c r="AD293">
        <v>292</v>
      </c>
      <c r="AE293">
        <f>Raw_Data!L293</f>
        <v>17062</v>
      </c>
    </row>
    <row r="294" spans="30:31" x14ac:dyDescent="0.3">
      <c r="AD294">
        <v>293</v>
      </c>
      <c r="AE294">
        <f>Raw_Data!L294</f>
        <v>43094</v>
      </c>
    </row>
    <row r="295" spans="30:31" x14ac:dyDescent="0.3">
      <c r="AD295">
        <v>294</v>
      </c>
      <c r="AE295">
        <f>Raw_Data!L295</f>
        <v>42438</v>
      </c>
    </row>
    <row r="296" spans="30:31" x14ac:dyDescent="0.3">
      <c r="AD296">
        <v>295</v>
      </c>
      <c r="AE296">
        <f>Raw_Data!L296</f>
        <v>74069</v>
      </c>
    </row>
    <row r="297" spans="30:31" x14ac:dyDescent="0.3">
      <c r="AD297">
        <v>296</v>
      </c>
      <c r="AE297">
        <f>Raw_Data!L297</f>
        <v>61053</v>
      </c>
    </row>
    <row r="298" spans="30:31" x14ac:dyDescent="0.3">
      <c r="AD298">
        <v>297</v>
      </c>
      <c r="AE298">
        <f>Raw_Data!L298</f>
        <v>75015</v>
      </c>
    </row>
    <row r="299" spans="30:31" x14ac:dyDescent="0.3">
      <c r="AD299">
        <v>298</v>
      </c>
      <c r="AE299">
        <f>Raw_Data!L299</f>
        <v>72176</v>
      </c>
    </row>
    <row r="300" spans="30:31" x14ac:dyDescent="0.3">
      <c r="AD300">
        <v>299</v>
      </c>
      <c r="AE300">
        <f>Raw_Data!L300</f>
        <v>30406</v>
      </c>
    </row>
    <row r="301" spans="30:31" x14ac:dyDescent="0.3">
      <c r="AD301">
        <v>300</v>
      </c>
      <c r="AE301">
        <f>Raw_Data!L301</f>
        <v>39594</v>
      </c>
    </row>
    <row r="302" spans="30:31" x14ac:dyDescent="0.3">
      <c r="AD302">
        <v>301</v>
      </c>
      <c r="AE302">
        <f>Raw_Data!L302</f>
        <v>38719</v>
      </c>
    </row>
    <row r="303" spans="30:31" x14ac:dyDescent="0.3">
      <c r="AD303">
        <v>302</v>
      </c>
      <c r="AE303">
        <f>Raw_Data!L303</f>
        <v>49656</v>
      </c>
    </row>
    <row r="304" spans="30:31" x14ac:dyDescent="0.3">
      <c r="AD304">
        <v>303</v>
      </c>
      <c r="AE304">
        <f>Raw_Data!L304</f>
        <v>18156</v>
      </c>
    </row>
    <row r="305" spans="30:31" x14ac:dyDescent="0.3">
      <c r="AD305">
        <v>304</v>
      </c>
      <c r="AE305">
        <f>Raw_Data!L305</f>
        <v>26906</v>
      </c>
    </row>
    <row r="306" spans="30:31" x14ac:dyDescent="0.3">
      <c r="AD306">
        <v>305</v>
      </c>
      <c r="AE306">
        <f>Raw_Data!L306</f>
        <v>38062</v>
      </c>
    </row>
    <row r="307" spans="30:31" x14ac:dyDescent="0.3">
      <c r="AD307">
        <v>306</v>
      </c>
      <c r="AE307">
        <f>Raw_Data!L307</f>
        <v>78802</v>
      </c>
    </row>
    <row r="308" spans="30:31" x14ac:dyDescent="0.3">
      <c r="AD308">
        <v>307</v>
      </c>
      <c r="AE308">
        <f>Raw_Data!L308</f>
        <v>36312</v>
      </c>
    </row>
    <row r="309" spans="30:31" x14ac:dyDescent="0.3">
      <c r="AD309">
        <v>308</v>
      </c>
      <c r="AE309">
        <f>Raw_Data!L309</f>
        <v>13562</v>
      </c>
    </row>
    <row r="310" spans="30:31" x14ac:dyDescent="0.3">
      <c r="AD310">
        <v>309</v>
      </c>
      <c r="AE310">
        <f>Raw_Data!L310</f>
        <v>75015</v>
      </c>
    </row>
    <row r="311" spans="30:31" x14ac:dyDescent="0.3">
      <c r="AD311">
        <v>310</v>
      </c>
      <c r="AE311">
        <f>Raw_Data!L311</f>
        <v>19906</v>
      </c>
    </row>
    <row r="312" spans="30:31" x14ac:dyDescent="0.3">
      <c r="AD312">
        <v>311</v>
      </c>
      <c r="AE312">
        <f>Raw_Data!L312</f>
        <v>35438</v>
      </c>
    </row>
    <row r="313" spans="30:31" x14ac:dyDescent="0.3">
      <c r="AD313">
        <v>312</v>
      </c>
      <c r="AE313">
        <f>Raw_Data!L313</f>
        <v>16406</v>
      </c>
    </row>
    <row r="314" spans="30:31" x14ac:dyDescent="0.3">
      <c r="AD314">
        <v>313</v>
      </c>
      <c r="AE314">
        <f>Raw_Data!L314</f>
        <v>21000</v>
      </c>
    </row>
    <row r="315" spans="30:31" x14ac:dyDescent="0.3">
      <c r="AD315">
        <v>314</v>
      </c>
      <c r="AE315">
        <f>Raw_Data!L315</f>
        <v>33469</v>
      </c>
    </row>
    <row r="316" spans="30:31" x14ac:dyDescent="0.3">
      <c r="AD316">
        <v>315</v>
      </c>
      <c r="AE316">
        <f>Raw_Data!L316</f>
        <v>40688</v>
      </c>
    </row>
    <row r="317" spans="30:31" x14ac:dyDescent="0.3">
      <c r="AD317">
        <v>316</v>
      </c>
      <c r="AE317">
        <f>Raw_Data!L317</f>
        <v>15969</v>
      </c>
    </row>
    <row r="318" spans="30:31" x14ac:dyDescent="0.3">
      <c r="AD318">
        <v>317</v>
      </c>
      <c r="AE318">
        <f>Raw_Data!L318</f>
        <v>17062</v>
      </c>
    </row>
    <row r="319" spans="30:31" x14ac:dyDescent="0.3">
      <c r="AD319">
        <v>318</v>
      </c>
      <c r="AE319">
        <f>Raw_Data!L319</f>
        <v>15969</v>
      </c>
    </row>
    <row r="320" spans="30:31" x14ac:dyDescent="0.3">
      <c r="AD320">
        <v>319</v>
      </c>
      <c r="AE320">
        <f>Raw_Data!L320</f>
        <v>22969</v>
      </c>
    </row>
    <row r="321" spans="30:31" x14ac:dyDescent="0.3">
      <c r="AD321">
        <v>320</v>
      </c>
      <c r="AE321">
        <f>Raw_Data!L321</f>
        <v>33469</v>
      </c>
    </row>
    <row r="322" spans="30:31" x14ac:dyDescent="0.3">
      <c r="AD322">
        <v>321</v>
      </c>
      <c r="AE322">
        <f>Raw_Data!L322</f>
        <v>30625</v>
      </c>
    </row>
    <row r="323" spans="30:31" x14ac:dyDescent="0.3">
      <c r="AD323">
        <v>322</v>
      </c>
      <c r="AE323">
        <f>Raw_Data!L323</f>
        <v>22969</v>
      </c>
    </row>
    <row r="324" spans="30:31" x14ac:dyDescent="0.3">
      <c r="AD324">
        <v>323</v>
      </c>
      <c r="AE324">
        <f>Raw_Data!L324</f>
        <v>24938</v>
      </c>
    </row>
    <row r="325" spans="30:31" x14ac:dyDescent="0.3">
      <c r="AD325">
        <v>324</v>
      </c>
      <c r="AE325">
        <f>Raw_Data!L325</f>
        <v>96906</v>
      </c>
    </row>
    <row r="326" spans="30:31" x14ac:dyDescent="0.3">
      <c r="AD326">
        <v>325</v>
      </c>
      <c r="AE326">
        <f>Raw_Data!L326</f>
        <v>31500</v>
      </c>
    </row>
    <row r="327" spans="30:31" x14ac:dyDescent="0.3">
      <c r="AD327">
        <v>326</v>
      </c>
      <c r="AE327">
        <f>Raw_Data!L327</f>
        <v>15531</v>
      </c>
    </row>
    <row r="328" spans="30:31" x14ac:dyDescent="0.3">
      <c r="AD328">
        <v>327</v>
      </c>
      <c r="AE328">
        <f>Raw_Data!L328</f>
        <v>38062</v>
      </c>
    </row>
    <row r="329" spans="30:31" x14ac:dyDescent="0.3">
      <c r="AD329">
        <v>328</v>
      </c>
      <c r="AE329">
        <f>Raw_Data!L329</f>
        <v>60375</v>
      </c>
    </row>
    <row r="330" spans="30:31" x14ac:dyDescent="0.3">
      <c r="AD330">
        <v>329</v>
      </c>
      <c r="AE330">
        <f>Raw_Data!L330</f>
        <v>27344</v>
      </c>
    </row>
    <row r="331" spans="30:31" x14ac:dyDescent="0.3">
      <c r="AD331">
        <v>330</v>
      </c>
      <c r="AE331">
        <f>Raw_Data!L331</f>
        <v>69336</v>
      </c>
    </row>
    <row r="332" spans="30:31" x14ac:dyDescent="0.3">
      <c r="AD332">
        <v>331</v>
      </c>
      <c r="AE332">
        <f>Raw_Data!L332</f>
        <v>25156</v>
      </c>
    </row>
    <row r="333" spans="30:31" x14ac:dyDescent="0.3">
      <c r="AD333">
        <v>332</v>
      </c>
      <c r="AE333">
        <f>Raw_Data!L333</f>
        <v>47250</v>
      </c>
    </row>
    <row r="334" spans="30:31" x14ac:dyDescent="0.3">
      <c r="AD334">
        <v>333</v>
      </c>
      <c r="AE334">
        <f>Raw_Data!L334</f>
        <v>24500</v>
      </c>
    </row>
    <row r="335" spans="30:31" x14ac:dyDescent="0.3">
      <c r="AD335">
        <v>334</v>
      </c>
      <c r="AE335">
        <f>Raw_Data!L335</f>
        <v>45719</v>
      </c>
    </row>
    <row r="336" spans="30:31" x14ac:dyDescent="0.3">
      <c r="AD336">
        <v>335</v>
      </c>
      <c r="AE336">
        <f>Raw_Data!L336</f>
        <v>37406</v>
      </c>
    </row>
    <row r="337" spans="30:31" x14ac:dyDescent="0.3">
      <c r="AD337">
        <v>336</v>
      </c>
      <c r="AE337">
        <f>Raw_Data!L337</f>
        <v>53008</v>
      </c>
    </row>
    <row r="338" spans="30:31" x14ac:dyDescent="0.3">
      <c r="AD338">
        <v>337</v>
      </c>
      <c r="AE338">
        <f>Raw_Data!L338</f>
        <v>27781</v>
      </c>
    </row>
    <row r="339" spans="30:31" x14ac:dyDescent="0.3">
      <c r="AD339">
        <v>338</v>
      </c>
      <c r="AE339">
        <f>Raw_Data!L339</f>
        <v>47031</v>
      </c>
    </row>
    <row r="340" spans="30:31" x14ac:dyDescent="0.3">
      <c r="AD340">
        <v>339</v>
      </c>
      <c r="AE340">
        <f>Raw_Data!L340</f>
        <v>80931</v>
      </c>
    </row>
    <row r="341" spans="30:31" x14ac:dyDescent="0.3">
      <c r="AD341">
        <v>340</v>
      </c>
      <c r="AE341">
        <f>Raw_Data!L341</f>
        <v>28000</v>
      </c>
    </row>
    <row r="342" spans="30:31" x14ac:dyDescent="0.3">
      <c r="AD342">
        <v>341</v>
      </c>
      <c r="AE342">
        <f>Raw_Data!L342</f>
        <v>34125</v>
      </c>
    </row>
    <row r="343" spans="30:31" x14ac:dyDescent="0.3">
      <c r="AD343">
        <v>342</v>
      </c>
      <c r="AE343">
        <f>Raw_Data!L343</f>
        <v>44844</v>
      </c>
    </row>
    <row r="344" spans="30:31" x14ac:dyDescent="0.3">
      <c r="AD344">
        <v>343</v>
      </c>
      <c r="AE344">
        <f>Raw_Data!L344</f>
        <v>56438</v>
      </c>
    </row>
    <row r="345" spans="30:31" x14ac:dyDescent="0.3">
      <c r="AD345">
        <v>344</v>
      </c>
      <c r="AE345">
        <f>Raw_Data!L345</f>
        <v>32375</v>
      </c>
    </row>
    <row r="346" spans="30:31" x14ac:dyDescent="0.3">
      <c r="AD346">
        <v>345</v>
      </c>
      <c r="AE346">
        <f>Raw_Data!L346</f>
        <v>33031</v>
      </c>
    </row>
    <row r="347" spans="30:31" x14ac:dyDescent="0.3">
      <c r="AD347">
        <v>346</v>
      </c>
      <c r="AE347">
        <f>Raw_Data!L347</f>
        <v>21219</v>
      </c>
    </row>
    <row r="348" spans="30:31" x14ac:dyDescent="0.3">
      <c r="AD348">
        <v>347</v>
      </c>
      <c r="AE348">
        <f>Raw_Data!L348</f>
        <v>29750</v>
      </c>
    </row>
    <row r="349" spans="30:31" x14ac:dyDescent="0.3">
      <c r="AD349">
        <v>348</v>
      </c>
      <c r="AE349">
        <f>Raw_Data!L349</f>
        <v>36094</v>
      </c>
    </row>
    <row r="350" spans="30:31" x14ac:dyDescent="0.3">
      <c r="AD350">
        <v>349</v>
      </c>
      <c r="AE350">
        <f>Raw_Data!L350</f>
        <v>22750</v>
      </c>
    </row>
    <row r="351" spans="30:31" x14ac:dyDescent="0.3">
      <c r="AD351">
        <v>350</v>
      </c>
      <c r="AE351">
        <f>Raw_Data!L351</f>
        <v>53244</v>
      </c>
    </row>
    <row r="352" spans="30:31" x14ac:dyDescent="0.3">
      <c r="AD352">
        <v>351</v>
      </c>
      <c r="AE352">
        <f>Raw_Data!L352</f>
        <v>37406</v>
      </c>
    </row>
    <row r="353" spans="30:31" x14ac:dyDescent="0.3">
      <c r="AD353">
        <v>352</v>
      </c>
      <c r="AE353">
        <f>Raw_Data!L353</f>
        <v>21875</v>
      </c>
    </row>
    <row r="354" spans="30:31" x14ac:dyDescent="0.3">
      <c r="AD354">
        <v>353</v>
      </c>
      <c r="AE354">
        <f>Raw_Data!L354</f>
        <v>12250</v>
      </c>
    </row>
    <row r="355" spans="30:31" x14ac:dyDescent="0.3">
      <c r="AD355">
        <v>354</v>
      </c>
      <c r="AE355">
        <f>Raw_Data!L355</f>
        <v>58844</v>
      </c>
    </row>
    <row r="356" spans="30:31" x14ac:dyDescent="0.3">
      <c r="AD356">
        <v>355</v>
      </c>
      <c r="AE356">
        <f>Raw_Data!L356</f>
        <v>30844</v>
      </c>
    </row>
    <row r="357" spans="30:31" x14ac:dyDescent="0.3">
      <c r="AD357">
        <v>356</v>
      </c>
      <c r="AE357">
        <f>Raw_Data!L357</f>
        <v>17938</v>
      </c>
    </row>
    <row r="358" spans="30:31" x14ac:dyDescent="0.3">
      <c r="AD358">
        <v>357</v>
      </c>
      <c r="AE358">
        <f>Raw_Data!L358</f>
        <v>38062</v>
      </c>
    </row>
    <row r="359" spans="30:31" x14ac:dyDescent="0.3">
      <c r="AD359">
        <v>358</v>
      </c>
      <c r="AE359">
        <f>Raw_Data!L359</f>
        <v>79275</v>
      </c>
    </row>
    <row r="360" spans="30:31" x14ac:dyDescent="0.3">
      <c r="AD360">
        <v>359</v>
      </c>
      <c r="AE360">
        <f>Raw_Data!L360</f>
        <v>16406</v>
      </c>
    </row>
    <row r="361" spans="30:31" x14ac:dyDescent="0.3">
      <c r="AD361">
        <v>360</v>
      </c>
      <c r="AE361">
        <f>Raw_Data!L361</f>
        <v>35219</v>
      </c>
    </row>
    <row r="362" spans="30:31" x14ac:dyDescent="0.3">
      <c r="AD362">
        <v>361</v>
      </c>
      <c r="AE362">
        <f>Raw_Data!L362</f>
        <v>15312</v>
      </c>
    </row>
    <row r="363" spans="30:31" x14ac:dyDescent="0.3">
      <c r="AD363">
        <v>362</v>
      </c>
      <c r="AE363">
        <f>Raw_Data!L363</f>
        <v>14875</v>
      </c>
    </row>
    <row r="364" spans="30:31" x14ac:dyDescent="0.3">
      <c r="AD364">
        <v>363</v>
      </c>
      <c r="AE364">
        <f>Raw_Data!L364</f>
        <v>26031</v>
      </c>
    </row>
    <row r="365" spans="30:31" x14ac:dyDescent="0.3">
      <c r="AD365">
        <v>364</v>
      </c>
      <c r="AE365">
        <f>Raw_Data!L365</f>
        <v>49438</v>
      </c>
    </row>
    <row r="366" spans="30:31" x14ac:dyDescent="0.3">
      <c r="AD366">
        <v>365</v>
      </c>
      <c r="AE366">
        <f>Raw_Data!L366</f>
        <v>18156</v>
      </c>
    </row>
    <row r="367" spans="30:31" x14ac:dyDescent="0.3">
      <c r="AD367">
        <v>366</v>
      </c>
      <c r="AE367">
        <f>Raw_Data!L367</f>
        <v>17281</v>
      </c>
    </row>
    <row r="368" spans="30:31" x14ac:dyDescent="0.3">
      <c r="AD368">
        <v>367</v>
      </c>
      <c r="AE368">
        <f>Raw_Data!L368</f>
        <v>45062</v>
      </c>
    </row>
    <row r="369" spans="30:31" x14ac:dyDescent="0.3">
      <c r="AD369">
        <v>368</v>
      </c>
      <c r="AE369">
        <f>Raw_Data!L369</f>
        <v>63656</v>
      </c>
    </row>
    <row r="370" spans="30:31" x14ac:dyDescent="0.3">
      <c r="AD370">
        <v>369</v>
      </c>
      <c r="AE370">
        <f>Raw_Data!L370</f>
        <v>75489</v>
      </c>
    </row>
    <row r="371" spans="30:31" x14ac:dyDescent="0.3">
      <c r="AD371">
        <v>370</v>
      </c>
      <c r="AE371">
        <f>Raw_Data!L371</f>
        <v>30188</v>
      </c>
    </row>
    <row r="372" spans="30:31" x14ac:dyDescent="0.3">
      <c r="AD372">
        <v>371</v>
      </c>
      <c r="AE372">
        <f>Raw_Data!L372</f>
        <v>37406</v>
      </c>
    </row>
    <row r="373" spans="30:31" x14ac:dyDescent="0.3">
      <c r="AD373">
        <v>372</v>
      </c>
      <c r="AE373">
        <f>Raw_Data!L373</f>
        <v>30406</v>
      </c>
    </row>
    <row r="374" spans="30:31" x14ac:dyDescent="0.3">
      <c r="AD374">
        <v>373</v>
      </c>
      <c r="AE374">
        <f>Raw_Data!L374</f>
        <v>89687</v>
      </c>
    </row>
    <row r="375" spans="30:31" x14ac:dyDescent="0.3">
      <c r="AD375">
        <v>374</v>
      </c>
      <c r="AE375">
        <f>Raw_Data!L375</f>
        <v>24281</v>
      </c>
    </row>
    <row r="376" spans="30:31" x14ac:dyDescent="0.3">
      <c r="AD376">
        <v>375</v>
      </c>
      <c r="AE376">
        <f>Raw_Data!L376</f>
        <v>55781</v>
      </c>
    </row>
    <row r="377" spans="30:31" x14ac:dyDescent="0.3">
      <c r="AD377">
        <v>376</v>
      </c>
      <c r="AE377">
        <f>Raw_Data!L377</f>
        <v>61250</v>
      </c>
    </row>
    <row r="378" spans="30:31" x14ac:dyDescent="0.3">
      <c r="AD378">
        <v>377</v>
      </c>
      <c r="AE378">
        <f>Raw_Data!L378</f>
        <v>40688</v>
      </c>
    </row>
    <row r="379" spans="30:31" x14ac:dyDescent="0.3">
      <c r="AD379">
        <v>378</v>
      </c>
      <c r="AE379">
        <f>Raw_Data!L379</f>
        <v>50531</v>
      </c>
    </row>
    <row r="380" spans="30:31" x14ac:dyDescent="0.3">
      <c r="AD380">
        <v>379</v>
      </c>
      <c r="AE380">
        <f>Raw_Data!L380</f>
        <v>23625</v>
      </c>
    </row>
    <row r="381" spans="30:31" x14ac:dyDescent="0.3">
      <c r="AD381">
        <v>380</v>
      </c>
      <c r="AE381">
        <f>Raw_Data!L381</f>
        <v>99750</v>
      </c>
    </row>
    <row r="382" spans="30:31" x14ac:dyDescent="0.3">
      <c r="AD382">
        <v>381</v>
      </c>
      <c r="AE382">
        <f>Raw_Data!L382</f>
        <v>32375</v>
      </c>
    </row>
    <row r="383" spans="30:31" x14ac:dyDescent="0.3">
      <c r="AD383">
        <v>382</v>
      </c>
      <c r="AE383">
        <f>Raw_Data!L383</f>
        <v>81168</v>
      </c>
    </row>
    <row r="384" spans="30:31" x14ac:dyDescent="0.3">
      <c r="AD384">
        <v>383</v>
      </c>
      <c r="AE384">
        <f>Raw_Data!L384</f>
        <v>17281</v>
      </c>
    </row>
    <row r="385" spans="30:31" x14ac:dyDescent="0.3">
      <c r="AD385">
        <v>384</v>
      </c>
      <c r="AE385">
        <f>Raw_Data!L385</f>
        <v>33031</v>
      </c>
    </row>
    <row r="386" spans="30:31" x14ac:dyDescent="0.3">
      <c r="AD386">
        <v>385</v>
      </c>
      <c r="AE386">
        <f>Raw_Data!L386</f>
        <v>62344</v>
      </c>
    </row>
    <row r="387" spans="30:31" x14ac:dyDescent="0.3">
      <c r="AD387">
        <v>386</v>
      </c>
      <c r="AE387">
        <f>Raw_Data!L387</f>
        <v>40031</v>
      </c>
    </row>
    <row r="388" spans="30:31" x14ac:dyDescent="0.3">
      <c r="AD388">
        <v>387</v>
      </c>
      <c r="AE388">
        <f>Raw_Data!L388</f>
        <v>21219</v>
      </c>
    </row>
    <row r="389" spans="30:31" x14ac:dyDescent="0.3">
      <c r="AD389">
        <v>388</v>
      </c>
      <c r="AE389">
        <f>Raw_Data!L389</f>
        <v>45500</v>
      </c>
    </row>
    <row r="390" spans="30:31" x14ac:dyDescent="0.3">
      <c r="AD390">
        <v>389</v>
      </c>
      <c r="AE390">
        <f>Raw_Data!L390</f>
        <v>39812</v>
      </c>
    </row>
    <row r="391" spans="30:31" x14ac:dyDescent="0.3">
      <c r="AD391">
        <v>390</v>
      </c>
      <c r="AE391">
        <f>Raw_Data!L391</f>
        <v>20781</v>
      </c>
    </row>
    <row r="392" spans="30:31" x14ac:dyDescent="0.3">
      <c r="AD392">
        <v>391</v>
      </c>
      <c r="AE392">
        <f>Raw_Data!L392</f>
        <v>49219</v>
      </c>
    </row>
    <row r="393" spans="30:31" x14ac:dyDescent="0.3">
      <c r="AD393">
        <v>392</v>
      </c>
      <c r="AE393">
        <f>Raw_Data!L393</f>
        <v>40688</v>
      </c>
    </row>
    <row r="394" spans="30:31" x14ac:dyDescent="0.3">
      <c r="AD394">
        <v>393</v>
      </c>
      <c r="AE394">
        <f>Raw_Data!L394</f>
        <v>48781</v>
      </c>
    </row>
    <row r="395" spans="30:31" x14ac:dyDescent="0.3">
      <c r="AD395">
        <v>394</v>
      </c>
      <c r="AE395">
        <f>Raw_Data!L395</f>
        <v>45719</v>
      </c>
    </row>
    <row r="396" spans="30:31" x14ac:dyDescent="0.3">
      <c r="AD396">
        <v>395</v>
      </c>
      <c r="AE396">
        <f>Raw_Data!L396</f>
        <v>40688</v>
      </c>
    </row>
    <row r="397" spans="30:31" x14ac:dyDescent="0.3">
      <c r="AD397">
        <v>396</v>
      </c>
      <c r="AE397">
        <f>Raw_Data!L397</f>
        <v>15750</v>
      </c>
    </row>
    <row r="398" spans="30:31" x14ac:dyDescent="0.3">
      <c r="AD398">
        <v>397</v>
      </c>
      <c r="AE398">
        <f>Raw_Data!L398</f>
        <v>49875</v>
      </c>
    </row>
    <row r="399" spans="30:31" x14ac:dyDescent="0.3">
      <c r="AD399">
        <v>398</v>
      </c>
      <c r="AE399">
        <f>Raw_Data!L399</f>
        <v>32812</v>
      </c>
    </row>
    <row r="400" spans="30:31" x14ac:dyDescent="0.3">
      <c r="AD400">
        <v>399</v>
      </c>
      <c r="AE400">
        <f>Raw_Data!L400</f>
        <v>27562</v>
      </c>
    </row>
    <row r="401" spans="30:31" x14ac:dyDescent="0.3">
      <c r="AD401">
        <v>400</v>
      </c>
      <c r="AE401">
        <f>Raw_Data!L401</f>
        <v>86611</v>
      </c>
    </row>
    <row r="402" spans="30:31" x14ac:dyDescent="0.3">
      <c r="AD402">
        <v>401</v>
      </c>
      <c r="AE402">
        <f>Raw_Data!L402</f>
        <v>53008</v>
      </c>
    </row>
    <row r="403" spans="30:31" x14ac:dyDescent="0.3">
      <c r="AD403">
        <v>402</v>
      </c>
      <c r="AE403">
        <f>Raw_Data!L403</f>
        <v>30625</v>
      </c>
    </row>
    <row r="404" spans="30:31" x14ac:dyDescent="0.3">
      <c r="AD404">
        <v>403</v>
      </c>
      <c r="AE404">
        <f>Raw_Data!L404</f>
        <v>12250</v>
      </c>
    </row>
    <row r="405" spans="30:31" x14ac:dyDescent="0.3">
      <c r="AD405">
        <v>404</v>
      </c>
      <c r="AE405">
        <f>Raw_Data!L405</f>
        <v>18594</v>
      </c>
    </row>
    <row r="406" spans="30:31" x14ac:dyDescent="0.3">
      <c r="AD406">
        <v>405</v>
      </c>
      <c r="AE406">
        <f>Raw_Data!L406</f>
        <v>21219</v>
      </c>
    </row>
    <row r="407" spans="30:31" x14ac:dyDescent="0.3">
      <c r="AD407">
        <v>406</v>
      </c>
      <c r="AE407">
        <f>Raw_Data!L407</f>
        <v>55344</v>
      </c>
    </row>
    <row r="408" spans="30:31" x14ac:dyDescent="0.3">
      <c r="AD408">
        <v>407</v>
      </c>
      <c r="AE408">
        <f>Raw_Data!L408</f>
        <v>20781</v>
      </c>
    </row>
    <row r="409" spans="30:31" x14ac:dyDescent="0.3">
      <c r="AD409">
        <v>408</v>
      </c>
      <c r="AE409">
        <f>Raw_Data!L409</f>
        <v>79511</v>
      </c>
    </row>
    <row r="410" spans="30:31" x14ac:dyDescent="0.3">
      <c r="AD410">
        <v>409</v>
      </c>
      <c r="AE410">
        <f>Raw_Data!L410</f>
        <v>21219</v>
      </c>
    </row>
    <row r="411" spans="30:31" x14ac:dyDescent="0.3">
      <c r="AD411">
        <v>410</v>
      </c>
      <c r="AE411">
        <f>Raw_Data!L411</f>
        <v>16406</v>
      </c>
    </row>
    <row r="412" spans="30:31" x14ac:dyDescent="0.3">
      <c r="AD412">
        <v>411</v>
      </c>
      <c r="AE412">
        <f>Raw_Data!L412</f>
        <v>16406</v>
      </c>
    </row>
    <row r="413" spans="30:31" x14ac:dyDescent="0.3">
      <c r="AD413">
        <v>412</v>
      </c>
      <c r="AE413">
        <f>Raw_Data!L413</f>
        <v>69336</v>
      </c>
    </row>
    <row r="414" spans="30:31" x14ac:dyDescent="0.3">
      <c r="AD414">
        <v>413</v>
      </c>
      <c r="AE414">
        <f>Raw_Data!L414</f>
        <v>56321</v>
      </c>
    </row>
    <row r="415" spans="30:31" x14ac:dyDescent="0.3">
      <c r="AD415">
        <v>414</v>
      </c>
      <c r="AE415">
        <f>Raw_Data!L415</f>
        <v>28000</v>
      </c>
    </row>
    <row r="416" spans="30:31" x14ac:dyDescent="0.3">
      <c r="AD416">
        <v>415</v>
      </c>
      <c r="AE416">
        <f>Raw_Data!L416</f>
        <v>64130</v>
      </c>
    </row>
    <row r="417" spans="30:31" x14ac:dyDescent="0.3">
      <c r="AD417">
        <v>416</v>
      </c>
      <c r="AE417">
        <f>Raw_Data!L417</f>
        <v>17938</v>
      </c>
    </row>
    <row r="418" spans="30:31" x14ac:dyDescent="0.3">
      <c r="AD418">
        <v>417</v>
      </c>
      <c r="AE418">
        <f>Raw_Data!L418</f>
        <v>57740</v>
      </c>
    </row>
    <row r="419" spans="30:31" x14ac:dyDescent="0.3">
      <c r="AD419">
        <v>418</v>
      </c>
      <c r="AE419">
        <f>Raw_Data!L419</f>
        <v>37625</v>
      </c>
    </row>
    <row r="420" spans="30:31" x14ac:dyDescent="0.3">
      <c r="AD420">
        <v>419</v>
      </c>
      <c r="AE420">
        <f>Raw_Data!L420</f>
        <v>39375</v>
      </c>
    </row>
    <row r="421" spans="30:31" x14ac:dyDescent="0.3">
      <c r="AD421">
        <v>420</v>
      </c>
      <c r="AE421">
        <f>Raw_Data!L421</f>
        <v>25375</v>
      </c>
    </row>
    <row r="422" spans="30:31" x14ac:dyDescent="0.3">
      <c r="AD422">
        <v>421</v>
      </c>
      <c r="AE422">
        <f>Raw_Data!L422</f>
        <v>91580</v>
      </c>
    </row>
    <row r="423" spans="30:31" x14ac:dyDescent="0.3">
      <c r="AD423">
        <v>422</v>
      </c>
      <c r="AE423">
        <f>Raw_Data!L423</f>
        <v>35000</v>
      </c>
    </row>
    <row r="424" spans="30:31" x14ac:dyDescent="0.3">
      <c r="AD424">
        <v>423</v>
      </c>
      <c r="AE424">
        <f>Raw_Data!L424</f>
        <v>15750</v>
      </c>
    </row>
    <row r="425" spans="30:31" x14ac:dyDescent="0.3">
      <c r="AD425">
        <v>424</v>
      </c>
      <c r="AE425">
        <f>Raw_Data!L425</f>
        <v>64366</v>
      </c>
    </row>
    <row r="426" spans="30:31" x14ac:dyDescent="0.3">
      <c r="AD426">
        <v>425</v>
      </c>
      <c r="AE426">
        <f>Raw_Data!L426</f>
        <v>16625</v>
      </c>
    </row>
    <row r="427" spans="30:31" x14ac:dyDescent="0.3">
      <c r="AD427">
        <v>426</v>
      </c>
      <c r="AE427">
        <f>Raw_Data!L427</f>
        <v>44625</v>
      </c>
    </row>
    <row r="428" spans="30:31" x14ac:dyDescent="0.3">
      <c r="AD428">
        <v>427</v>
      </c>
      <c r="AE428">
        <f>Raw_Data!L428</f>
        <v>37406</v>
      </c>
    </row>
    <row r="429" spans="30:31" x14ac:dyDescent="0.3">
      <c r="AD429">
        <v>428</v>
      </c>
      <c r="AE429">
        <f>Raw_Data!L429</f>
        <v>37406</v>
      </c>
    </row>
    <row r="430" spans="30:31" x14ac:dyDescent="0.3">
      <c r="AD430">
        <v>429</v>
      </c>
      <c r="AE430">
        <f>Raw_Data!L430</f>
        <v>32156</v>
      </c>
    </row>
    <row r="431" spans="30:31" x14ac:dyDescent="0.3">
      <c r="AD431">
        <v>430</v>
      </c>
      <c r="AE431">
        <f>Raw_Data!L431</f>
        <v>20781</v>
      </c>
    </row>
    <row r="432" spans="30:31" x14ac:dyDescent="0.3">
      <c r="AD432">
        <v>431</v>
      </c>
      <c r="AE432">
        <f>Raw_Data!L432</f>
        <v>59634</v>
      </c>
    </row>
    <row r="433" spans="30:31" x14ac:dyDescent="0.3">
      <c r="AD433">
        <v>432</v>
      </c>
      <c r="AE433">
        <f>Raw_Data!L433</f>
        <v>14438</v>
      </c>
    </row>
    <row r="434" spans="30:31" x14ac:dyDescent="0.3">
      <c r="AD434">
        <v>433</v>
      </c>
      <c r="AE434">
        <f>Raw_Data!L434</f>
        <v>29094</v>
      </c>
    </row>
    <row r="435" spans="30:31" x14ac:dyDescent="0.3">
      <c r="AD435">
        <v>434</v>
      </c>
      <c r="AE435">
        <f>Raw_Data!L435</f>
        <v>51351</v>
      </c>
    </row>
    <row r="436" spans="30:31" x14ac:dyDescent="0.3">
      <c r="AD436">
        <v>435</v>
      </c>
      <c r="AE436">
        <f>Raw_Data!L436</f>
        <v>29969</v>
      </c>
    </row>
    <row r="437" spans="30:31" x14ac:dyDescent="0.3">
      <c r="AD437">
        <v>436</v>
      </c>
      <c r="AE437">
        <f>Raw_Data!L437</f>
        <v>50969</v>
      </c>
    </row>
    <row r="438" spans="30:31" x14ac:dyDescent="0.3">
      <c r="AD438">
        <v>437</v>
      </c>
      <c r="AE438">
        <f>Raw_Data!L438</f>
        <v>34562</v>
      </c>
    </row>
    <row r="439" spans="30:31" x14ac:dyDescent="0.3">
      <c r="AD439">
        <v>438</v>
      </c>
      <c r="AE439">
        <f>Raw_Data!L439</f>
        <v>21219</v>
      </c>
    </row>
    <row r="440" spans="30:31" x14ac:dyDescent="0.3">
      <c r="AD440">
        <v>439</v>
      </c>
      <c r="AE440">
        <f>Raw_Data!L440</f>
        <v>16188</v>
      </c>
    </row>
    <row r="441" spans="30:31" x14ac:dyDescent="0.3">
      <c r="AD441">
        <v>440</v>
      </c>
      <c r="AE441">
        <f>Raw_Data!L441</f>
        <v>128023</v>
      </c>
    </row>
    <row r="442" spans="30:31" x14ac:dyDescent="0.3">
      <c r="AD442">
        <v>441</v>
      </c>
      <c r="AE442">
        <f>Raw_Data!L442</f>
        <v>13781</v>
      </c>
    </row>
    <row r="443" spans="30:31" x14ac:dyDescent="0.3">
      <c r="AD443">
        <v>442</v>
      </c>
      <c r="AE443">
        <f>Raw_Data!L443</f>
        <v>38281</v>
      </c>
    </row>
    <row r="444" spans="30:31" x14ac:dyDescent="0.3">
      <c r="AD444">
        <v>443</v>
      </c>
      <c r="AE444">
        <f>Raw_Data!L444</f>
        <v>40250</v>
      </c>
    </row>
    <row r="445" spans="30:31" x14ac:dyDescent="0.3">
      <c r="AD445">
        <v>444</v>
      </c>
      <c r="AE445">
        <f>Raw_Data!L445</f>
        <v>44844</v>
      </c>
    </row>
    <row r="446" spans="30:31" x14ac:dyDescent="0.3">
      <c r="AD446">
        <v>445</v>
      </c>
      <c r="AE446">
        <f>Raw_Data!L446</f>
        <v>59397</v>
      </c>
    </row>
    <row r="447" spans="30:31" x14ac:dyDescent="0.3">
      <c r="AD447">
        <v>446</v>
      </c>
      <c r="AE447">
        <f>Raw_Data!L447</f>
        <v>76908</v>
      </c>
    </row>
    <row r="448" spans="30:31" x14ac:dyDescent="0.3">
      <c r="AD448">
        <v>447</v>
      </c>
      <c r="AE448">
        <f>Raw_Data!L448</f>
        <v>20562</v>
      </c>
    </row>
    <row r="449" spans="30:31" x14ac:dyDescent="0.3">
      <c r="AD449">
        <v>448</v>
      </c>
      <c r="AE449">
        <f>Raw_Data!L449</f>
        <v>24500</v>
      </c>
    </row>
    <row r="450" spans="30:31" x14ac:dyDescent="0.3">
      <c r="AD450">
        <v>449</v>
      </c>
      <c r="AE450">
        <f>Raw_Data!L450</f>
        <v>14656</v>
      </c>
    </row>
    <row r="451" spans="30:31" x14ac:dyDescent="0.3">
      <c r="AD451">
        <v>450</v>
      </c>
      <c r="AE451">
        <f>Raw_Data!L451</f>
        <v>44625</v>
      </c>
    </row>
    <row r="452" spans="30:31" x14ac:dyDescent="0.3">
      <c r="AD452">
        <v>451</v>
      </c>
      <c r="AE452">
        <f>Raw_Data!L452</f>
        <v>17500</v>
      </c>
    </row>
    <row r="453" spans="30:31" x14ac:dyDescent="0.3">
      <c r="AD453">
        <v>452</v>
      </c>
      <c r="AE453">
        <f>Raw_Data!L453</f>
        <v>38719</v>
      </c>
    </row>
    <row r="454" spans="30:31" x14ac:dyDescent="0.3">
      <c r="AD454">
        <v>453</v>
      </c>
      <c r="AE454">
        <f>Raw_Data!L454</f>
        <v>31281</v>
      </c>
    </row>
    <row r="455" spans="30:31" x14ac:dyDescent="0.3">
      <c r="AD455">
        <v>454</v>
      </c>
      <c r="AE455">
        <f>Raw_Data!L455</f>
        <v>16625</v>
      </c>
    </row>
    <row r="456" spans="30:31" x14ac:dyDescent="0.3">
      <c r="AD456">
        <v>455</v>
      </c>
      <c r="AE456">
        <f>Raw_Data!L456</f>
        <v>20344</v>
      </c>
    </row>
    <row r="457" spans="30:31" x14ac:dyDescent="0.3">
      <c r="AD457">
        <v>456</v>
      </c>
      <c r="AE457">
        <f>Raw_Data!L457</f>
        <v>58844</v>
      </c>
    </row>
    <row r="458" spans="30:31" x14ac:dyDescent="0.3">
      <c r="AD458">
        <v>457</v>
      </c>
      <c r="AE458">
        <f>Raw_Data!L458</f>
        <v>69809</v>
      </c>
    </row>
    <row r="459" spans="30:31" x14ac:dyDescent="0.3">
      <c r="AD459">
        <v>458</v>
      </c>
      <c r="AE459">
        <f>Raw_Data!L459</f>
        <v>39375</v>
      </c>
    </row>
    <row r="460" spans="30:31" x14ac:dyDescent="0.3">
      <c r="AD460">
        <v>459</v>
      </c>
      <c r="AE460">
        <f>Raw_Data!L460</f>
        <v>17719</v>
      </c>
    </row>
    <row r="461" spans="30:31" x14ac:dyDescent="0.3">
      <c r="AD461">
        <v>460</v>
      </c>
      <c r="AE461">
        <f>Raw_Data!L461</f>
        <v>14438</v>
      </c>
    </row>
    <row r="462" spans="30:31" x14ac:dyDescent="0.3">
      <c r="AD462">
        <v>461</v>
      </c>
      <c r="AE462">
        <f>Raw_Data!L462</f>
        <v>40031</v>
      </c>
    </row>
    <row r="463" spans="30:31" x14ac:dyDescent="0.3">
      <c r="AD463">
        <v>462</v>
      </c>
      <c r="AE463">
        <f>Raw_Data!L463</f>
        <v>78802</v>
      </c>
    </row>
    <row r="464" spans="30:31" x14ac:dyDescent="0.3">
      <c r="AD464">
        <v>463</v>
      </c>
      <c r="AE464">
        <f>Raw_Data!L464</f>
        <v>33688</v>
      </c>
    </row>
    <row r="465" spans="30:31" x14ac:dyDescent="0.3">
      <c r="AD465">
        <v>464</v>
      </c>
      <c r="AE465">
        <f>Raw_Data!L465</f>
        <v>33469</v>
      </c>
    </row>
    <row r="466" spans="30:31" x14ac:dyDescent="0.3">
      <c r="AD466">
        <v>465</v>
      </c>
      <c r="AE466">
        <f>Raw_Data!L466</f>
        <v>57031</v>
      </c>
    </row>
    <row r="467" spans="30:31" x14ac:dyDescent="0.3">
      <c r="AD467">
        <v>466</v>
      </c>
      <c r="AE467">
        <f>Raw_Data!L467</f>
        <v>69336</v>
      </c>
    </row>
    <row r="468" spans="30:31" x14ac:dyDescent="0.3">
      <c r="AD468">
        <v>467</v>
      </c>
      <c r="AE468">
        <f>Raw_Data!L468</f>
        <v>34344</v>
      </c>
    </row>
    <row r="469" spans="30:31" x14ac:dyDescent="0.3">
      <c r="AD469">
        <v>468</v>
      </c>
      <c r="AE469">
        <f>Raw_Data!L469</f>
        <v>43312</v>
      </c>
    </row>
    <row r="470" spans="30:31" x14ac:dyDescent="0.3">
      <c r="AD470">
        <v>469</v>
      </c>
      <c r="AE470">
        <f>Raw_Data!L470</f>
        <v>16844</v>
      </c>
    </row>
    <row r="471" spans="30:31" x14ac:dyDescent="0.3">
      <c r="AD471">
        <v>470</v>
      </c>
      <c r="AE471">
        <f>Raw_Data!L471</f>
        <v>42438</v>
      </c>
    </row>
    <row r="472" spans="30:31" x14ac:dyDescent="0.3">
      <c r="AD472">
        <v>471</v>
      </c>
      <c r="AE472">
        <f>Raw_Data!L472</f>
        <v>19469</v>
      </c>
    </row>
    <row r="473" spans="30:31" x14ac:dyDescent="0.3">
      <c r="AD473">
        <v>472</v>
      </c>
      <c r="AE473">
        <f>Raw_Data!L473</f>
        <v>37406</v>
      </c>
    </row>
    <row r="474" spans="30:31" x14ac:dyDescent="0.3">
      <c r="AD474">
        <v>473</v>
      </c>
      <c r="AE474">
        <f>Raw_Data!L474</f>
        <v>56656</v>
      </c>
    </row>
    <row r="475" spans="30:31" x14ac:dyDescent="0.3">
      <c r="AD475">
        <v>474</v>
      </c>
      <c r="AE475">
        <f>Raw_Data!L475</f>
        <v>34781</v>
      </c>
    </row>
    <row r="476" spans="30:31" x14ac:dyDescent="0.3">
      <c r="AD476">
        <v>475</v>
      </c>
      <c r="AE476">
        <f>Raw_Data!L476</f>
        <v>46156</v>
      </c>
    </row>
    <row r="477" spans="30:31" x14ac:dyDescent="0.3">
      <c r="AD477">
        <v>476</v>
      </c>
      <c r="AE477">
        <f>Raw_Data!L477</f>
        <v>18812</v>
      </c>
    </row>
    <row r="478" spans="30:31" x14ac:dyDescent="0.3">
      <c r="AD478">
        <v>477</v>
      </c>
      <c r="AE478">
        <f>Raw_Data!L478</f>
        <v>16844</v>
      </c>
    </row>
    <row r="479" spans="30:31" x14ac:dyDescent="0.3">
      <c r="AD479">
        <v>478</v>
      </c>
      <c r="AE479">
        <f>Raw_Data!L479</f>
        <v>28438</v>
      </c>
    </row>
    <row r="480" spans="30:31" x14ac:dyDescent="0.3">
      <c r="AD480">
        <v>479</v>
      </c>
      <c r="AE480">
        <f>Raw_Data!L480</f>
        <v>38500</v>
      </c>
    </row>
    <row r="481" spans="30:31" x14ac:dyDescent="0.3">
      <c r="AD481">
        <v>480</v>
      </c>
      <c r="AE481">
        <f>Raw_Data!L481</f>
        <v>79038</v>
      </c>
    </row>
    <row r="482" spans="30:31" x14ac:dyDescent="0.3">
      <c r="AD482">
        <v>481</v>
      </c>
      <c r="AE482">
        <f>Raw_Data!L482</f>
        <v>50969</v>
      </c>
    </row>
    <row r="483" spans="30:31" x14ac:dyDescent="0.3">
      <c r="AD483">
        <v>482</v>
      </c>
      <c r="AE483">
        <f>Raw_Data!L483</f>
        <v>30188</v>
      </c>
    </row>
    <row r="484" spans="30:31" x14ac:dyDescent="0.3">
      <c r="AD484">
        <v>483</v>
      </c>
      <c r="AE484">
        <f>Raw_Data!L484</f>
        <v>27344</v>
      </c>
    </row>
    <row r="485" spans="30:31" x14ac:dyDescent="0.3">
      <c r="AD485">
        <v>484</v>
      </c>
      <c r="AE485">
        <f>Raw_Data!L485</f>
        <v>21219</v>
      </c>
    </row>
    <row r="486" spans="30:31" x14ac:dyDescent="0.3">
      <c r="AD486">
        <v>485</v>
      </c>
      <c r="AE486">
        <f>Raw_Data!L486</f>
        <v>22750</v>
      </c>
    </row>
    <row r="487" spans="30:31" x14ac:dyDescent="0.3">
      <c r="AD487">
        <v>486</v>
      </c>
      <c r="AE487">
        <f>Raw_Data!L487</f>
        <v>28656</v>
      </c>
    </row>
    <row r="488" spans="30:31" x14ac:dyDescent="0.3">
      <c r="AD488">
        <v>487</v>
      </c>
      <c r="AE488">
        <f>Raw_Data!L488</f>
        <v>94938</v>
      </c>
    </row>
    <row r="489" spans="30:31" x14ac:dyDescent="0.3">
      <c r="AD489">
        <v>488</v>
      </c>
      <c r="AE489">
        <f>Raw_Data!L489</f>
        <v>39156</v>
      </c>
    </row>
    <row r="490" spans="30:31" x14ac:dyDescent="0.3">
      <c r="AD490">
        <v>489</v>
      </c>
      <c r="AE490">
        <f>Raw_Data!L490</f>
        <v>38500</v>
      </c>
    </row>
    <row r="491" spans="30:31" x14ac:dyDescent="0.3">
      <c r="AD491">
        <v>490</v>
      </c>
      <c r="AE491">
        <f>Raw_Data!L491</f>
        <v>37188</v>
      </c>
    </row>
    <row r="492" spans="30:31" x14ac:dyDescent="0.3">
      <c r="AD492">
        <v>491</v>
      </c>
      <c r="AE492">
        <f>Raw_Data!L492</f>
        <v>42656</v>
      </c>
    </row>
    <row r="493" spans="30:31" x14ac:dyDescent="0.3">
      <c r="AD493">
        <v>492</v>
      </c>
      <c r="AE493">
        <f>Raw_Data!L493</f>
        <v>60594</v>
      </c>
    </row>
    <row r="494" spans="30:31" x14ac:dyDescent="0.3">
      <c r="AD494">
        <v>493</v>
      </c>
      <c r="AE494">
        <f>Raw_Data!L494</f>
        <v>21219</v>
      </c>
    </row>
    <row r="495" spans="30:31" x14ac:dyDescent="0.3">
      <c r="AD495">
        <v>494</v>
      </c>
      <c r="AE495">
        <f>Raw_Data!L495</f>
        <v>37406</v>
      </c>
    </row>
    <row r="496" spans="30:31" x14ac:dyDescent="0.3">
      <c r="AD496">
        <v>495</v>
      </c>
      <c r="AE496">
        <f>Raw_Data!L496</f>
        <v>16406</v>
      </c>
    </row>
    <row r="497" spans="30:31" x14ac:dyDescent="0.3">
      <c r="AD497">
        <v>496</v>
      </c>
      <c r="AE497">
        <f>Raw_Data!L497</f>
        <v>40469</v>
      </c>
    </row>
    <row r="498" spans="30:31" x14ac:dyDescent="0.3">
      <c r="AD498">
        <v>497</v>
      </c>
      <c r="AE498">
        <f>Raw_Data!L498</f>
        <v>38938</v>
      </c>
    </row>
    <row r="499" spans="30:31" x14ac:dyDescent="0.3">
      <c r="AD499">
        <v>498</v>
      </c>
      <c r="AE499">
        <f>Raw_Data!L499</f>
        <v>24281</v>
      </c>
    </row>
    <row r="500" spans="30:31" x14ac:dyDescent="0.3">
      <c r="AD500">
        <v>499</v>
      </c>
      <c r="AE500">
        <f>Raw_Data!L500</f>
        <v>29312</v>
      </c>
    </row>
    <row r="501" spans="30:31" x14ac:dyDescent="0.3">
      <c r="AD501">
        <v>500</v>
      </c>
      <c r="AE501">
        <f>Raw_Data!L501</f>
        <v>92312</v>
      </c>
    </row>
    <row r="502" spans="30:31" x14ac:dyDescent="0.3">
      <c r="AD502">
        <v>501</v>
      </c>
      <c r="AE502">
        <f>Raw_Data!L502</f>
        <v>30188</v>
      </c>
    </row>
    <row r="503" spans="30:31" x14ac:dyDescent="0.3">
      <c r="AD503">
        <v>502</v>
      </c>
      <c r="AE503">
        <f>Raw_Data!L503</f>
        <v>47565</v>
      </c>
    </row>
    <row r="504" spans="30:31" x14ac:dyDescent="0.3">
      <c r="AD504">
        <v>503</v>
      </c>
      <c r="AE504">
        <f>Raw_Data!L504</f>
        <v>38719</v>
      </c>
    </row>
    <row r="505" spans="30:31" x14ac:dyDescent="0.3">
      <c r="AD505">
        <v>504</v>
      </c>
      <c r="AE505">
        <f>Raw_Data!L505</f>
        <v>15750</v>
      </c>
    </row>
    <row r="506" spans="30:31" x14ac:dyDescent="0.3">
      <c r="AD506">
        <v>505</v>
      </c>
      <c r="AE506">
        <f>Raw_Data!L506</f>
        <v>16406</v>
      </c>
    </row>
    <row r="507" spans="30:31" x14ac:dyDescent="0.3">
      <c r="AD507">
        <v>506</v>
      </c>
      <c r="AE507">
        <f>Raw_Data!L507</f>
        <v>41125</v>
      </c>
    </row>
    <row r="508" spans="30:31" x14ac:dyDescent="0.3">
      <c r="AD508">
        <v>507</v>
      </c>
      <c r="AE508">
        <f>Raw_Data!L508</f>
        <v>20125</v>
      </c>
    </row>
    <row r="509" spans="30:31" x14ac:dyDescent="0.3">
      <c r="AD509">
        <v>508</v>
      </c>
      <c r="AE509">
        <f>Raw_Data!L509</f>
        <v>45719</v>
      </c>
    </row>
    <row r="510" spans="30:31" x14ac:dyDescent="0.3">
      <c r="AD510">
        <v>509</v>
      </c>
      <c r="AE510">
        <f>Raw_Data!L510</f>
        <v>49656</v>
      </c>
    </row>
    <row r="511" spans="30:31" x14ac:dyDescent="0.3">
      <c r="AD511">
        <v>510</v>
      </c>
      <c r="AE511">
        <f>Raw_Data!L511</f>
        <v>33469</v>
      </c>
    </row>
    <row r="512" spans="30:31" x14ac:dyDescent="0.3">
      <c r="AD512">
        <v>511</v>
      </c>
      <c r="AE512">
        <f>Raw_Data!L512</f>
        <v>29094</v>
      </c>
    </row>
    <row r="513" spans="30:31" x14ac:dyDescent="0.3">
      <c r="AD513">
        <v>512</v>
      </c>
      <c r="AE513">
        <f>Raw_Data!L513</f>
        <v>43750</v>
      </c>
    </row>
    <row r="514" spans="30:31" x14ac:dyDescent="0.3">
      <c r="AD514">
        <v>513</v>
      </c>
      <c r="AE514">
        <f>Raw_Data!L514</f>
        <v>34125</v>
      </c>
    </row>
    <row r="515" spans="30:31" x14ac:dyDescent="0.3">
      <c r="AD515">
        <v>514</v>
      </c>
      <c r="AE515">
        <f>Raw_Data!L515</f>
        <v>29312</v>
      </c>
    </row>
    <row r="516" spans="30:31" x14ac:dyDescent="0.3">
      <c r="AD516">
        <v>515</v>
      </c>
      <c r="AE516">
        <f>Raw_Data!L516</f>
        <v>21875</v>
      </c>
    </row>
    <row r="517" spans="30:31" x14ac:dyDescent="0.3">
      <c r="AD517">
        <v>516</v>
      </c>
      <c r="AE517">
        <f>Raw_Data!L517</f>
        <v>30188</v>
      </c>
    </row>
    <row r="518" spans="30:31" x14ac:dyDescent="0.3">
      <c r="AD518">
        <v>517</v>
      </c>
      <c r="AE518">
        <f>Raw_Data!L518</f>
        <v>48344</v>
      </c>
    </row>
    <row r="519" spans="30:31" x14ac:dyDescent="0.3">
      <c r="AD519">
        <v>518</v>
      </c>
      <c r="AE519">
        <f>Raw_Data!L519</f>
        <v>33469</v>
      </c>
    </row>
    <row r="520" spans="30:31" x14ac:dyDescent="0.3">
      <c r="AD520">
        <v>519</v>
      </c>
      <c r="AE520">
        <f>Raw_Data!L520</f>
        <v>46375</v>
      </c>
    </row>
    <row r="521" spans="30:31" x14ac:dyDescent="0.3">
      <c r="AD521">
        <v>520</v>
      </c>
      <c r="AE521">
        <f>Raw_Data!L521</f>
        <v>19469</v>
      </c>
    </row>
    <row r="522" spans="30:31" x14ac:dyDescent="0.3">
      <c r="AD522">
        <v>521</v>
      </c>
      <c r="AE522">
        <f>Raw_Data!L522</f>
        <v>40250</v>
      </c>
    </row>
    <row r="523" spans="30:31" x14ac:dyDescent="0.3">
      <c r="AD523">
        <v>522</v>
      </c>
      <c r="AE523">
        <f>Raw_Data!L523</f>
        <v>18375</v>
      </c>
    </row>
    <row r="524" spans="30:31" x14ac:dyDescent="0.3">
      <c r="AD524">
        <v>523</v>
      </c>
      <c r="AE524">
        <f>Raw_Data!L524</f>
        <v>33250</v>
      </c>
    </row>
    <row r="525" spans="30:31" x14ac:dyDescent="0.3">
      <c r="AD525">
        <v>524</v>
      </c>
      <c r="AE525">
        <f>Raw_Data!L525</f>
        <v>31719</v>
      </c>
    </row>
    <row r="526" spans="30:31" x14ac:dyDescent="0.3">
      <c r="AD526">
        <v>525</v>
      </c>
      <c r="AE526">
        <f>Raw_Data!L526</f>
        <v>51625</v>
      </c>
    </row>
    <row r="527" spans="30:31" x14ac:dyDescent="0.3">
      <c r="AD527">
        <v>526</v>
      </c>
      <c r="AE527">
        <f>Raw_Data!L527</f>
        <v>38500</v>
      </c>
    </row>
    <row r="528" spans="30:31" x14ac:dyDescent="0.3">
      <c r="AD528">
        <v>527</v>
      </c>
      <c r="AE528">
        <f>Raw_Data!L528</f>
        <v>16625</v>
      </c>
    </row>
    <row r="529" spans="30:31" x14ac:dyDescent="0.3">
      <c r="AD529">
        <v>528</v>
      </c>
      <c r="AE529">
        <f>Raw_Data!L529</f>
        <v>27562</v>
      </c>
    </row>
    <row r="530" spans="30:31" x14ac:dyDescent="0.3">
      <c r="AD530">
        <v>529</v>
      </c>
      <c r="AE530">
        <f>Raw_Data!L530</f>
        <v>49931</v>
      </c>
    </row>
    <row r="531" spans="30:31" x14ac:dyDescent="0.3">
      <c r="AD531">
        <v>530</v>
      </c>
      <c r="AE531">
        <f>Raw_Data!L531</f>
        <v>14438</v>
      </c>
    </row>
    <row r="532" spans="30:31" x14ac:dyDescent="0.3">
      <c r="AD532">
        <v>531</v>
      </c>
      <c r="AE532">
        <f>Raw_Data!L532</f>
        <v>31500</v>
      </c>
    </row>
    <row r="533" spans="30:31" x14ac:dyDescent="0.3">
      <c r="AD533">
        <v>532</v>
      </c>
      <c r="AE533">
        <f>Raw_Data!L533</f>
        <v>82824</v>
      </c>
    </row>
    <row r="534" spans="30:31" x14ac:dyDescent="0.3">
      <c r="AD534">
        <v>533</v>
      </c>
      <c r="AE534">
        <f>Raw_Data!L534</f>
        <v>36969</v>
      </c>
    </row>
    <row r="535" spans="30:31" x14ac:dyDescent="0.3">
      <c r="AD535">
        <v>534</v>
      </c>
      <c r="AE535">
        <f>Raw_Data!L535</f>
        <v>78328</v>
      </c>
    </row>
    <row r="536" spans="30:31" x14ac:dyDescent="0.3">
      <c r="AD536">
        <v>535</v>
      </c>
      <c r="AE536">
        <f>Raw_Data!L536</f>
        <v>16406</v>
      </c>
    </row>
    <row r="537" spans="30:31" x14ac:dyDescent="0.3">
      <c r="AD537">
        <v>536</v>
      </c>
      <c r="AE537">
        <f>Raw_Data!L537</f>
        <v>82115</v>
      </c>
    </row>
    <row r="538" spans="30:31" x14ac:dyDescent="0.3">
      <c r="AD538">
        <v>537</v>
      </c>
      <c r="AE538">
        <f>Raw_Data!L538</f>
        <v>45938</v>
      </c>
    </row>
    <row r="539" spans="30:31" x14ac:dyDescent="0.3">
      <c r="AD539">
        <v>538</v>
      </c>
      <c r="AE539">
        <f>Raw_Data!L539</f>
        <v>47469</v>
      </c>
    </row>
    <row r="540" spans="30:31" x14ac:dyDescent="0.3">
      <c r="AD540">
        <v>539</v>
      </c>
      <c r="AE540">
        <f>Raw_Data!L540</f>
        <v>53718</v>
      </c>
    </row>
    <row r="541" spans="30:31" x14ac:dyDescent="0.3">
      <c r="AD541">
        <v>540</v>
      </c>
      <c r="AE541">
        <f>Raw_Data!L541</f>
        <v>40469</v>
      </c>
    </row>
    <row r="542" spans="30:31" x14ac:dyDescent="0.3">
      <c r="AD542">
        <v>541</v>
      </c>
      <c r="AE542">
        <f>Raw_Data!L542</f>
        <v>47906</v>
      </c>
    </row>
    <row r="543" spans="30:31" x14ac:dyDescent="0.3">
      <c r="AD543">
        <v>542</v>
      </c>
      <c r="AE543">
        <f>Raw_Data!L543</f>
        <v>15312</v>
      </c>
    </row>
    <row r="544" spans="30:31" x14ac:dyDescent="0.3">
      <c r="AD544">
        <v>543</v>
      </c>
      <c r="AE544">
        <f>Raw_Data!L544</f>
        <v>40031</v>
      </c>
    </row>
    <row r="545" spans="30:31" x14ac:dyDescent="0.3">
      <c r="AD545">
        <v>544</v>
      </c>
      <c r="AE545">
        <f>Raw_Data!L545</f>
        <v>18812</v>
      </c>
    </row>
    <row r="546" spans="30:31" x14ac:dyDescent="0.3">
      <c r="AD546">
        <v>545</v>
      </c>
      <c r="AE546">
        <f>Raw_Data!L546</f>
        <v>15312</v>
      </c>
    </row>
    <row r="547" spans="30:31" x14ac:dyDescent="0.3">
      <c r="AD547">
        <v>546</v>
      </c>
      <c r="AE547">
        <f>Raw_Data!L547</f>
        <v>63438</v>
      </c>
    </row>
    <row r="548" spans="30:31" x14ac:dyDescent="0.3">
      <c r="AD548">
        <v>547</v>
      </c>
      <c r="AE548">
        <f>Raw_Data!L548</f>
        <v>20125</v>
      </c>
    </row>
    <row r="549" spans="30:31" x14ac:dyDescent="0.3">
      <c r="AD549">
        <v>548</v>
      </c>
      <c r="AE549">
        <f>Raw_Data!L549</f>
        <v>18594</v>
      </c>
    </row>
    <row r="550" spans="30:31" x14ac:dyDescent="0.3">
      <c r="AD550">
        <v>549</v>
      </c>
      <c r="AE550">
        <f>Raw_Data!L550</f>
        <v>38938</v>
      </c>
    </row>
    <row r="551" spans="30:31" x14ac:dyDescent="0.3">
      <c r="AD551">
        <v>550</v>
      </c>
      <c r="AE551">
        <f>Raw_Data!L551</f>
        <v>14219</v>
      </c>
    </row>
    <row r="552" spans="30:31" x14ac:dyDescent="0.3">
      <c r="AD552">
        <v>551</v>
      </c>
      <c r="AE552">
        <f>Raw_Data!L552</f>
        <v>37406</v>
      </c>
    </row>
    <row r="553" spans="30:31" x14ac:dyDescent="0.3">
      <c r="AD553">
        <v>552</v>
      </c>
      <c r="AE553">
        <f>Raw_Data!L553</f>
        <v>14875</v>
      </c>
    </row>
    <row r="554" spans="30:31" x14ac:dyDescent="0.3">
      <c r="AD554">
        <v>553</v>
      </c>
      <c r="AE554">
        <f>Raw_Data!L554</f>
        <v>80695</v>
      </c>
    </row>
    <row r="555" spans="30:31" x14ac:dyDescent="0.3">
      <c r="AD555">
        <v>554</v>
      </c>
      <c r="AE555">
        <f>Raw_Data!L555</f>
        <v>15531</v>
      </c>
    </row>
    <row r="556" spans="30:31" x14ac:dyDescent="0.3">
      <c r="AD556">
        <v>555</v>
      </c>
      <c r="AE556">
        <f>Raw_Data!L556</f>
        <v>31281</v>
      </c>
    </row>
    <row r="557" spans="30:31" x14ac:dyDescent="0.3">
      <c r="AD557">
        <v>556</v>
      </c>
      <c r="AE557">
        <f>Raw_Data!L557</f>
        <v>33906</v>
      </c>
    </row>
    <row r="558" spans="30:31" x14ac:dyDescent="0.3">
      <c r="AD558">
        <v>557</v>
      </c>
      <c r="AE558">
        <f>Raw_Data!L558</f>
        <v>22094</v>
      </c>
    </row>
    <row r="559" spans="30:31" x14ac:dyDescent="0.3">
      <c r="AD559">
        <v>558</v>
      </c>
      <c r="AE559">
        <f>Raw_Data!L559</f>
        <v>40906</v>
      </c>
    </row>
    <row r="560" spans="30:31" x14ac:dyDescent="0.3">
      <c r="AD560">
        <v>559</v>
      </c>
      <c r="AE560">
        <f>Raw_Data!L560</f>
        <v>33906</v>
      </c>
    </row>
    <row r="561" spans="30:31" x14ac:dyDescent="0.3">
      <c r="AD561">
        <v>560</v>
      </c>
      <c r="AE561">
        <f>Raw_Data!L561</f>
        <v>26906</v>
      </c>
    </row>
    <row r="562" spans="30:31" x14ac:dyDescent="0.3">
      <c r="AD562">
        <v>561</v>
      </c>
      <c r="AE562">
        <f>Raw_Data!L562</f>
        <v>17281</v>
      </c>
    </row>
    <row r="563" spans="30:31" x14ac:dyDescent="0.3">
      <c r="AD563">
        <v>562</v>
      </c>
      <c r="AE563">
        <f>Raw_Data!L563</f>
        <v>39156</v>
      </c>
    </row>
    <row r="564" spans="30:31" x14ac:dyDescent="0.3">
      <c r="AD564">
        <v>563</v>
      </c>
      <c r="AE564">
        <f>Raw_Data!L564</f>
        <v>33906</v>
      </c>
    </row>
    <row r="565" spans="30:31" x14ac:dyDescent="0.3">
      <c r="AD565">
        <v>564</v>
      </c>
      <c r="AE565">
        <f>Raw_Data!L565</f>
        <v>29531</v>
      </c>
    </row>
    <row r="566" spans="30:31" x14ac:dyDescent="0.3">
      <c r="AD566">
        <v>565</v>
      </c>
      <c r="AE566">
        <f>Raw_Data!L566</f>
        <v>25594</v>
      </c>
    </row>
    <row r="567" spans="30:31" x14ac:dyDescent="0.3">
      <c r="AD567">
        <v>566</v>
      </c>
      <c r="AE567">
        <f>Raw_Data!L567</f>
        <v>14875</v>
      </c>
    </row>
    <row r="568" spans="30:31" x14ac:dyDescent="0.3">
      <c r="AD568">
        <v>567</v>
      </c>
      <c r="AE568">
        <f>Raw_Data!L568</f>
        <v>22531</v>
      </c>
    </row>
    <row r="569" spans="30:31" x14ac:dyDescent="0.3">
      <c r="AD569">
        <v>568</v>
      </c>
      <c r="AE569">
        <f>Raw_Data!L569</f>
        <v>48125</v>
      </c>
    </row>
    <row r="570" spans="30:31" x14ac:dyDescent="0.3">
      <c r="AD570">
        <v>569</v>
      </c>
      <c r="AE570">
        <f>Raw_Data!L570</f>
        <v>37844</v>
      </c>
    </row>
    <row r="571" spans="30:31" x14ac:dyDescent="0.3">
      <c r="AD571">
        <v>570</v>
      </c>
      <c r="AE571">
        <f>Raw_Data!L571</f>
        <v>28000</v>
      </c>
    </row>
    <row r="572" spans="30:31" x14ac:dyDescent="0.3">
      <c r="AD572">
        <v>571</v>
      </c>
      <c r="AE572">
        <f>Raw_Data!L572</f>
        <v>37625</v>
      </c>
    </row>
    <row r="573" spans="30:31" x14ac:dyDescent="0.3">
      <c r="AD573">
        <v>572</v>
      </c>
      <c r="AE573">
        <f>Raw_Data!L573</f>
        <v>81641</v>
      </c>
    </row>
    <row r="574" spans="30:31" x14ac:dyDescent="0.3">
      <c r="AD574">
        <v>573</v>
      </c>
      <c r="AE574">
        <f>Raw_Data!L574</f>
        <v>15312</v>
      </c>
    </row>
    <row r="575" spans="30:31" x14ac:dyDescent="0.3">
      <c r="AD575">
        <v>574</v>
      </c>
      <c r="AE575">
        <f>Raw_Data!L575</f>
        <v>16188</v>
      </c>
    </row>
    <row r="576" spans="30:31" x14ac:dyDescent="0.3">
      <c r="AD576">
        <v>575</v>
      </c>
      <c r="AE576">
        <f>Raw_Data!L576</f>
        <v>59719</v>
      </c>
    </row>
    <row r="577" spans="30:31" x14ac:dyDescent="0.3">
      <c r="AD577">
        <v>576</v>
      </c>
      <c r="AE577">
        <f>Raw_Data!L577</f>
        <v>30844</v>
      </c>
    </row>
    <row r="578" spans="30:31" x14ac:dyDescent="0.3">
      <c r="AD578">
        <v>577</v>
      </c>
      <c r="AE578">
        <f>Raw_Data!L578</f>
        <v>13562</v>
      </c>
    </row>
    <row r="579" spans="30:31" x14ac:dyDescent="0.3">
      <c r="AD579">
        <v>578</v>
      </c>
      <c r="AE579">
        <f>Raw_Data!L579</f>
        <v>31500</v>
      </c>
    </row>
    <row r="580" spans="30:31" x14ac:dyDescent="0.3">
      <c r="AD580">
        <v>579</v>
      </c>
      <c r="AE580">
        <f>Raw_Data!L580</f>
        <v>69809</v>
      </c>
    </row>
    <row r="581" spans="30:31" x14ac:dyDescent="0.3">
      <c r="AD581">
        <v>580</v>
      </c>
      <c r="AE581">
        <f>Raw_Data!L581</f>
        <v>35656</v>
      </c>
    </row>
    <row r="582" spans="30:31" x14ac:dyDescent="0.3">
      <c r="AD582">
        <v>581</v>
      </c>
      <c r="AE582">
        <f>Raw_Data!L582</f>
        <v>25594</v>
      </c>
    </row>
    <row r="583" spans="30:31" x14ac:dyDescent="0.3">
      <c r="AD583">
        <v>582</v>
      </c>
      <c r="AE583">
        <f>Raw_Data!L583</f>
        <v>15531</v>
      </c>
    </row>
    <row r="584" spans="30:31" x14ac:dyDescent="0.3">
      <c r="AD584">
        <v>583</v>
      </c>
      <c r="AE584">
        <f>Raw_Data!L584</f>
        <v>19688</v>
      </c>
    </row>
    <row r="585" spans="30:31" x14ac:dyDescent="0.3">
      <c r="AD585">
        <v>584</v>
      </c>
      <c r="AE585">
        <f>Raw_Data!L585</f>
        <v>146244</v>
      </c>
    </row>
    <row r="586" spans="30:31" x14ac:dyDescent="0.3">
      <c r="AD586">
        <v>585</v>
      </c>
      <c r="AE586">
        <f>Raw_Data!L586</f>
        <v>21219</v>
      </c>
    </row>
    <row r="587" spans="30:31" x14ac:dyDescent="0.3">
      <c r="AD587">
        <v>586</v>
      </c>
      <c r="AE587">
        <f>Raw_Data!L587</f>
        <v>18156</v>
      </c>
    </row>
    <row r="588" spans="30:31" x14ac:dyDescent="0.3">
      <c r="AD588">
        <v>587</v>
      </c>
      <c r="AE588">
        <f>Raw_Data!L588</f>
        <v>41562</v>
      </c>
    </row>
    <row r="589" spans="30:31" x14ac:dyDescent="0.3">
      <c r="AD589">
        <v>588</v>
      </c>
      <c r="AE589">
        <f>Raw_Data!L589</f>
        <v>19031</v>
      </c>
    </row>
    <row r="590" spans="30:31" x14ac:dyDescent="0.3">
      <c r="AD590">
        <v>589</v>
      </c>
      <c r="AE590">
        <f>Raw_Data!L590</f>
        <v>31719</v>
      </c>
    </row>
    <row r="591" spans="30:31" x14ac:dyDescent="0.3">
      <c r="AD591">
        <v>590</v>
      </c>
      <c r="AE591">
        <f>Raw_Data!L591</f>
        <v>49656</v>
      </c>
    </row>
    <row r="592" spans="30:31" x14ac:dyDescent="0.3">
      <c r="AD592">
        <v>591</v>
      </c>
      <c r="AE592">
        <f>Raw_Data!L592</f>
        <v>34125</v>
      </c>
    </row>
    <row r="593" spans="30:31" x14ac:dyDescent="0.3">
      <c r="AD593">
        <v>592</v>
      </c>
      <c r="AE593">
        <f>Raw_Data!L593</f>
        <v>39375</v>
      </c>
    </row>
    <row r="594" spans="30:31" x14ac:dyDescent="0.3">
      <c r="AD594">
        <v>593</v>
      </c>
      <c r="AE594">
        <f>Raw_Data!L594</f>
        <v>32156</v>
      </c>
    </row>
    <row r="595" spans="30:31" x14ac:dyDescent="0.3">
      <c r="AD595">
        <v>594</v>
      </c>
      <c r="AE595">
        <f>Raw_Data!L595</f>
        <v>48125</v>
      </c>
    </row>
    <row r="596" spans="30:31" x14ac:dyDescent="0.3">
      <c r="AD596">
        <v>595</v>
      </c>
      <c r="AE596">
        <f>Raw_Data!L596</f>
        <v>72649</v>
      </c>
    </row>
    <row r="597" spans="30:31" x14ac:dyDescent="0.3">
      <c r="AD597">
        <v>596</v>
      </c>
      <c r="AE597">
        <f>Raw_Data!L597</f>
        <v>42656</v>
      </c>
    </row>
    <row r="598" spans="30:31" x14ac:dyDescent="0.3">
      <c r="AD598">
        <v>597</v>
      </c>
      <c r="AE598">
        <f>Raw_Data!L598</f>
        <v>16844</v>
      </c>
    </row>
    <row r="599" spans="30:31" x14ac:dyDescent="0.3">
      <c r="AD599">
        <v>598</v>
      </c>
      <c r="AE599">
        <f>Raw_Data!L599</f>
        <v>30625</v>
      </c>
    </row>
    <row r="600" spans="30:31" x14ac:dyDescent="0.3">
      <c r="AD600">
        <v>599</v>
      </c>
      <c r="AE600">
        <f>Raw_Data!L600</f>
        <v>58406</v>
      </c>
    </row>
    <row r="601" spans="30:31" x14ac:dyDescent="0.3">
      <c r="AD601">
        <v>600</v>
      </c>
      <c r="AE601">
        <f>Raw_Data!L601</f>
        <v>13125</v>
      </c>
    </row>
    <row r="602" spans="30:31" x14ac:dyDescent="0.3">
      <c r="AD602">
        <v>601</v>
      </c>
      <c r="AE602">
        <f>Raw_Data!L602</f>
        <v>95812</v>
      </c>
    </row>
    <row r="603" spans="30:31" x14ac:dyDescent="0.3">
      <c r="AD603">
        <v>602</v>
      </c>
      <c r="AE603">
        <f>Raw_Data!L603</f>
        <v>83061</v>
      </c>
    </row>
    <row r="604" spans="30:31" x14ac:dyDescent="0.3">
      <c r="AD604">
        <v>603</v>
      </c>
      <c r="AE604">
        <f>Raw_Data!L604</f>
        <v>37844</v>
      </c>
    </row>
    <row r="605" spans="30:31" x14ac:dyDescent="0.3">
      <c r="AD605">
        <v>604</v>
      </c>
      <c r="AE605">
        <f>Raw_Data!L605</f>
        <v>17062</v>
      </c>
    </row>
    <row r="606" spans="30:31" x14ac:dyDescent="0.3">
      <c r="AD606">
        <v>605</v>
      </c>
      <c r="AE606">
        <f>Raw_Data!L606</f>
        <v>33688</v>
      </c>
    </row>
    <row r="607" spans="30:31" x14ac:dyDescent="0.3">
      <c r="AD607">
        <v>606</v>
      </c>
      <c r="AE607">
        <f>Raw_Data!L607</f>
        <v>17281</v>
      </c>
    </row>
    <row r="608" spans="30:31" x14ac:dyDescent="0.3">
      <c r="AD608">
        <v>607</v>
      </c>
      <c r="AE608">
        <f>Raw_Data!L608</f>
        <v>48781</v>
      </c>
    </row>
    <row r="609" spans="30:31" x14ac:dyDescent="0.3">
      <c r="AD609">
        <v>608</v>
      </c>
      <c r="AE609">
        <f>Raw_Data!L609</f>
        <v>36312</v>
      </c>
    </row>
    <row r="610" spans="30:31" x14ac:dyDescent="0.3">
      <c r="AD610">
        <v>609</v>
      </c>
      <c r="AE610">
        <f>Raw_Data!L610</f>
        <v>43750</v>
      </c>
    </row>
    <row r="611" spans="30:31" x14ac:dyDescent="0.3">
      <c r="AD611">
        <v>610</v>
      </c>
      <c r="AE611">
        <f>Raw_Data!L611</f>
        <v>35438</v>
      </c>
    </row>
    <row r="612" spans="30:31" x14ac:dyDescent="0.3">
      <c r="AD612">
        <v>611</v>
      </c>
      <c r="AE612">
        <f>Raw_Data!L612</f>
        <v>42000</v>
      </c>
    </row>
    <row r="613" spans="30:31" x14ac:dyDescent="0.3">
      <c r="AD613">
        <v>612</v>
      </c>
      <c r="AE613">
        <f>Raw_Data!L613</f>
        <v>84008</v>
      </c>
    </row>
    <row r="614" spans="30:31" x14ac:dyDescent="0.3">
      <c r="AD614">
        <v>613</v>
      </c>
      <c r="AE614">
        <f>Raw_Data!L614</f>
        <v>13344</v>
      </c>
    </row>
    <row r="615" spans="30:31" x14ac:dyDescent="0.3">
      <c r="AD615">
        <v>614</v>
      </c>
      <c r="AE615">
        <f>Raw_Data!L615</f>
        <v>62473</v>
      </c>
    </row>
    <row r="616" spans="30:31" x14ac:dyDescent="0.3">
      <c r="AD616">
        <v>615</v>
      </c>
      <c r="AE616">
        <f>Raw_Data!L616</f>
        <v>14875</v>
      </c>
    </row>
    <row r="617" spans="30:31" x14ac:dyDescent="0.3">
      <c r="AD617">
        <v>616</v>
      </c>
      <c r="AE617">
        <f>Raw_Data!L617</f>
        <v>70992</v>
      </c>
    </row>
    <row r="618" spans="30:31" x14ac:dyDescent="0.3">
      <c r="AD618">
        <v>617</v>
      </c>
      <c r="AE618">
        <f>Raw_Data!L618</f>
        <v>137252</v>
      </c>
    </row>
    <row r="619" spans="30:31" x14ac:dyDescent="0.3">
      <c r="AD619">
        <v>618</v>
      </c>
      <c r="AE619">
        <f>Raw_Data!L619</f>
        <v>30188</v>
      </c>
    </row>
    <row r="620" spans="30:31" x14ac:dyDescent="0.3">
      <c r="AD620">
        <v>619</v>
      </c>
      <c r="AE620">
        <f>Raw_Data!L620</f>
        <v>90397</v>
      </c>
    </row>
    <row r="621" spans="30:31" x14ac:dyDescent="0.3">
      <c r="AD621">
        <v>620</v>
      </c>
      <c r="AE621">
        <f>Raw_Data!L621</f>
        <v>49656</v>
      </c>
    </row>
    <row r="622" spans="30:31" x14ac:dyDescent="0.3">
      <c r="AD622">
        <v>621</v>
      </c>
      <c r="AE622">
        <f>Raw_Data!L622</f>
        <v>21875</v>
      </c>
    </row>
    <row r="623" spans="30:31" x14ac:dyDescent="0.3">
      <c r="AD623">
        <v>622</v>
      </c>
      <c r="AE623">
        <f>Raw_Data!L623</f>
        <v>22312</v>
      </c>
    </row>
    <row r="624" spans="30:31" x14ac:dyDescent="0.3">
      <c r="AD624">
        <v>623</v>
      </c>
      <c r="AE624">
        <f>Raw_Data!L624</f>
        <v>39594</v>
      </c>
    </row>
    <row r="625" spans="30:31" x14ac:dyDescent="0.3">
      <c r="AD625">
        <v>624</v>
      </c>
      <c r="AE625">
        <f>Raw_Data!L625</f>
        <v>28219</v>
      </c>
    </row>
    <row r="626" spans="30:31" x14ac:dyDescent="0.3">
      <c r="AD626">
        <v>625</v>
      </c>
      <c r="AE626">
        <f>Raw_Data!L626</f>
        <v>20562</v>
      </c>
    </row>
    <row r="627" spans="30:31" x14ac:dyDescent="0.3">
      <c r="AD627">
        <v>626</v>
      </c>
      <c r="AE627">
        <f>Raw_Data!L627</f>
        <v>43094</v>
      </c>
    </row>
    <row r="628" spans="30:31" x14ac:dyDescent="0.3">
      <c r="AD628">
        <v>627</v>
      </c>
      <c r="AE628">
        <f>Raw_Data!L628</f>
        <v>29312</v>
      </c>
    </row>
    <row r="629" spans="30:31" x14ac:dyDescent="0.3">
      <c r="AD629">
        <v>628</v>
      </c>
      <c r="AE629">
        <f>Raw_Data!L629</f>
        <v>36094</v>
      </c>
    </row>
    <row r="630" spans="30:31" x14ac:dyDescent="0.3">
      <c r="AD630">
        <v>629</v>
      </c>
      <c r="AE630">
        <f>Raw_Data!L630</f>
        <v>15969</v>
      </c>
    </row>
    <row r="631" spans="30:31" x14ac:dyDescent="0.3">
      <c r="AD631">
        <v>630</v>
      </c>
      <c r="AE631">
        <f>Raw_Data!L631</f>
        <v>41125</v>
      </c>
    </row>
    <row r="632" spans="30:31" x14ac:dyDescent="0.3">
      <c r="AD632">
        <v>631</v>
      </c>
      <c r="AE632">
        <f>Raw_Data!L632</f>
        <v>67206</v>
      </c>
    </row>
    <row r="633" spans="30:31" x14ac:dyDescent="0.3">
      <c r="AD633">
        <v>632</v>
      </c>
      <c r="AE633">
        <f>Raw_Data!L633</f>
        <v>57977</v>
      </c>
    </row>
    <row r="634" spans="30:31" x14ac:dyDescent="0.3">
      <c r="AD634">
        <v>633</v>
      </c>
      <c r="AE634">
        <f>Raw_Data!L634</f>
        <v>40250</v>
      </c>
    </row>
    <row r="635" spans="30:31" x14ac:dyDescent="0.3">
      <c r="AD635">
        <v>634</v>
      </c>
      <c r="AE635">
        <f>Raw_Data!L635</f>
        <v>43750</v>
      </c>
    </row>
    <row r="636" spans="30:31" x14ac:dyDescent="0.3">
      <c r="AD636">
        <v>635</v>
      </c>
      <c r="AE636">
        <f>Raw_Data!L636</f>
        <v>48562</v>
      </c>
    </row>
    <row r="637" spans="30:31" x14ac:dyDescent="0.3">
      <c r="AD637">
        <v>636</v>
      </c>
      <c r="AE637">
        <f>Raw_Data!L637</f>
        <v>44625</v>
      </c>
    </row>
    <row r="638" spans="30:31" x14ac:dyDescent="0.3">
      <c r="AD638">
        <v>637</v>
      </c>
      <c r="AE638">
        <f>Raw_Data!L638</f>
        <v>50750</v>
      </c>
    </row>
    <row r="639" spans="30:31" x14ac:dyDescent="0.3">
      <c r="AD639">
        <v>638</v>
      </c>
      <c r="AE639">
        <f>Raw_Data!L639</f>
        <v>21000</v>
      </c>
    </row>
    <row r="640" spans="30:31" x14ac:dyDescent="0.3">
      <c r="AD640">
        <v>639</v>
      </c>
      <c r="AE640">
        <f>Raw_Data!L640</f>
        <v>50094</v>
      </c>
    </row>
    <row r="641" spans="30:31" x14ac:dyDescent="0.3">
      <c r="AD641">
        <v>640</v>
      </c>
      <c r="AE641">
        <f>Raw_Data!L641</f>
        <v>17500</v>
      </c>
    </row>
    <row r="642" spans="30:31" x14ac:dyDescent="0.3">
      <c r="AD642">
        <v>641</v>
      </c>
      <c r="AE642">
        <f>Raw_Data!L642</f>
        <v>45062</v>
      </c>
    </row>
    <row r="643" spans="30:31" x14ac:dyDescent="0.3">
      <c r="AD643">
        <v>642</v>
      </c>
      <c r="AE643">
        <f>Raw_Data!L643</f>
        <v>34125</v>
      </c>
    </row>
    <row r="644" spans="30:31" x14ac:dyDescent="0.3">
      <c r="AD644">
        <v>643</v>
      </c>
      <c r="AE644">
        <f>Raw_Data!L644</f>
        <v>16188</v>
      </c>
    </row>
    <row r="645" spans="30:31" x14ac:dyDescent="0.3">
      <c r="AD645">
        <v>644</v>
      </c>
      <c r="AE645">
        <f>Raw_Data!L645</f>
        <v>29312</v>
      </c>
    </row>
    <row r="646" spans="30:31" x14ac:dyDescent="0.3">
      <c r="AD646">
        <v>645</v>
      </c>
      <c r="AE646">
        <f>Raw_Data!L646</f>
        <v>72176</v>
      </c>
    </row>
    <row r="647" spans="30:31" x14ac:dyDescent="0.3">
      <c r="AD647">
        <v>646</v>
      </c>
      <c r="AE647">
        <f>Raw_Data!L647</f>
        <v>36969</v>
      </c>
    </row>
    <row r="648" spans="30:31" x14ac:dyDescent="0.3">
      <c r="AD648">
        <v>647</v>
      </c>
      <c r="AE648">
        <f>Raw_Data!L648</f>
        <v>31938</v>
      </c>
    </row>
    <row r="649" spans="30:31" x14ac:dyDescent="0.3">
      <c r="AD649">
        <v>648</v>
      </c>
      <c r="AE649">
        <f>Raw_Data!L649</f>
        <v>49438</v>
      </c>
    </row>
    <row r="650" spans="30:31" x14ac:dyDescent="0.3">
      <c r="AD650">
        <v>649</v>
      </c>
      <c r="AE650">
        <f>Raw_Data!L650</f>
        <v>35875</v>
      </c>
    </row>
    <row r="651" spans="30:31" x14ac:dyDescent="0.3">
      <c r="AD651">
        <v>650</v>
      </c>
      <c r="AE651">
        <f>Raw_Data!L651</f>
        <v>26906</v>
      </c>
    </row>
    <row r="652" spans="30:31" x14ac:dyDescent="0.3">
      <c r="AD652">
        <v>651</v>
      </c>
      <c r="AE652">
        <f>Raw_Data!L652</f>
        <v>64750</v>
      </c>
    </row>
    <row r="653" spans="30:31" x14ac:dyDescent="0.3">
      <c r="AD653">
        <v>652</v>
      </c>
      <c r="AE653">
        <f>Raw_Data!L653</f>
        <v>14000</v>
      </c>
    </row>
    <row r="654" spans="30:31" x14ac:dyDescent="0.3">
      <c r="AD654">
        <v>653</v>
      </c>
      <c r="AE654">
        <f>Raw_Data!L654</f>
        <v>44625</v>
      </c>
    </row>
    <row r="655" spans="30:31" x14ac:dyDescent="0.3">
      <c r="AD655">
        <v>654</v>
      </c>
      <c r="AE655">
        <f>Raw_Data!L655</f>
        <v>84008</v>
      </c>
    </row>
    <row r="656" spans="30:31" x14ac:dyDescent="0.3">
      <c r="AD656">
        <v>655</v>
      </c>
      <c r="AE656">
        <f>Raw_Data!L656</f>
        <v>27781</v>
      </c>
    </row>
    <row r="657" spans="30:31" x14ac:dyDescent="0.3">
      <c r="AD657">
        <v>656</v>
      </c>
      <c r="AE657">
        <f>Raw_Data!L657</f>
        <v>30406</v>
      </c>
    </row>
    <row r="658" spans="30:31" x14ac:dyDescent="0.3">
      <c r="AD658">
        <v>657</v>
      </c>
      <c r="AE658">
        <f>Raw_Data!L658</f>
        <v>15750</v>
      </c>
    </row>
    <row r="659" spans="30:31" x14ac:dyDescent="0.3">
      <c r="AD659">
        <v>658</v>
      </c>
      <c r="AE659">
        <f>Raw_Data!L659</f>
        <v>14000</v>
      </c>
    </row>
    <row r="660" spans="30:31" x14ac:dyDescent="0.3">
      <c r="AD660">
        <v>659</v>
      </c>
      <c r="AE660">
        <f>Raw_Data!L660</f>
        <v>54906</v>
      </c>
    </row>
    <row r="661" spans="30:31" x14ac:dyDescent="0.3">
      <c r="AD661">
        <v>660</v>
      </c>
      <c r="AE661">
        <f>Raw_Data!L661</f>
        <v>44188</v>
      </c>
    </row>
    <row r="662" spans="30:31" x14ac:dyDescent="0.3">
      <c r="AD662">
        <v>661</v>
      </c>
      <c r="AE662">
        <f>Raw_Data!L662</f>
        <v>41562</v>
      </c>
    </row>
    <row r="663" spans="30:31" x14ac:dyDescent="0.3">
      <c r="AD663">
        <v>662</v>
      </c>
      <c r="AE663">
        <f>Raw_Data!L663</f>
        <v>45500</v>
      </c>
    </row>
    <row r="664" spans="30:31" x14ac:dyDescent="0.3">
      <c r="AD664">
        <v>663</v>
      </c>
      <c r="AE664">
        <f>Raw_Data!L664</f>
        <v>40688</v>
      </c>
    </row>
    <row r="665" spans="30:31" x14ac:dyDescent="0.3">
      <c r="AD665">
        <v>664</v>
      </c>
      <c r="AE665">
        <f>Raw_Data!L665</f>
        <v>21219</v>
      </c>
    </row>
    <row r="666" spans="30:31" x14ac:dyDescent="0.3">
      <c r="AD666">
        <v>665</v>
      </c>
      <c r="AE666">
        <f>Raw_Data!L666</f>
        <v>15969</v>
      </c>
    </row>
    <row r="667" spans="30:31" x14ac:dyDescent="0.3">
      <c r="AD667">
        <v>666</v>
      </c>
      <c r="AE667">
        <f>Raw_Data!L667</f>
        <v>26906</v>
      </c>
    </row>
    <row r="668" spans="30:31" x14ac:dyDescent="0.3">
      <c r="AD668">
        <v>667</v>
      </c>
      <c r="AE668">
        <f>Raw_Data!L668</f>
        <v>24719</v>
      </c>
    </row>
    <row r="669" spans="30:31" x14ac:dyDescent="0.3">
      <c r="AD669">
        <v>668</v>
      </c>
      <c r="AE669">
        <f>Raw_Data!L669</f>
        <v>26469</v>
      </c>
    </row>
    <row r="670" spans="30:31" x14ac:dyDescent="0.3">
      <c r="AD670">
        <v>669</v>
      </c>
      <c r="AE670">
        <f>Raw_Data!L670</f>
        <v>49695</v>
      </c>
    </row>
    <row r="671" spans="30:31" x14ac:dyDescent="0.3">
      <c r="AD671">
        <v>670</v>
      </c>
      <c r="AE671">
        <f>Raw_Data!L671</f>
        <v>21219</v>
      </c>
    </row>
    <row r="672" spans="30:31" x14ac:dyDescent="0.3">
      <c r="AD672">
        <v>671</v>
      </c>
      <c r="AE672">
        <f>Raw_Data!L672</f>
        <v>98219</v>
      </c>
    </row>
    <row r="673" spans="30:31" x14ac:dyDescent="0.3">
      <c r="AD673">
        <v>672</v>
      </c>
      <c r="AE673">
        <f>Raw_Data!L673</f>
        <v>59062</v>
      </c>
    </row>
    <row r="674" spans="30:31" x14ac:dyDescent="0.3">
      <c r="AD674">
        <v>673</v>
      </c>
      <c r="AE674">
        <f>Raw_Data!L674</f>
        <v>84244</v>
      </c>
    </row>
    <row r="675" spans="30:31" x14ac:dyDescent="0.3">
      <c r="AD675">
        <v>674</v>
      </c>
      <c r="AE675">
        <f>Raw_Data!L675</f>
        <v>28219</v>
      </c>
    </row>
    <row r="676" spans="30:31" x14ac:dyDescent="0.3">
      <c r="AD676">
        <v>675</v>
      </c>
      <c r="AE676">
        <f>Raw_Data!L676</f>
        <v>47906</v>
      </c>
    </row>
    <row r="677" spans="30:31" x14ac:dyDescent="0.3">
      <c r="AD677">
        <v>676</v>
      </c>
      <c r="AE677">
        <f>Raw_Data!L677</f>
        <v>105875</v>
      </c>
    </row>
    <row r="678" spans="30:31" x14ac:dyDescent="0.3">
      <c r="AD678">
        <v>677</v>
      </c>
      <c r="AE678">
        <f>Raw_Data!L678</f>
        <v>51115</v>
      </c>
    </row>
    <row r="679" spans="30:31" x14ac:dyDescent="0.3">
      <c r="AD679">
        <v>678</v>
      </c>
      <c r="AE679">
        <f>Raw_Data!L679</f>
        <v>26469</v>
      </c>
    </row>
    <row r="680" spans="30:31" x14ac:dyDescent="0.3">
      <c r="AD680">
        <v>679</v>
      </c>
      <c r="AE680">
        <f>Raw_Data!L680</f>
        <v>41125</v>
      </c>
    </row>
    <row r="681" spans="30:31" x14ac:dyDescent="0.3">
      <c r="AD681">
        <v>680</v>
      </c>
      <c r="AE681">
        <f>Raw_Data!L681</f>
        <v>28656</v>
      </c>
    </row>
    <row r="682" spans="30:31" x14ac:dyDescent="0.3">
      <c r="AD682">
        <v>681</v>
      </c>
      <c r="AE682">
        <f>Raw_Data!L682</f>
        <v>31062</v>
      </c>
    </row>
    <row r="683" spans="30:31" x14ac:dyDescent="0.3">
      <c r="AD683">
        <v>682</v>
      </c>
      <c r="AE683">
        <f>Raw_Data!L683</f>
        <v>38500</v>
      </c>
    </row>
    <row r="684" spans="30:31" x14ac:dyDescent="0.3">
      <c r="AD684">
        <v>683</v>
      </c>
      <c r="AE684">
        <f>Raw_Data!L684</f>
        <v>43969</v>
      </c>
    </row>
    <row r="685" spans="30:31" x14ac:dyDescent="0.3">
      <c r="AD685">
        <v>684</v>
      </c>
      <c r="AE685">
        <f>Raw_Data!L685</f>
        <v>39156</v>
      </c>
    </row>
    <row r="686" spans="30:31" x14ac:dyDescent="0.3">
      <c r="AD686">
        <v>685</v>
      </c>
      <c r="AE686">
        <f>Raw_Data!L686</f>
        <v>36094</v>
      </c>
    </row>
    <row r="687" spans="30:31" x14ac:dyDescent="0.3">
      <c r="AD687">
        <v>686</v>
      </c>
      <c r="AE687">
        <f>Raw_Data!L687</f>
        <v>22969</v>
      </c>
    </row>
    <row r="688" spans="30:31" x14ac:dyDescent="0.3">
      <c r="AD688">
        <v>687</v>
      </c>
      <c r="AE688">
        <f>Raw_Data!L688</f>
        <v>16406</v>
      </c>
    </row>
    <row r="689" spans="30:31" x14ac:dyDescent="0.3">
      <c r="AD689">
        <v>688</v>
      </c>
      <c r="AE689">
        <f>Raw_Data!L689</f>
        <v>29531</v>
      </c>
    </row>
    <row r="690" spans="30:31" x14ac:dyDescent="0.3">
      <c r="AD690">
        <v>689</v>
      </c>
      <c r="AE690">
        <f>Raw_Data!L690</f>
        <v>18594</v>
      </c>
    </row>
    <row r="691" spans="30:31" x14ac:dyDescent="0.3">
      <c r="AD691">
        <v>690</v>
      </c>
      <c r="AE691">
        <f>Raw_Data!L691</f>
        <v>38062</v>
      </c>
    </row>
    <row r="692" spans="30:31" x14ac:dyDescent="0.3">
      <c r="AD692">
        <v>691</v>
      </c>
      <c r="AE692">
        <f>Raw_Data!L692</f>
        <v>32156</v>
      </c>
    </row>
    <row r="693" spans="30:31" x14ac:dyDescent="0.3">
      <c r="AD693">
        <v>692</v>
      </c>
      <c r="AE693">
        <f>Raw_Data!L693</f>
        <v>30188</v>
      </c>
    </row>
    <row r="694" spans="30:31" x14ac:dyDescent="0.3">
      <c r="AD694">
        <v>693</v>
      </c>
      <c r="AE694">
        <f>Raw_Data!L694</f>
        <v>39156</v>
      </c>
    </row>
    <row r="695" spans="30:31" x14ac:dyDescent="0.3">
      <c r="AD695">
        <v>694</v>
      </c>
      <c r="AE695">
        <f>Raw_Data!L695</f>
        <v>85427</v>
      </c>
    </row>
    <row r="696" spans="30:31" x14ac:dyDescent="0.3">
      <c r="AD696">
        <v>695</v>
      </c>
      <c r="AE696">
        <f>Raw_Data!L696</f>
        <v>37625</v>
      </c>
    </row>
    <row r="697" spans="30:31" x14ac:dyDescent="0.3">
      <c r="AD697">
        <v>696</v>
      </c>
      <c r="AE697">
        <f>Raw_Data!L697</f>
        <v>30625</v>
      </c>
    </row>
    <row r="698" spans="30:31" x14ac:dyDescent="0.3">
      <c r="AD698">
        <v>697</v>
      </c>
      <c r="AE698">
        <f>Raw_Data!L698</f>
        <v>56794</v>
      </c>
    </row>
    <row r="699" spans="30:31" x14ac:dyDescent="0.3">
      <c r="AD699">
        <v>698</v>
      </c>
      <c r="AE699">
        <f>Raw_Data!L699</f>
        <v>82588</v>
      </c>
    </row>
    <row r="700" spans="30:31" x14ac:dyDescent="0.3">
      <c r="AD700">
        <v>699</v>
      </c>
      <c r="AE700">
        <f>Raw_Data!L700</f>
        <v>35000</v>
      </c>
    </row>
    <row r="701" spans="30:31" x14ac:dyDescent="0.3">
      <c r="AD701">
        <v>700</v>
      </c>
      <c r="AE701">
        <f>Raw_Data!L701</f>
        <v>17062</v>
      </c>
    </row>
    <row r="702" spans="30:31" x14ac:dyDescent="0.3">
      <c r="AD702">
        <v>701</v>
      </c>
      <c r="AE702">
        <f>Raw_Data!L702</f>
        <v>33031</v>
      </c>
    </row>
    <row r="703" spans="30:31" x14ac:dyDescent="0.3">
      <c r="AD703">
        <v>702</v>
      </c>
      <c r="AE703">
        <f>Raw_Data!L703</f>
        <v>26031</v>
      </c>
    </row>
    <row r="704" spans="30:31" x14ac:dyDescent="0.3">
      <c r="AD704">
        <v>703</v>
      </c>
      <c r="AE704">
        <f>Raw_Data!L704</f>
        <v>26469</v>
      </c>
    </row>
    <row r="705" spans="30:31" x14ac:dyDescent="0.3">
      <c r="AD705">
        <v>704</v>
      </c>
      <c r="AE705">
        <f>Raw_Data!L705</f>
        <v>98438</v>
      </c>
    </row>
    <row r="706" spans="30:31" x14ac:dyDescent="0.3">
      <c r="AD706">
        <v>705</v>
      </c>
      <c r="AE706">
        <f>Raw_Data!L706</f>
        <v>15531</v>
      </c>
    </row>
    <row r="707" spans="30:31" x14ac:dyDescent="0.3">
      <c r="AD707">
        <v>706</v>
      </c>
      <c r="AE707">
        <f>Raw_Data!L707</f>
        <v>16844</v>
      </c>
    </row>
    <row r="708" spans="30:31" x14ac:dyDescent="0.3">
      <c r="AD708">
        <v>707</v>
      </c>
      <c r="AE708">
        <f>Raw_Data!L708</f>
        <v>20562</v>
      </c>
    </row>
    <row r="709" spans="30:31" x14ac:dyDescent="0.3">
      <c r="AD709">
        <v>708</v>
      </c>
      <c r="AE709">
        <f>Raw_Data!L709</f>
        <v>14656</v>
      </c>
    </row>
    <row r="710" spans="30:31" x14ac:dyDescent="0.3">
      <c r="AD710">
        <v>709</v>
      </c>
      <c r="AE710">
        <f>Raw_Data!L710</f>
        <v>32375</v>
      </c>
    </row>
    <row r="711" spans="30:31" x14ac:dyDescent="0.3">
      <c r="AD711">
        <v>710</v>
      </c>
      <c r="AE711">
        <f>Raw_Data!L711</f>
        <v>49656</v>
      </c>
    </row>
    <row r="712" spans="30:31" x14ac:dyDescent="0.3">
      <c r="AD712">
        <v>711</v>
      </c>
      <c r="AE712">
        <f>Raw_Data!L712</f>
        <v>45719</v>
      </c>
    </row>
    <row r="713" spans="30:31" x14ac:dyDescent="0.3">
      <c r="AD713">
        <v>712</v>
      </c>
      <c r="AE713">
        <f>Raw_Data!L713</f>
        <v>101500</v>
      </c>
    </row>
    <row r="714" spans="30:31" x14ac:dyDescent="0.3">
      <c r="AD714">
        <v>713</v>
      </c>
      <c r="AE714">
        <f>Raw_Data!L714</f>
        <v>63438</v>
      </c>
    </row>
    <row r="715" spans="30:31" x14ac:dyDescent="0.3">
      <c r="AD715">
        <v>714</v>
      </c>
      <c r="AE715">
        <f>Raw_Data!L715</f>
        <v>32594</v>
      </c>
    </row>
    <row r="716" spans="30:31" x14ac:dyDescent="0.3">
      <c r="AD716">
        <v>715</v>
      </c>
      <c r="AE716">
        <f>Raw_Data!L716</f>
        <v>55374</v>
      </c>
    </row>
    <row r="717" spans="30:31" x14ac:dyDescent="0.3">
      <c r="AD717">
        <v>716</v>
      </c>
      <c r="AE717">
        <f>Raw_Data!L717</f>
        <v>19906</v>
      </c>
    </row>
    <row r="718" spans="30:31" x14ac:dyDescent="0.3">
      <c r="AD718">
        <v>717</v>
      </c>
      <c r="AE718">
        <f>Raw_Data!L718</f>
        <v>58844</v>
      </c>
    </row>
    <row r="719" spans="30:31" x14ac:dyDescent="0.3">
      <c r="AD719">
        <v>718</v>
      </c>
      <c r="AE719">
        <f>Raw_Data!L719</f>
        <v>50750</v>
      </c>
    </row>
    <row r="720" spans="30:31" x14ac:dyDescent="0.3">
      <c r="AD720">
        <v>719</v>
      </c>
      <c r="AE720">
        <f>Raw_Data!L720</f>
        <v>63438</v>
      </c>
    </row>
    <row r="721" spans="30:31" x14ac:dyDescent="0.3">
      <c r="AD721">
        <v>720</v>
      </c>
      <c r="AE721">
        <f>Raw_Data!L721</f>
        <v>33250</v>
      </c>
    </row>
    <row r="722" spans="30:31" x14ac:dyDescent="0.3">
      <c r="AD722">
        <v>721</v>
      </c>
      <c r="AE722">
        <f>Raw_Data!L722</f>
        <v>59281</v>
      </c>
    </row>
    <row r="723" spans="30:31" x14ac:dyDescent="0.3">
      <c r="AD723">
        <v>722</v>
      </c>
      <c r="AE723">
        <f>Raw_Data!L723</f>
        <v>33031</v>
      </c>
    </row>
    <row r="724" spans="30:31" x14ac:dyDescent="0.3">
      <c r="AD724">
        <v>723</v>
      </c>
      <c r="AE724">
        <f>Raw_Data!L724</f>
        <v>61469</v>
      </c>
    </row>
    <row r="725" spans="30:31" x14ac:dyDescent="0.3">
      <c r="AD725">
        <v>724</v>
      </c>
      <c r="AE725">
        <f>Raw_Data!L725</f>
        <v>50531</v>
      </c>
    </row>
    <row r="726" spans="30:31" x14ac:dyDescent="0.3">
      <c r="AD726">
        <v>725</v>
      </c>
      <c r="AE726">
        <f>Raw_Data!L726</f>
        <v>36531</v>
      </c>
    </row>
    <row r="727" spans="30:31" x14ac:dyDescent="0.3">
      <c r="AD727">
        <v>726</v>
      </c>
      <c r="AE727">
        <f>Raw_Data!L727</f>
        <v>36094</v>
      </c>
    </row>
    <row r="728" spans="30:31" x14ac:dyDescent="0.3">
      <c r="AD728">
        <v>727</v>
      </c>
      <c r="AE728">
        <f>Raw_Data!L728</f>
        <v>79511</v>
      </c>
    </row>
    <row r="729" spans="30:31" x14ac:dyDescent="0.3">
      <c r="AD729">
        <v>728</v>
      </c>
      <c r="AE729">
        <f>Raw_Data!L729</f>
        <v>28656</v>
      </c>
    </row>
    <row r="730" spans="30:31" x14ac:dyDescent="0.3">
      <c r="AD730">
        <v>729</v>
      </c>
      <c r="AE730">
        <f>Raw_Data!L730</f>
        <v>52938</v>
      </c>
    </row>
    <row r="731" spans="30:31" x14ac:dyDescent="0.3">
      <c r="AD731">
        <v>730</v>
      </c>
      <c r="AE731">
        <f>Raw_Data!L731</f>
        <v>40906</v>
      </c>
    </row>
    <row r="732" spans="30:31" x14ac:dyDescent="0.3">
      <c r="AD732">
        <v>731</v>
      </c>
      <c r="AE732">
        <f>Raw_Data!L732</f>
        <v>96688</v>
      </c>
    </row>
    <row r="733" spans="30:31" x14ac:dyDescent="0.3">
      <c r="AD733">
        <v>732</v>
      </c>
      <c r="AE733">
        <f>Raw_Data!L733</f>
        <v>16844</v>
      </c>
    </row>
    <row r="734" spans="30:31" x14ac:dyDescent="0.3">
      <c r="AD734">
        <v>733</v>
      </c>
      <c r="AE734">
        <f>Raw_Data!L734</f>
        <v>93844</v>
      </c>
    </row>
    <row r="735" spans="30:31" x14ac:dyDescent="0.3">
      <c r="AD735">
        <v>734</v>
      </c>
      <c r="AE735">
        <f>Raw_Data!L735</f>
        <v>17062</v>
      </c>
    </row>
    <row r="736" spans="30:31" x14ac:dyDescent="0.3">
      <c r="AD736">
        <v>735</v>
      </c>
      <c r="AE736">
        <f>Raw_Data!L736</f>
        <v>17938</v>
      </c>
    </row>
    <row r="737" spans="30:31" x14ac:dyDescent="0.3">
      <c r="AD737">
        <v>736</v>
      </c>
      <c r="AE737">
        <f>Raw_Data!L737</f>
        <v>57312</v>
      </c>
    </row>
    <row r="738" spans="30:31" x14ac:dyDescent="0.3">
      <c r="AD738">
        <v>737</v>
      </c>
      <c r="AE738">
        <f>Raw_Data!L738</f>
        <v>48781</v>
      </c>
    </row>
    <row r="739" spans="30:31" x14ac:dyDescent="0.3">
      <c r="AD739">
        <v>738</v>
      </c>
      <c r="AE739">
        <f>Raw_Data!L739</f>
        <v>35219</v>
      </c>
    </row>
    <row r="740" spans="30:31" x14ac:dyDescent="0.3">
      <c r="AD740">
        <v>739</v>
      </c>
      <c r="AE740">
        <f>Raw_Data!L740</f>
        <v>41125</v>
      </c>
    </row>
    <row r="741" spans="30:31" x14ac:dyDescent="0.3">
      <c r="AD741">
        <v>740</v>
      </c>
      <c r="AE741">
        <f>Raw_Data!L741</f>
        <v>31938</v>
      </c>
    </row>
    <row r="742" spans="30:31" x14ac:dyDescent="0.3">
      <c r="AD742">
        <v>741</v>
      </c>
      <c r="AE742">
        <f>Raw_Data!L742</f>
        <v>39812</v>
      </c>
    </row>
    <row r="743" spans="30:31" x14ac:dyDescent="0.3">
      <c r="AD743">
        <v>742</v>
      </c>
      <c r="AE743">
        <f>Raw_Data!L743</f>
        <v>47031</v>
      </c>
    </row>
    <row r="744" spans="30:31" x14ac:dyDescent="0.3">
      <c r="AD744">
        <v>743</v>
      </c>
      <c r="AE744">
        <f>Raw_Data!L744</f>
        <v>26469</v>
      </c>
    </row>
    <row r="745" spans="30:31" x14ac:dyDescent="0.3">
      <c r="AD745">
        <v>744</v>
      </c>
      <c r="AE745">
        <f>Raw_Data!L745</f>
        <v>31938</v>
      </c>
    </row>
    <row r="746" spans="30:31" x14ac:dyDescent="0.3">
      <c r="AD746">
        <v>745</v>
      </c>
      <c r="AE746">
        <f>Raw_Data!L746</f>
        <v>32375</v>
      </c>
    </row>
    <row r="747" spans="30:31" x14ac:dyDescent="0.3">
      <c r="AD747">
        <v>746</v>
      </c>
      <c r="AE747">
        <f>Raw_Data!L747</f>
        <v>42219</v>
      </c>
    </row>
    <row r="748" spans="30:31" x14ac:dyDescent="0.3">
      <c r="AD748">
        <v>747</v>
      </c>
      <c r="AE748">
        <f>Raw_Data!L748</f>
        <v>35438</v>
      </c>
    </row>
    <row r="749" spans="30:31" x14ac:dyDescent="0.3">
      <c r="AD749">
        <v>748</v>
      </c>
      <c r="AE749">
        <f>Raw_Data!L749</f>
        <v>41125</v>
      </c>
    </row>
    <row r="750" spans="30:31" x14ac:dyDescent="0.3">
      <c r="AD750">
        <v>749</v>
      </c>
      <c r="AE750">
        <f>Raw_Data!L750</f>
        <v>36750</v>
      </c>
    </row>
    <row r="751" spans="30:31" x14ac:dyDescent="0.3">
      <c r="AD751">
        <v>750</v>
      </c>
      <c r="AE751">
        <f>Raw_Data!L751</f>
        <v>38500</v>
      </c>
    </row>
    <row r="752" spans="30:31" x14ac:dyDescent="0.3">
      <c r="AD752">
        <v>751</v>
      </c>
      <c r="AE752">
        <f>Raw_Data!L752</f>
        <v>33906</v>
      </c>
    </row>
    <row r="753" spans="30:31" x14ac:dyDescent="0.3">
      <c r="AD753">
        <v>752</v>
      </c>
      <c r="AE753">
        <f>Raw_Data!L753</f>
        <v>73832</v>
      </c>
    </row>
    <row r="754" spans="30:31" x14ac:dyDescent="0.3">
      <c r="AD754">
        <v>753</v>
      </c>
      <c r="AE754">
        <f>Raw_Data!L754</f>
        <v>15094</v>
      </c>
    </row>
    <row r="755" spans="30:31" x14ac:dyDescent="0.3">
      <c r="AD755">
        <v>754</v>
      </c>
      <c r="AE755">
        <f>Raw_Data!L755</f>
        <v>38719</v>
      </c>
    </row>
    <row r="756" spans="30:31" x14ac:dyDescent="0.3">
      <c r="AD756">
        <v>755</v>
      </c>
      <c r="AE756">
        <f>Raw_Data!L756</f>
        <v>16625</v>
      </c>
    </row>
    <row r="757" spans="30:31" x14ac:dyDescent="0.3">
      <c r="AD757">
        <v>756</v>
      </c>
      <c r="AE757">
        <f>Raw_Data!L757</f>
        <v>65313</v>
      </c>
    </row>
    <row r="758" spans="30:31" x14ac:dyDescent="0.3">
      <c r="AD758">
        <v>757</v>
      </c>
      <c r="AE758">
        <f>Raw_Data!L758</f>
        <v>44625</v>
      </c>
    </row>
    <row r="759" spans="30:31" x14ac:dyDescent="0.3">
      <c r="AD759">
        <v>758</v>
      </c>
      <c r="AE759">
        <f>Raw_Data!L759</f>
        <v>34344</v>
      </c>
    </row>
    <row r="760" spans="30:31" x14ac:dyDescent="0.3">
      <c r="AD760">
        <v>759</v>
      </c>
      <c r="AE760">
        <f>Raw_Data!L760</f>
        <v>71229</v>
      </c>
    </row>
    <row r="761" spans="30:31" x14ac:dyDescent="0.3">
      <c r="AD761">
        <v>760</v>
      </c>
      <c r="AE761">
        <f>Raw_Data!L761</f>
        <v>34562</v>
      </c>
    </row>
    <row r="762" spans="30:31" x14ac:dyDescent="0.3">
      <c r="AD762">
        <v>761</v>
      </c>
      <c r="AE762">
        <f>Raw_Data!L762</f>
        <v>52061</v>
      </c>
    </row>
    <row r="763" spans="30:31" x14ac:dyDescent="0.3">
      <c r="AD763">
        <v>762</v>
      </c>
      <c r="AE763">
        <f>Raw_Data!L763</f>
        <v>28000</v>
      </c>
    </row>
    <row r="764" spans="30:31" x14ac:dyDescent="0.3">
      <c r="AD764">
        <v>763</v>
      </c>
      <c r="AE764">
        <f>Raw_Data!L764</f>
        <v>19688</v>
      </c>
    </row>
    <row r="765" spans="30:31" x14ac:dyDescent="0.3">
      <c r="AD765">
        <v>764</v>
      </c>
      <c r="AE765">
        <f>Raw_Data!L765</f>
        <v>15969</v>
      </c>
    </row>
    <row r="766" spans="30:31" x14ac:dyDescent="0.3">
      <c r="AD766">
        <v>765</v>
      </c>
      <c r="AE766">
        <f>Raw_Data!L766</f>
        <v>25375</v>
      </c>
    </row>
    <row r="767" spans="30:31" x14ac:dyDescent="0.3">
      <c r="AD767">
        <v>766</v>
      </c>
      <c r="AE767">
        <f>Raw_Data!L767</f>
        <v>30625</v>
      </c>
    </row>
    <row r="768" spans="30:31" x14ac:dyDescent="0.3">
      <c r="AD768">
        <v>767</v>
      </c>
      <c r="AE768">
        <f>Raw_Data!L768</f>
        <v>17938</v>
      </c>
    </row>
    <row r="769" spans="30:31" x14ac:dyDescent="0.3">
      <c r="AD769">
        <v>768</v>
      </c>
      <c r="AE769">
        <f>Raw_Data!L769</f>
        <v>68863</v>
      </c>
    </row>
    <row r="770" spans="30:31" x14ac:dyDescent="0.3">
      <c r="AD770">
        <v>769</v>
      </c>
      <c r="AE770">
        <f>Raw_Data!L770</f>
        <v>31281</v>
      </c>
    </row>
    <row r="771" spans="30:31" x14ac:dyDescent="0.3">
      <c r="AD771">
        <v>770</v>
      </c>
      <c r="AE771">
        <f>Raw_Data!L771</f>
        <v>15969</v>
      </c>
    </row>
    <row r="772" spans="30:31" x14ac:dyDescent="0.3">
      <c r="AD772">
        <v>771</v>
      </c>
      <c r="AE772">
        <f>Raw_Data!L772</f>
        <v>29312</v>
      </c>
    </row>
    <row r="773" spans="30:31" x14ac:dyDescent="0.3">
      <c r="AD773">
        <v>772</v>
      </c>
      <c r="AE773">
        <f>Raw_Data!L773</f>
        <v>16406</v>
      </c>
    </row>
    <row r="774" spans="30:31" x14ac:dyDescent="0.3">
      <c r="AD774">
        <v>773</v>
      </c>
      <c r="AE774">
        <f>Raw_Data!L774</f>
        <v>27781</v>
      </c>
    </row>
    <row r="775" spans="30:31" x14ac:dyDescent="0.3">
      <c r="AD775">
        <v>774</v>
      </c>
      <c r="AE775">
        <f>Raw_Data!L775</f>
        <v>16188</v>
      </c>
    </row>
    <row r="776" spans="30:31" x14ac:dyDescent="0.3">
      <c r="AD776">
        <v>775</v>
      </c>
      <c r="AE776">
        <f>Raw_Data!L776</f>
        <v>54427</v>
      </c>
    </row>
    <row r="777" spans="30:31" x14ac:dyDescent="0.3">
      <c r="AD777">
        <v>776</v>
      </c>
      <c r="AE777">
        <f>Raw_Data!L777</f>
        <v>16625</v>
      </c>
    </row>
    <row r="778" spans="30:31" x14ac:dyDescent="0.3">
      <c r="AD778">
        <v>777</v>
      </c>
      <c r="AE778">
        <f>Raw_Data!L778</f>
        <v>57312</v>
      </c>
    </row>
    <row r="779" spans="30:31" x14ac:dyDescent="0.3">
      <c r="AD779">
        <v>778</v>
      </c>
      <c r="AE779">
        <f>Raw_Data!L779</f>
        <v>30625</v>
      </c>
    </row>
    <row r="780" spans="30:31" x14ac:dyDescent="0.3">
      <c r="AD780">
        <v>779</v>
      </c>
      <c r="AE780">
        <f>Raw_Data!L780</f>
        <v>41125</v>
      </c>
    </row>
    <row r="781" spans="30:31" x14ac:dyDescent="0.3">
      <c r="AD781">
        <v>780</v>
      </c>
      <c r="AE781">
        <f>Raw_Data!L781</f>
        <v>57312</v>
      </c>
    </row>
    <row r="782" spans="30:31" x14ac:dyDescent="0.3">
      <c r="AD782">
        <v>781</v>
      </c>
      <c r="AE782">
        <f>Raw_Data!L782</f>
        <v>74305</v>
      </c>
    </row>
    <row r="783" spans="30:31" x14ac:dyDescent="0.3">
      <c r="AD783">
        <v>782</v>
      </c>
      <c r="AE783">
        <f>Raw_Data!L783</f>
        <v>50531</v>
      </c>
    </row>
    <row r="784" spans="30:31" x14ac:dyDescent="0.3">
      <c r="AD784">
        <v>783</v>
      </c>
      <c r="AE784">
        <f>Raw_Data!L784</f>
        <v>31719</v>
      </c>
    </row>
    <row r="785" spans="30:31" x14ac:dyDescent="0.3">
      <c r="AD785">
        <v>784</v>
      </c>
      <c r="AE785">
        <f>Raw_Data!L785</f>
        <v>24938</v>
      </c>
    </row>
    <row r="786" spans="30:31" x14ac:dyDescent="0.3">
      <c r="AD786">
        <v>785</v>
      </c>
      <c r="AE786">
        <f>Raw_Data!L786</f>
        <v>28219</v>
      </c>
    </row>
    <row r="787" spans="30:31" x14ac:dyDescent="0.3">
      <c r="AD787">
        <v>786</v>
      </c>
      <c r="AE787">
        <f>Raw_Data!L787</f>
        <v>38938</v>
      </c>
    </row>
    <row r="788" spans="30:31" x14ac:dyDescent="0.3">
      <c r="AD788">
        <v>787</v>
      </c>
      <c r="AE788">
        <f>Raw_Data!L788</f>
        <v>21000</v>
      </c>
    </row>
    <row r="789" spans="30:31" x14ac:dyDescent="0.3">
      <c r="AD789">
        <v>788</v>
      </c>
      <c r="AE789">
        <f>Raw_Data!L789</f>
        <v>38500</v>
      </c>
    </row>
    <row r="790" spans="30:31" x14ac:dyDescent="0.3">
      <c r="AD790">
        <v>789</v>
      </c>
      <c r="AE790">
        <f>Raw_Data!L790</f>
        <v>14219</v>
      </c>
    </row>
    <row r="791" spans="30:31" x14ac:dyDescent="0.3">
      <c r="AD791">
        <v>790</v>
      </c>
      <c r="AE791">
        <f>Raw_Data!L791</f>
        <v>35438</v>
      </c>
    </row>
    <row r="792" spans="30:31" x14ac:dyDescent="0.3">
      <c r="AD792">
        <v>791</v>
      </c>
      <c r="AE792">
        <f>Raw_Data!L792</f>
        <v>18594</v>
      </c>
    </row>
    <row r="793" spans="30:31" x14ac:dyDescent="0.3">
      <c r="AD793">
        <v>792</v>
      </c>
      <c r="AE793">
        <f>Raw_Data!L793</f>
        <v>33031</v>
      </c>
    </row>
    <row r="794" spans="30:31" x14ac:dyDescent="0.3">
      <c r="AD794">
        <v>793</v>
      </c>
      <c r="AE794">
        <f>Raw_Data!L794</f>
        <v>30188</v>
      </c>
    </row>
    <row r="795" spans="30:31" x14ac:dyDescent="0.3">
      <c r="AD795">
        <v>794</v>
      </c>
      <c r="AE795">
        <f>Raw_Data!L795</f>
        <v>15094</v>
      </c>
    </row>
    <row r="796" spans="30:31" x14ac:dyDescent="0.3">
      <c r="AD796">
        <v>795</v>
      </c>
      <c r="AE796">
        <f>Raw_Data!L796</f>
        <v>14875</v>
      </c>
    </row>
    <row r="797" spans="30:31" x14ac:dyDescent="0.3">
      <c r="AD797">
        <v>796</v>
      </c>
      <c r="AE797">
        <f>Raw_Data!L797</f>
        <v>94281</v>
      </c>
    </row>
    <row r="798" spans="30:31" x14ac:dyDescent="0.3">
      <c r="AD798">
        <v>797</v>
      </c>
      <c r="AE798">
        <f>Raw_Data!L798</f>
        <v>24500</v>
      </c>
    </row>
    <row r="799" spans="30:31" x14ac:dyDescent="0.3">
      <c r="AD799">
        <v>798</v>
      </c>
      <c r="AE799">
        <f>Raw_Data!L799</f>
        <v>63656</v>
      </c>
    </row>
    <row r="800" spans="30:31" x14ac:dyDescent="0.3">
      <c r="AD800">
        <v>799</v>
      </c>
      <c r="AE800">
        <f>Raw_Data!L800</f>
        <v>21875</v>
      </c>
    </row>
    <row r="801" spans="30:31" x14ac:dyDescent="0.3">
      <c r="AD801">
        <v>800</v>
      </c>
      <c r="AE801">
        <f>Raw_Data!L801</f>
        <v>34562</v>
      </c>
    </row>
    <row r="802" spans="30:31" x14ac:dyDescent="0.3">
      <c r="AD802">
        <v>801</v>
      </c>
      <c r="AE802">
        <f>Raw_Data!L802</f>
        <v>52534</v>
      </c>
    </row>
    <row r="803" spans="30:31" x14ac:dyDescent="0.3">
      <c r="AD803">
        <v>802</v>
      </c>
      <c r="AE803">
        <f>Raw_Data!L803</f>
        <v>42219</v>
      </c>
    </row>
    <row r="804" spans="30:31" x14ac:dyDescent="0.3">
      <c r="AD804">
        <v>803</v>
      </c>
      <c r="AE804">
        <f>Raw_Data!L804</f>
        <v>47031</v>
      </c>
    </row>
    <row r="805" spans="30:31" x14ac:dyDescent="0.3">
      <c r="AD805">
        <v>804</v>
      </c>
      <c r="AE805">
        <f>Raw_Data!L805</f>
        <v>17062</v>
      </c>
    </row>
    <row r="806" spans="30:31" x14ac:dyDescent="0.3">
      <c r="AD806">
        <v>805</v>
      </c>
      <c r="AE806">
        <f>Raw_Data!L806</f>
        <v>86847</v>
      </c>
    </row>
    <row r="807" spans="30:31" x14ac:dyDescent="0.3">
      <c r="AD807">
        <v>806</v>
      </c>
      <c r="AE807">
        <f>Raw_Data!L807</f>
        <v>31500</v>
      </c>
    </row>
    <row r="808" spans="30:31" x14ac:dyDescent="0.3">
      <c r="AD808">
        <v>807</v>
      </c>
      <c r="AE808">
        <f>Raw_Data!L808</f>
        <v>29969</v>
      </c>
    </row>
    <row r="809" spans="30:31" x14ac:dyDescent="0.3">
      <c r="AD809">
        <v>808</v>
      </c>
      <c r="AE809">
        <f>Raw_Data!L809</f>
        <v>100188</v>
      </c>
    </row>
    <row r="810" spans="30:31" x14ac:dyDescent="0.3">
      <c r="AD810">
        <v>809</v>
      </c>
      <c r="AE810">
        <f>Raw_Data!L810</f>
        <v>138435</v>
      </c>
    </row>
    <row r="811" spans="30:31" x14ac:dyDescent="0.3">
      <c r="AD811">
        <v>810</v>
      </c>
      <c r="AE811">
        <f>Raw_Data!L811</f>
        <v>34344</v>
      </c>
    </row>
    <row r="812" spans="30:31" x14ac:dyDescent="0.3">
      <c r="AD812">
        <v>811</v>
      </c>
      <c r="AE812">
        <f>Raw_Data!L812</f>
        <v>67443</v>
      </c>
    </row>
    <row r="813" spans="30:31" x14ac:dyDescent="0.3">
      <c r="AD813">
        <v>812</v>
      </c>
      <c r="AE813">
        <f>Raw_Data!L813</f>
        <v>85191</v>
      </c>
    </row>
    <row r="814" spans="30:31" x14ac:dyDescent="0.3">
      <c r="AD814">
        <v>813</v>
      </c>
      <c r="AE814">
        <f>Raw_Data!L814</f>
        <v>82115</v>
      </c>
    </row>
    <row r="815" spans="30:31" x14ac:dyDescent="0.3">
      <c r="AD815">
        <v>814</v>
      </c>
      <c r="AE815">
        <f>Raw_Data!L815</f>
        <v>46375</v>
      </c>
    </row>
    <row r="816" spans="30:31" x14ac:dyDescent="0.3">
      <c r="AD816">
        <v>815</v>
      </c>
      <c r="AE816">
        <f>Raw_Data!L816</f>
        <v>20125</v>
      </c>
    </row>
    <row r="817" spans="30:31" x14ac:dyDescent="0.3">
      <c r="AD817">
        <v>816</v>
      </c>
      <c r="AE817">
        <f>Raw_Data!L817</f>
        <v>45062</v>
      </c>
    </row>
    <row r="818" spans="30:31" x14ac:dyDescent="0.3">
      <c r="AD818">
        <v>817</v>
      </c>
      <c r="AE818">
        <f>Raw_Data!L818</f>
        <v>25812</v>
      </c>
    </row>
    <row r="819" spans="30:31" x14ac:dyDescent="0.3">
      <c r="AD819">
        <v>818</v>
      </c>
      <c r="AE819">
        <f>Raw_Data!L819</f>
        <v>36312</v>
      </c>
    </row>
    <row r="820" spans="30:31" x14ac:dyDescent="0.3">
      <c r="AD820">
        <v>819</v>
      </c>
      <c r="AE820">
        <f>Raw_Data!L820</f>
        <v>43750</v>
      </c>
    </row>
    <row r="821" spans="30:31" x14ac:dyDescent="0.3">
      <c r="AD821">
        <v>820</v>
      </c>
      <c r="AE821">
        <f>Raw_Data!L821</f>
        <v>24281</v>
      </c>
    </row>
    <row r="822" spans="30:31" x14ac:dyDescent="0.3">
      <c r="AD822">
        <v>821</v>
      </c>
      <c r="AE822">
        <f>Raw_Data!L822</f>
        <v>31719</v>
      </c>
    </row>
    <row r="823" spans="30:31" x14ac:dyDescent="0.3">
      <c r="AD823">
        <v>822</v>
      </c>
      <c r="AE823">
        <f>Raw_Data!L823</f>
        <v>21438</v>
      </c>
    </row>
    <row r="824" spans="30:31" x14ac:dyDescent="0.3">
      <c r="AD824">
        <v>823</v>
      </c>
      <c r="AE824">
        <f>Raw_Data!L824</f>
        <v>35438</v>
      </c>
    </row>
    <row r="825" spans="30:31" x14ac:dyDescent="0.3">
      <c r="AD825">
        <v>824</v>
      </c>
      <c r="AE825">
        <f>Raw_Data!L825</f>
        <v>40250</v>
      </c>
    </row>
    <row r="826" spans="30:31" x14ac:dyDescent="0.3">
      <c r="AD826">
        <v>825</v>
      </c>
      <c r="AE826">
        <f>Raw_Data!L826</f>
        <v>17500</v>
      </c>
    </row>
    <row r="827" spans="30:31" x14ac:dyDescent="0.3">
      <c r="AD827">
        <v>826</v>
      </c>
      <c r="AE827">
        <f>Raw_Data!L827</f>
        <v>53954</v>
      </c>
    </row>
    <row r="828" spans="30:31" x14ac:dyDescent="0.3">
      <c r="AD828">
        <v>827</v>
      </c>
      <c r="AE828">
        <f>Raw_Data!L828</f>
        <v>40031</v>
      </c>
    </row>
    <row r="829" spans="30:31" x14ac:dyDescent="0.3">
      <c r="AD829">
        <v>828</v>
      </c>
      <c r="AE829">
        <f>Raw_Data!L829</f>
        <v>20781</v>
      </c>
    </row>
    <row r="830" spans="30:31" x14ac:dyDescent="0.3">
      <c r="AD830">
        <v>829</v>
      </c>
      <c r="AE830">
        <f>Raw_Data!L830</f>
        <v>28000</v>
      </c>
    </row>
    <row r="831" spans="30:31" x14ac:dyDescent="0.3">
      <c r="AD831">
        <v>830</v>
      </c>
      <c r="AE831">
        <f>Raw_Data!L831</f>
        <v>24938</v>
      </c>
    </row>
    <row r="832" spans="30:31" x14ac:dyDescent="0.3">
      <c r="AD832">
        <v>831</v>
      </c>
      <c r="AE832">
        <f>Raw_Data!L832</f>
        <v>33688</v>
      </c>
    </row>
    <row r="833" spans="30:31" x14ac:dyDescent="0.3">
      <c r="AD833">
        <v>832</v>
      </c>
      <c r="AE833">
        <f>Raw_Data!L833</f>
        <v>35438</v>
      </c>
    </row>
    <row r="834" spans="30:31" x14ac:dyDescent="0.3">
      <c r="AD834">
        <v>833</v>
      </c>
      <c r="AE834">
        <f>Raw_Data!L834</f>
        <v>36750</v>
      </c>
    </row>
    <row r="835" spans="30:31" x14ac:dyDescent="0.3">
      <c r="AD835">
        <v>834</v>
      </c>
      <c r="AE835">
        <f>Raw_Data!L835</f>
        <v>81405</v>
      </c>
    </row>
    <row r="836" spans="30:31" x14ac:dyDescent="0.3">
      <c r="AD836">
        <v>835</v>
      </c>
      <c r="AE836">
        <f>Raw_Data!L836</f>
        <v>59281</v>
      </c>
    </row>
    <row r="837" spans="30:31" x14ac:dyDescent="0.3">
      <c r="AD837">
        <v>836</v>
      </c>
      <c r="AE837">
        <f>Raw_Data!L837</f>
        <v>45062</v>
      </c>
    </row>
    <row r="838" spans="30:31" x14ac:dyDescent="0.3">
      <c r="AD838">
        <v>837</v>
      </c>
      <c r="AE838">
        <f>Raw_Data!L838</f>
        <v>31719</v>
      </c>
    </row>
    <row r="839" spans="30:31" x14ac:dyDescent="0.3">
      <c r="AD839">
        <v>838</v>
      </c>
      <c r="AE839">
        <f>Raw_Data!L839</f>
        <v>36094</v>
      </c>
    </row>
    <row r="840" spans="30:31" x14ac:dyDescent="0.3">
      <c r="AD840">
        <v>839</v>
      </c>
      <c r="AE840">
        <f>Raw_Data!L840</f>
        <v>14219</v>
      </c>
    </row>
    <row r="841" spans="30:31" x14ac:dyDescent="0.3">
      <c r="AD841">
        <v>840</v>
      </c>
      <c r="AE841">
        <f>Raw_Data!L841</f>
        <v>30406</v>
      </c>
    </row>
    <row r="842" spans="30:31" x14ac:dyDescent="0.3">
      <c r="AD842">
        <v>841</v>
      </c>
      <c r="AE842">
        <f>Raw_Data!L842</f>
        <v>60812</v>
      </c>
    </row>
    <row r="843" spans="30:31" x14ac:dyDescent="0.3">
      <c r="AD843">
        <v>842</v>
      </c>
      <c r="AE843">
        <f>Raw_Data!L843</f>
        <v>14875</v>
      </c>
    </row>
    <row r="844" spans="30:31" x14ac:dyDescent="0.3">
      <c r="AD844">
        <v>843</v>
      </c>
      <c r="AE844">
        <f>Raw_Data!L844</f>
        <v>34344</v>
      </c>
    </row>
    <row r="845" spans="30:31" x14ac:dyDescent="0.3">
      <c r="AD845">
        <v>844</v>
      </c>
      <c r="AE845">
        <f>Raw_Data!L845</f>
        <v>31500</v>
      </c>
    </row>
    <row r="846" spans="30:31" x14ac:dyDescent="0.3">
      <c r="AD846">
        <v>845</v>
      </c>
      <c r="AE846">
        <f>Raw_Data!L846</f>
        <v>77618</v>
      </c>
    </row>
    <row r="847" spans="30:31" x14ac:dyDescent="0.3">
      <c r="AD847">
        <v>846</v>
      </c>
      <c r="AE847">
        <f>Raw_Data!L847</f>
        <v>35875</v>
      </c>
    </row>
    <row r="848" spans="30:31" x14ac:dyDescent="0.3">
      <c r="AD848">
        <v>847</v>
      </c>
      <c r="AE848">
        <f>Raw_Data!L848</f>
        <v>35000</v>
      </c>
    </row>
    <row r="849" spans="30:31" x14ac:dyDescent="0.3">
      <c r="AD849">
        <v>848</v>
      </c>
      <c r="AE849">
        <f>Raw_Data!L849</f>
        <v>29531</v>
      </c>
    </row>
    <row r="850" spans="30:31" x14ac:dyDescent="0.3">
      <c r="AD850">
        <v>849</v>
      </c>
      <c r="AE850">
        <f>Raw_Data!L850</f>
        <v>31062</v>
      </c>
    </row>
    <row r="851" spans="30:31" x14ac:dyDescent="0.3">
      <c r="AD851">
        <v>850</v>
      </c>
      <c r="AE851">
        <f>Raw_Data!L851</f>
        <v>12250</v>
      </c>
    </row>
    <row r="852" spans="30:31" x14ac:dyDescent="0.3">
      <c r="AD852">
        <v>851</v>
      </c>
      <c r="AE852">
        <f>Raw_Data!L852</f>
        <v>15531</v>
      </c>
    </row>
    <row r="853" spans="30:31" x14ac:dyDescent="0.3">
      <c r="AD853">
        <v>852</v>
      </c>
      <c r="AE853">
        <f>Raw_Data!L853</f>
        <v>68626</v>
      </c>
    </row>
    <row r="854" spans="30:31" x14ac:dyDescent="0.3">
      <c r="AD854">
        <v>853</v>
      </c>
      <c r="AE854">
        <f>Raw_Data!L854</f>
        <v>38719</v>
      </c>
    </row>
    <row r="855" spans="30:31" x14ac:dyDescent="0.3">
      <c r="AD855">
        <v>854</v>
      </c>
      <c r="AE855">
        <f>Raw_Data!L855</f>
        <v>82351</v>
      </c>
    </row>
    <row r="856" spans="30:31" x14ac:dyDescent="0.3">
      <c r="AD856">
        <v>855</v>
      </c>
      <c r="AE856">
        <f>Raw_Data!L856</f>
        <v>22531</v>
      </c>
    </row>
    <row r="857" spans="30:31" x14ac:dyDescent="0.3">
      <c r="AD857">
        <v>856</v>
      </c>
      <c r="AE857">
        <f>Raw_Data!L857</f>
        <v>77855</v>
      </c>
    </row>
    <row r="858" spans="30:31" x14ac:dyDescent="0.3">
      <c r="AD858">
        <v>857</v>
      </c>
      <c r="AE858">
        <f>Raw_Data!L858</f>
        <v>19250</v>
      </c>
    </row>
    <row r="859" spans="30:31" x14ac:dyDescent="0.3">
      <c r="AD859">
        <v>858</v>
      </c>
      <c r="AE859">
        <f>Raw_Data!L859</f>
        <v>26250</v>
      </c>
    </row>
    <row r="860" spans="30:31" x14ac:dyDescent="0.3">
      <c r="AD860">
        <v>859</v>
      </c>
      <c r="AE860">
        <f>Raw_Data!L860</f>
        <v>29750</v>
      </c>
    </row>
    <row r="861" spans="30:31" x14ac:dyDescent="0.3">
      <c r="AD861">
        <v>860</v>
      </c>
      <c r="AE861">
        <f>Raw_Data!L861</f>
        <v>31938</v>
      </c>
    </row>
    <row r="862" spans="30:31" x14ac:dyDescent="0.3">
      <c r="AD862">
        <v>861</v>
      </c>
      <c r="AE862">
        <f>Raw_Data!L862</f>
        <v>47250</v>
      </c>
    </row>
    <row r="863" spans="30:31" x14ac:dyDescent="0.3">
      <c r="AD863">
        <v>862</v>
      </c>
      <c r="AE863">
        <f>Raw_Data!L863</f>
        <v>20562</v>
      </c>
    </row>
    <row r="864" spans="30:31" x14ac:dyDescent="0.3">
      <c r="AD864">
        <v>863</v>
      </c>
      <c r="AE864">
        <f>Raw_Data!L864</f>
        <v>21000</v>
      </c>
    </row>
    <row r="865" spans="30:31" x14ac:dyDescent="0.3">
      <c r="AD865">
        <v>864</v>
      </c>
      <c r="AE865">
        <f>Raw_Data!L865</f>
        <v>17719</v>
      </c>
    </row>
    <row r="866" spans="30:31" x14ac:dyDescent="0.3">
      <c r="AD866">
        <v>865</v>
      </c>
      <c r="AE866">
        <f>Raw_Data!L866</f>
        <v>43750</v>
      </c>
    </row>
    <row r="867" spans="30:31" x14ac:dyDescent="0.3">
      <c r="AD867">
        <v>866</v>
      </c>
      <c r="AE867">
        <f>Raw_Data!L867</f>
        <v>48562</v>
      </c>
    </row>
    <row r="868" spans="30:31" x14ac:dyDescent="0.3">
      <c r="AD868">
        <v>867</v>
      </c>
      <c r="AE868">
        <f>Raw_Data!L868</f>
        <v>15312</v>
      </c>
    </row>
    <row r="869" spans="30:31" x14ac:dyDescent="0.3">
      <c r="AD869">
        <v>868</v>
      </c>
      <c r="AE869">
        <f>Raw_Data!L869</f>
        <v>76198</v>
      </c>
    </row>
    <row r="870" spans="30:31" x14ac:dyDescent="0.3">
      <c r="AD870">
        <v>869</v>
      </c>
      <c r="AE870">
        <f>Raw_Data!L870</f>
        <v>33250</v>
      </c>
    </row>
    <row r="871" spans="30:31" x14ac:dyDescent="0.3">
      <c r="AD871">
        <v>870</v>
      </c>
      <c r="AE871">
        <f>Raw_Data!L871</f>
        <v>36531</v>
      </c>
    </row>
    <row r="872" spans="30:31" x14ac:dyDescent="0.3">
      <c r="AD872">
        <v>871</v>
      </c>
      <c r="AE872">
        <f>Raw_Data!L872</f>
        <v>14438</v>
      </c>
    </row>
    <row r="873" spans="30:31" x14ac:dyDescent="0.3">
      <c r="AD873">
        <v>872</v>
      </c>
      <c r="AE873">
        <f>Raw_Data!L873</f>
        <v>16406</v>
      </c>
    </row>
    <row r="874" spans="30:31" x14ac:dyDescent="0.3">
      <c r="AD874">
        <v>873</v>
      </c>
      <c r="AE874">
        <f>Raw_Data!L874</f>
        <v>12469</v>
      </c>
    </row>
    <row r="875" spans="30:31" x14ac:dyDescent="0.3">
      <c r="AD875">
        <v>874</v>
      </c>
      <c r="AE875">
        <f>Raw_Data!L875</f>
        <v>40688</v>
      </c>
    </row>
    <row r="876" spans="30:31" x14ac:dyDescent="0.3">
      <c r="AD876">
        <v>875</v>
      </c>
      <c r="AE876">
        <f>Raw_Data!L876</f>
        <v>57312</v>
      </c>
    </row>
    <row r="877" spans="30:31" x14ac:dyDescent="0.3">
      <c r="AD877">
        <v>876</v>
      </c>
      <c r="AE877">
        <f>Raw_Data!L877</f>
        <v>55781</v>
      </c>
    </row>
    <row r="878" spans="30:31" x14ac:dyDescent="0.3">
      <c r="AD878">
        <v>877</v>
      </c>
      <c r="AE878">
        <f>Raw_Data!L878</f>
        <v>35875</v>
      </c>
    </row>
    <row r="879" spans="30:31" x14ac:dyDescent="0.3">
      <c r="AD879">
        <v>878</v>
      </c>
      <c r="AE879">
        <f>Raw_Data!L879</f>
        <v>18375</v>
      </c>
    </row>
    <row r="880" spans="30:31" x14ac:dyDescent="0.3">
      <c r="AD880">
        <v>879</v>
      </c>
      <c r="AE880">
        <f>Raw_Data!L880</f>
        <v>131336</v>
      </c>
    </row>
    <row r="881" spans="30:31" x14ac:dyDescent="0.3">
      <c r="AD881">
        <v>880</v>
      </c>
      <c r="AE881">
        <f>Raw_Data!L881</f>
        <v>79275</v>
      </c>
    </row>
    <row r="882" spans="30:31" x14ac:dyDescent="0.3">
      <c r="AD882">
        <v>881</v>
      </c>
      <c r="AE882">
        <f>Raw_Data!L882</f>
        <v>57531</v>
      </c>
    </row>
    <row r="883" spans="30:31" x14ac:dyDescent="0.3">
      <c r="AD883">
        <v>882</v>
      </c>
      <c r="AE883">
        <f>Raw_Data!L883</f>
        <v>40688</v>
      </c>
    </row>
    <row r="884" spans="30:31" x14ac:dyDescent="0.3">
      <c r="AD884">
        <v>883</v>
      </c>
      <c r="AE884">
        <f>Raw_Data!L884</f>
        <v>15750</v>
      </c>
    </row>
    <row r="885" spans="30:31" x14ac:dyDescent="0.3">
      <c r="AD885">
        <v>884</v>
      </c>
      <c r="AE885">
        <f>Raw_Data!L885</f>
        <v>24938</v>
      </c>
    </row>
    <row r="886" spans="30:31" x14ac:dyDescent="0.3">
      <c r="AD886">
        <v>885</v>
      </c>
      <c r="AE886">
        <f>Raw_Data!L886</f>
        <v>26031</v>
      </c>
    </row>
    <row r="887" spans="30:31" x14ac:dyDescent="0.3">
      <c r="AD887">
        <v>886</v>
      </c>
      <c r="AE887">
        <f>Raw_Data!L887</f>
        <v>127313</v>
      </c>
    </row>
    <row r="888" spans="30:31" x14ac:dyDescent="0.3">
      <c r="AD888">
        <v>887</v>
      </c>
      <c r="AE888">
        <f>Raw_Data!L888</f>
        <v>35000</v>
      </c>
    </row>
    <row r="889" spans="30:31" x14ac:dyDescent="0.3">
      <c r="AD889">
        <v>888</v>
      </c>
      <c r="AE889">
        <f>Raw_Data!L889</f>
        <v>33250</v>
      </c>
    </row>
    <row r="890" spans="30:31" x14ac:dyDescent="0.3">
      <c r="AD890">
        <v>889</v>
      </c>
      <c r="AE890">
        <f>Raw_Data!L890</f>
        <v>98656</v>
      </c>
    </row>
    <row r="891" spans="30:31" x14ac:dyDescent="0.3">
      <c r="AD891">
        <v>890</v>
      </c>
      <c r="AE891">
        <f>Raw_Data!L891</f>
        <v>99969</v>
      </c>
    </row>
    <row r="892" spans="30:31" x14ac:dyDescent="0.3">
      <c r="AD892">
        <v>891</v>
      </c>
      <c r="AE892">
        <f>Raw_Data!L892</f>
        <v>30406</v>
      </c>
    </row>
    <row r="893" spans="30:31" x14ac:dyDescent="0.3">
      <c r="AD893">
        <v>892</v>
      </c>
      <c r="AE893">
        <f>Raw_Data!L893</f>
        <v>33031</v>
      </c>
    </row>
    <row r="894" spans="30:31" x14ac:dyDescent="0.3">
      <c r="AD894">
        <v>893</v>
      </c>
      <c r="AE894">
        <f>Raw_Data!L894</f>
        <v>45281</v>
      </c>
    </row>
    <row r="895" spans="30:31" x14ac:dyDescent="0.3">
      <c r="AD895">
        <v>894</v>
      </c>
      <c r="AE895">
        <f>Raw_Data!L895</f>
        <v>17500</v>
      </c>
    </row>
    <row r="896" spans="30:31" x14ac:dyDescent="0.3">
      <c r="AD896">
        <v>895</v>
      </c>
      <c r="AE896">
        <f>Raw_Data!L896</f>
        <v>40688</v>
      </c>
    </row>
    <row r="897" spans="30:31" x14ac:dyDescent="0.3">
      <c r="AD897">
        <v>896</v>
      </c>
      <c r="AE897">
        <f>Raw_Data!L897</f>
        <v>77618</v>
      </c>
    </row>
    <row r="898" spans="30:31" x14ac:dyDescent="0.3">
      <c r="AD898">
        <v>897</v>
      </c>
      <c r="AE898">
        <f>Raw_Data!L898</f>
        <v>27344</v>
      </c>
    </row>
    <row r="899" spans="30:31" x14ac:dyDescent="0.3">
      <c r="AD899">
        <v>898</v>
      </c>
      <c r="AE899">
        <f>Raw_Data!L899</f>
        <v>40906</v>
      </c>
    </row>
    <row r="900" spans="30:31" x14ac:dyDescent="0.3">
      <c r="AD900">
        <v>899</v>
      </c>
      <c r="AE900">
        <f>Raw_Data!L900</f>
        <v>21656</v>
      </c>
    </row>
    <row r="901" spans="30:31" x14ac:dyDescent="0.3">
      <c r="AD901">
        <v>900</v>
      </c>
      <c r="AE901">
        <f>Raw_Data!L901</f>
        <v>16188</v>
      </c>
    </row>
    <row r="902" spans="30:31" x14ac:dyDescent="0.3">
      <c r="AD902">
        <v>901</v>
      </c>
      <c r="AE902">
        <f>Raw_Data!L902</f>
        <v>21219</v>
      </c>
    </row>
    <row r="903" spans="30:31" x14ac:dyDescent="0.3">
      <c r="AD903">
        <v>902</v>
      </c>
      <c r="AE903">
        <f>Raw_Data!L903</f>
        <v>35438</v>
      </c>
    </row>
    <row r="904" spans="30:31" x14ac:dyDescent="0.3">
      <c r="AD904">
        <v>903</v>
      </c>
      <c r="AE904">
        <f>Raw_Data!L904</f>
        <v>29312</v>
      </c>
    </row>
    <row r="905" spans="30:31" x14ac:dyDescent="0.3">
      <c r="AD905">
        <v>904</v>
      </c>
      <c r="AE905">
        <f>Raw_Data!L905</f>
        <v>130153</v>
      </c>
    </row>
    <row r="906" spans="30:31" x14ac:dyDescent="0.3">
      <c r="AD906">
        <v>905</v>
      </c>
      <c r="AE906">
        <f>Raw_Data!L906</f>
        <v>24281</v>
      </c>
    </row>
    <row r="907" spans="30:31" x14ac:dyDescent="0.3">
      <c r="AD907">
        <v>906</v>
      </c>
      <c r="AE907">
        <f>Raw_Data!L907</f>
        <v>46812</v>
      </c>
    </row>
    <row r="908" spans="30:31" x14ac:dyDescent="0.3">
      <c r="AD908">
        <v>907</v>
      </c>
      <c r="AE908">
        <f>Raw_Data!L908</f>
        <v>19031</v>
      </c>
    </row>
    <row r="909" spans="30:31" x14ac:dyDescent="0.3">
      <c r="AD909">
        <v>908</v>
      </c>
      <c r="AE909">
        <f>Raw_Data!L909</f>
        <v>36094</v>
      </c>
    </row>
    <row r="910" spans="30:31" x14ac:dyDescent="0.3">
      <c r="AD910">
        <v>909</v>
      </c>
      <c r="AE910">
        <f>Raw_Data!L910</f>
        <v>55847</v>
      </c>
    </row>
    <row r="911" spans="30:31" x14ac:dyDescent="0.3">
      <c r="AD911">
        <v>910</v>
      </c>
      <c r="AE911">
        <f>Raw_Data!L911</f>
        <v>35438</v>
      </c>
    </row>
    <row r="912" spans="30:31" x14ac:dyDescent="0.3">
      <c r="AD912">
        <v>911</v>
      </c>
      <c r="AE912">
        <f>Raw_Data!L912</f>
        <v>50750</v>
      </c>
    </row>
    <row r="913" spans="30:31" x14ac:dyDescent="0.3">
      <c r="AD913">
        <v>912</v>
      </c>
      <c r="AE913">
        <f>Raw_Data!L913</f>
        <v>47250</v>
      </c>
    </row>
    <row r="914" spans="30:31" x14ac:dyDescent="0.3">
      <c r="AD914">
        <v>913</v>
      </c>
      <c r="AE914">
        <f>Raw_Data!L914</f>
        <v>12031</v>
      </c>
    </row>
    <row r="915" spans="30:31" x14ac:dyDescent="0.3">
      <c r="AD915">
        <v>914</v>
      </c>
      <c r="AE915">
        <f>Raw_Data!L915</f>
        <v>30406</v>
      </c>
    </row>
    <row r="916" spans="30:31" x14ac:dyDescent="0.3">
      <c r="AD916">
        <v>915</v>
      </c>
      <c r="AE916">
        <f>Raw_Data!L916</f>
        <v>20125</v>
      </c>
    </row>
    <row r="917" spans="30:31" x14ac:dyDescent="0.3">
      <c r="AD917">
        <v>916</v>
      </c>
      <c r="AE917">
        <f>Raw_Data!L917</f>
        <v>95375</v>
      </c>
    </row>
    <row r="918" spans="30:31" x14ac:dyDescent="0.3">
      <c r="AD918">
        <v>917</v>
      </c>
      <c r="AE918">
        <f>Raw_Data!L918</f>
        <v>44625</v>
      </c>
    </row>
    <row r="919" spans="30:31" x14ac:dyDescent="0.3">
      <c r="AD919">
        <v>918</v>
      </c>
      <c r="AE919">
        <f>Raw_Data!L919</f>
        <v>76198</v>
      </c>
    </row>
    <row r="920" spans="30:31" x14ac:dyDescent="0.3">
      <c r="AD920">
        <v>919</v>
      </c>
      <c r="AE920">
        <f>Raw_Data!L920</f>
        <v>28000</v>
      </c>
    </row>
    <row r="921" spans="30:31" x14ac:dyDescent="0.3">
      <c r="AD921">
        <v>920</v>
      </c>
      <c r="AE921">
        <f>Raw_Data!L921</f>
        <v>14219</v>
      </c>
    </row>
    <row r="922" spans="30:31" x14ac:dyDescent="0.3">
      <c r="AD922">
        <v>921</v>
      </c>
      <c r="AE922">
        <f>Raw_Data!L922</f>
        <v>16406</v>
      </c>
    </row>
    <row r="923" spans="30:31" x14ac:dyDescent="0.3">
      <c r="AD923">
        <v>922</v>
      </c>
      <c r="AE923">
        <f>Raw_Data!L923</f>
        <v>37625</v>
      </c>
    </row>
    <row r="924" spans="30:31" x14ac:dyDescent="0.3">
      <c r="AD924">
        <v>923</v>
      </c>
      <c r="AE924">
        <f>Raw_Data!L924</f>
        <v>141275</v>
      </c>
    </row>
    <row r="925" spans="30:31" x14ac:dyDescent="0.3">
      <c r="AD925">
        <v>924</v>
      </c>
      <c r="AE925">
        <f>Raw_Data!L925</f>
        <v>98656</v>
      </c>
    </row>
    <row r="926" spans="30:31" x14ac:dyDescent="0.3">
      <c r="AD926">
        <v>925</v>
      </c>
      <c r="AE926">
        <f>Raw_Data!L926</f>
        <v>73359</v>
      </c>
    </row>
    <row r="927" spans="30:31" x14ac:dyDescent="0.3">
      <c r="AD927">
        <v>926</v>
      </c>
      <c r="AE927">
        <f>Raw_Data!L927</f>
        <v>40906</v>
      </c>
    </row>
    <row r="928" spans="30:31" x14ac:dyDescent="0.3">
      <c r="AD928">
        <v>927</v>
      </c>
      <c r="AE928">
        <f>Raw_Data!L928</f>
        <v>31062</v>
      </c>
    </row>
    <row r="929" spans="30:31" x14ac:dyDescent="0.3">
      <c r="AD929">
        <v>928</v>
      </c>
      <c r="AE929">
        <f>Raw_Data!L929</f>
        <v>87321</v>
      </c>
    </row>
    <row r="930" spans="30:31" x14ac:dyDescent="0.3">
      <c r="AD930">
        <v>929</v>
      </c>
      <c r="AE930">
        <f>Raw_Data!L930</f>
        <v>58406</v>
      </c>
    </row>
    <row r="931" spans="30:31" x14ac:dyDescent="0.3">
      <c r="AD931">
        <v>930</v>
      </c>
      <c r="AE931">
        <f>Raw_Data!L931</f>
        <v>23406</v>
      </c>
    </row>
    <row r="932" spans="30:31" x14ac:dyDescent="0.3">
      <c r="AD932">
        <v>931</v>
      </c>
      <c r="AE932">
        <f>Raw_Data!L932</f>
        <v>46156</v>
      </c>
    </row>
    <row r="933" spans="30:31" x14ac:dyDescent="0.3">
      <c r="AD933">
        <v>932</v>
      </c>
      <c r="AE933">
        <f>Raw_Data!L933</f>
        <v>21656</v>
      </c>
    </row>
    <row r="934" spans="30:31" x14ac:dyDescent="0.3">
      <c r="AD934">
        <v>933</v>
      </c>
      <c r="AE934">
        <f>Raw_Data!L934</f>
        <v>33906</v>
      </c>
    </row>
    <row r="935" spans="30:31" x14ac:dyDescent="0.3">
      <c r="AD935">
        <v>934</v>
      </c>
      <c r="AE935">
        <f>Raw_Data!L935</f>
        <v>33906</v>
      </c>
    </row>
    <row r="936" spans="30:31" x14ac:dyDescent="0.3">
      <c r="AD936">
        <v>935</v>
      </c>
      <c r="AE936">
        <f>Raw_Data!L936</f>
        <v>17500</v>
      </c>
    </row>
    <row r="937" spans="30:31" x14ac:dyDescent="0.3">
      <c r="AD937">
        <v>936</v>
      </c>
      <c r="AE937">
        <f>Raw_Data!L937</f>
        <v>21875</v>
      </c>
    </row>
    <row r="938" spans="30:31" x14ac:dyDescent="0.3">
      <c r="AD938">
        <v>937</v>
      </c>
      <c r="AE938">
        <f>Raw_Data!L938</f>
        <v>32594</v>
      </c>
    </row>
    <row r="939" spans="30:31" x14ac:dyDescent="0.3">
      <c r="AD939">
        <v>938</v>
      </c>
      <c r="AE939">
        <f>Raw_Data!L939</f>
        <v>26469</v>
      </c>
    </row>
    <row r="940" spans="30:31" x14ac:dyDescent="0.3">
      <c r="AD940">
        <v>939</v>
      </c>
      <c r="AE940">
        <f>Raw_Data!L940</f>
        <v>46375</v>
      </c>
    </row>
    <row r="941" spans="30:31" x14ac:dyDescent="0.3">
      <c r="AD941">
        <v>940</v>
      </c>
      <c r="AE941">
        <f>Raw_Data!L941</f>
        <v>19906</v>
      </c>
    </row>
    <row r="942" spans="30:31" x14ac:dyDescent="0.3">
      <c r="AD942">
        <v>941</v>
      </c>
      <c r="AE942">
        <f>Raw_Data!L942</f>
        <v>27125</v>
      </c>
    </row>
    <row r="943" spans="30:31" x14ac:dyDescent="0.3">
      <c r="AD943">
        <v>942</v>
      </c>
      <c r="AE943">
        <f>Raw_Data!L943</f>
        <v>28000</v>
      </c>
    </row>
    <row r="944" spans="30:31" x14ac:dyDescent="0.3">
      <c r="AD944">
        <v>943</v>
      </c>
      <c r="AE944">
        <f>Raw_Data!L944</f>
        <v>17719</v>
      </c>
    </row>
    <row r="945" spans="30:31" x14ac:dyDescent="0.3">
      <c r="AD945">
        <v>944</v>
      </c>
      <c r="AE945">
        <f>Raw_Data!L945</f>
        <v>23188</v>
      </c>
    </row>
    <row r="946" spans="30:31" x14ac:dyDescent="0.3">
      <c r="AD946">
        <v>945</v>
      </c>
      <c r="AE946">
        <f>Raw_Data!L946</f>
        <v>21875</v>
      </c>
    </row>
    <row r="947" spans="30:31" x14ac:dyDescent="0.3">
      <c r="AD947">
        <v>946</v>
      </c>
      <c r="AE947">
        <f>Raw_Data!L947</f>
        <v>29094</v>
      </c>
    </row>
    <row r="948" spans="30:31" x14ac:dyDescent="0.3">
      <c r="AD948">
        <v>947</v>
      </c>
      <c r="AE948">
        <f>Raw_Data!L948</f>
        <v>94938</v>
      </c>
    </row>
    <row r="949" spans="30:31" x14ac:dyDescent="0.3">
      <c r="AD949">
        <v>948</v>
      </c>
      <c r="AE949">
        <f>Raw_Data!L949</f>
        <v>72412</v>
      </c>
    </row>
    <row r="950" spans="30:31" x14ac:dyDescent="0.3">
      <c r="AD950">
        <v>949</v>
      </c>
      <c r="AE950">
        <f>Raw_Data!L950</f>
        <v>40250</v>
      </c>
    </row>
    <row r="951" spans="30:31" x14ac:dyDescent="0.3">
      <c r="AD951">
        <v>950</v>
      </c>
      <c r="AE951">
        <f>Raw_Data!L951</f>
        <v>75962</v>
      </c>
    </row>
    <row r="952" spans="30:31" x14ac:dyDescent="0.3">
      <c r="AD952">
        <v>951</v>
      </c>
      <c r="AE952">
        <f>Raw_Data!L952</f>
        <v>40250</v>
      </c>
    </row>
    <row r="953" spans="30:31" x14ac:dyDescent="0.3">
      <c r="AD953">
        <v>952</v>
      </c>
      <c r="AE953">
        <f>Raw_Data!L953</f>
        <v>17281</v>
      </c>
    </row>
    <row r="954" spans="30:31" x14ac:dyDescent="0.3">
      <c r="AD954">
        <v>953</v>
      </c>
      <c r="AE954">
        <f>Raw_Data!L954</f>
        <v>33469</v>
      </c>
    </row>
    <row r="955" spans="30:31" x14ac:dyDescent="0.3">
      <c r="AD955">
        <v>954</v>
      </c>
      <c r="AE955">
        <f>Raw_Data!L955</f>
        <v>23625</v>
      </c>
    </row>
    <row r="956" spans="30:31" x14ac:dyDescent="0.3">
      <c r="AD956">
        <v>955</v>
      </c>
      <c r="AE956">
        <f>Raw_Data!L956</f>
        <v>32156</v>
      </c>
    </row>
    <row r="957" spans="30:31" x14ac:dyDescent="0.3">
      <c r="AD957">
        <v>956</v>
      </c>
      <c r="AE957">
        <f>Raw_Data!L957</f>
        <v>46812</v>
      </c>
    </row>
    <row r="958" spans="30:31" x14ac:dyDescent="0.3">
      <c r="AD958">
        <v>957</v>
      </c>
      <c r="AE958">
        <f>Raw_Data!L958</f>
        <v>35219</v>
      </c>
    </row>
    <row r="959" spans="30:31" x14ac:dyDescent="0.3">
      <c r="AD959">
        <v>958</v>
      </c>
      <c r="AE959">
        <f>Raw_Data!L959</f>
        <v>25594</v>
      </c>
    </row>
    <row r="960" spans="30:31" x14ac:dyDescent="0.3">
      <c r="AD960">
        <v>959</v>
      </c>
      <c r="AE960">
        <f>Raw_Data!L960</f>
        <v>35656</v>
      </c>
    </row>
    <row r="961" spans="30:31" x14ac:dyDescent="0.3">
      <c r="AD961">
        <v>960</v>
      </c>
      <c r="AE961">
        <f>Raw_Data!L961</f>
        <v>43312</v>
      </c>
    </row>
    <row r="962" spans="30:31" x14ac:dyDescent="0.3">
      <c r="AD962">
        <v>961</v>
      </c>
      <c r="AE962">
        <f>Raw_Data!L962</f>
        <v>35219</v>
      </c>
    </row>
    <row r="963" spans="30:31" x14ac:dyDescent="0.3">
      <c r="AD963">
        <v>962</v>
      </c>
      <c r="AE963">
        <f>Raw_Data!L963</f>
        <v>28656</v>
      </c>
    </row>
    <row r="964" spans="30:31" x14ac:dyDescent="0.3">
      <c r="AD964">
        <v>963</v>
      </c>
      <c r="AE964">
        <f>Raw_Data!L964</f>
        <v>28875</v>
      </c>
    </row>
    <row r="965" spans="30:31" x14ac:dyDescent="0.3">
      <c r="AD965">
        <v>964</v>
      </c>
      <c r="AE965">
        <f>Raw_Data!L965</f>
        <v>64840</v>
      </c>
    </row>
    <row r="966" spans="30:31" x14ac:dyDescent="0.3">
      <c r="AD966">
        <v>965</v>
      </c>
      <c r="AE966">
        <f>Raw_Data!L966</f>
        <v>44844</v>
      </c>
    </row>
    <row r="967" spans="30:31" x14ac:dyDescent="0.3">
      <c r="AD967">
        <v>966</v>
      </c>
      <c r="AE967">
        <f>Raw_Data!L967</f>
        <v>75489</v>
      </c>
    </row>
    <row r="968" spans="30:31" x14ac:dyDescent="0.3">
      <c r="AD968">
        <v>967</v>
      </c>
      <c r="AE968">
        <f>Raw_Data!L968</f>
        <v>32594</v>
      </c>
    </row>
    <row r="969" spans="30:31" x14ac:dyDescent="0.3">
      <c r="AD969">
        <v>968</v>
      </c>
      <c r="AE969">
        <f>Raw_Data!L969</f>
        <v>28438</v>
      </c>
    </row>
    <row r="970" spans="30:31" x14ac:dyDescent="0.3">
      <c r="AD970">
        <v>969</v>
      </c>
      <c r="AE970">
        <f>Raw_Data!L970</f>
        <v>75962</v>
      </c>
    </row>
    <row r="971" spans="30:31" x14ac:dyDescent="0.3">
      <c r="AD971">
        <v>970</v>
      </c>
      <c r="AE971">
        <f>Raw_Data!L971</f>
        <v>28438</v>
      </c>
    </row>
    <row r="972" spans="30:31" x14ac:dyDescent="0.3">
      <c r="AD972">
        <v>971</v>
      </c>
      <c r="AE972">
        <f>Raw_Data!L972</f>
        <v>45062</v>
      </c>
    </row>
    <row r="973" spans="30:31" x14ac:dyDescent="0.3">
      <c r="AD973">
        <v>972</v>
      </c>
      <c r="AE973">
        <f>Raw_Data!L973</f>
        <v>28438</v>
      </c>
    </row>
    <row r="974" spans="30:31" x14ac:dyDescent="0.3">
      <c r="AD974">
        <v>973</v>
      </c>
      <c r="AE974">
        <f>Raw_Data!L974</f>
        <v>15969</v>
      </c>
    </row>
    <row r="975" spans="30:31" x14ac:dyDescent="0.3">
      <c r="AD975">
        <v>974</v>
      </c>
      <c r="AE975">
        <f>Raw_Data!L975</f>
        <v>15094</v>
      </c>
    </row>
    <row r="976" spans="30:31" x14ac:dyDescent="0.3">
      <c r="AD976">
        <v>975</v>
      </c>
      <c r="AE976">
        <f>Raw_Data!L976</f>
        <v>68153</v>
      </c>
    </row>
    <row r="977" spans="30:31" x14ac:dyDescent="0.3">
      <c r="AD977">
        <v>976</v>
      </c>
      <c r="AE977">
        <f>Raw_Data!L977</f>
        <v>31062</v>
      </c>
    </row>
    <row r="978" spans="30:31" x14ac:dyDescent="0.3">
      <c r="AD978">
        <v>977</v>
      </c>
      <c r="AE978">
        <f>Raw_Data!L978</f>
        <v>92312</v>
      </c>
    </row>
    <row r="979" spans="30:31" x14ac:dyDescent="0.3">
      <c r="AD979">
        <v>978</v>
      </c>
      <c r="AE979">
        <f>Raw_Data!L979</f>
        <v>26031</v>
      </c>
    </row>
    <row r="980" spans="30:31" x14ac:dyDescent="0.3">
      <c r="AD980">
        <v>979</v>
      </c>
      <c r="AE980">
        <f>Raw_Data!L980</f>
        <v>18594</v>
      </c>
    </row>
    <row r="981" spans="30:31" x14ac:dyDescent="0.3">
      <c r="AD981">
        <v>980</v>
      </c>
      <c r="AE981">
        <f>Raw_Data!L981</f>
        <v>75725</v>
      </c>
    </row>
    <row r="982" spans="30:31" x14ac:dyDescent="0.3">
      <c r="AD982">
        <v>981</v>
      </c>
      <c r="AE982">
        <f>Raw_Data!L982</f>
        <v>44625</v>
      </c>
    </row>
    <row r="983" spans="30:31" x14ac:dyDescent="0.3">
      <c r="AD983">
        <v>982</v>
      </c>
      <c r="AE983">
        <f>Raw_Data!L983</f>
        <v>19250</v>
      </c>
    </row>
    <row r="984" spans="30:31" x14ac:dyDescent="0.3">
      <c r="AD984">
        <v>983</v>
      </c>
      <c r="AE984">
        <f>Raw_Data!L984</f>
        <v>43094</v>
      </c>
    </row>
    <row r="985" spans="30:31" x14ac:dyDescent="0.3">
      <c r="AD985">
        <v>984</v>
      </c>
      <c r="AE985">
        <f>Raw_Data!L985</f>
        <v>30625</v>
      </c>
    </row>
    <row r="986" spans="30:31" x14ac:dyDescent="0.3">
      <c r="AD986">
        <v>985</v>
      </c>
      <c r="AE986">
        <f>Raw_Data!L986</f>
        <v>20125</v>
      </c>
    </row>
    <row r="987" spans="30:31" x14ac:dyDescent="0.3">
      <c r="AD987">
        <v>986</v>
      </c>
      <c r="AE987">
        <f>Raw_Data!L987</f>
        <v>15312</v>
      </c>
    </row>
    <row r="988" spans="30:31" x14ac:dyDescent="0.3">
      <c r="AD988">
        <v>987</v>
      </c>
      <c r="AE988">
        <f>Raw_Data!L988</f>
        <v>34562</v>
      </c>
    </row>
    <row r="989" spans="30:31" x14ac:dyDescent="0.3">
      <c r="AD989">
        <v>988</v>
      </c>
      <c r="AE989">
        <f>Raw_Data!L989</f>
        <v>43531</v>
      </c>
    </row>
    <row r="990" spans="30:31" x14ac:dyDescent="0.3">
      <c r="AD990">
        <v>989</v>
      </c>
      <c r="AE990">
        <f>Raw_Data!L990</f>
        <v>34781</v>
      </c>
    </row>
    <row r="991" spans="30:31" x14ac:dyDescent="0.3">
      <c r="AD991">
        <v>990</v>
      </c>
      <c r="AE991">
        <f>Raw_Data!L991</f>
        <v>19906</v>
      </c>
    </row>
    <row r="992" spans="30:31" x14ac:dyDescent="0.3">
      <c r="AD992">
        <v>991</v>
      </c>
      <c r="AE992">
        <f>Raw_Data!L992</f>
        <v>27781</v>
      </c>
    </row>
    <row r="993" spans="30:31" x14ac:dyDescent="0.3">
      <c r="AD993">
        <v>992</v>
      </c>
      <c r="AE993">
        <f>Raw_Data!L993</f>
        <v>37625</v>
      </c>
    </row>
    <row r="994" spans="30:31" x14ac:dyDescent="0.3">
      <c r="AD994">
        <v>993</v>
      </c>
      <c r="AE994">
        <f>Raw_Data!L994</f>
        <v>28656</v>
      </c>
    </row>
    <row r="995" spans="30:31" x14ac:dyDescent="0.3">
      <c r="AD995">
        <v>994</v>
      </c>
      <c r="AE995">
        <f>Raw_Data!L995</f>
        <v>33469</v>
      </c>
    </row>
    <row r="996" spans="30:31" x14ac:dyDescent="0.3">
      <c r="AD996">
        <v>995</v>
      </c>
      <c r="AE996">
        <f>Raw_Data!L996</f>
        <v>30406</v>
      </c>
    </row>
    <row r="997" spans="30:31" x14ac:dyDescent="0.3">
      <c r="AD997">
        <v>996</v>
      </c>
      <c r="AE997">
        <f>Raw_Data!L997</f>
        <v>101062</v>
      </c>
    </row>
    <row r="998" spans="30:31" x14ac:dyDescent="0.3">
      <c r="AD998">
        <v>997</v>
      </c>
      <c r="AE998">
        <f>Raw_Data!L998</f>
        <v>19688</v>
      </c>
    </row>
    <row r="999" spans="30:31" x14ac:dyDescent="0.3">
      <c r="AD999">
        <v>998</v>
      </c>
      <c r="AE999">
        <f>Raw_Data!L999</f>
        <v>17719</v>
      </c>
    </row>
    <row r="1000" spans="30:31" x14ac:dyDescent="0.3">
      <c r="AD1000">
        <v>999</v>
      </c>
      <c r="AE1000">
        <f>Raw_Data!L1000</f>
        <v>33688</v>
      </c>
    </row>
    <row r="1001" spans="30:31" x14ac:dyDescent="0.3">
      <c r="AD1001">
        <v>1000</v>
      </c>
      <c r="AE1001">
        <f>Raw_Data!L1001</f>
        <v>45938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2FAD-53BC-44C1-9448-99978453AE19}">
  <sheetPr codeName="Sheet2"/>
  <dimension ref="A1:R1001"/>
  <sheetViews>
    <sheetView showGridLines="0"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v>184</v>
      </c>
      <c r="D2" t="s">
        <v>20</v>
      </c>
      <c r="E2">
        <v>2020</v>
      </c>
      <c r="F2" t="s">
        <v>21</v>
      </c>
      <c r="G2">
        <v>137</v>
      </c>
      <c r="H2">
        <v>43.8</v>
      </c>
      <c r="I2">
        <v>10.1</v>
      </c>
      <c r="J2">
        <v>100781</v>
      </c>
      <c r="K2">
        <v>28</v>
      </c>
      <c r="L2">
        <v>28219</v>
      </c>
      <c r="M2">
        <v>129000</v>
      </c>
      <c r="N2">
        <v>147604</v>
      </c>
      <c r="O2">
        <v>70</v>
      </c>
      <c r="P2">
        <v>9.3000000000000007</v>
      </c>
      <c r="Q2" t="s">
        <v>22</v>
      </c>
      <c r="R2" t="s">
        <v>23</v>
      </c>
    </row>
    <row r="3" spans="1:18" x14ac:dyDescent="0.3">
      <c r="A3" t="s">
        <v>24</v>
      </c>
      <c r="B3" t="s">
        <v>25</v>
      </c>
      <c r="C3">
        <v>249</v>
      </c>
      <c r="D3" t="s">
        <v>20</v>
      </c>
      <c r="E3">
        <v>2024</v>
      </c>
      <c r="F3" t="s">
        <v>21</v>
      </c>
      <c r="G3">
        <v>157</v>
      </c>
      <c r="H3">
        <v>33.200000000000003</v>
      </c>
      <c r="I3">
        <v>14.9</v>
      </c>
      <c r="J3">
        <v>123438</v>
      </c>
      <c r="K3">
        <v>28</v>
      </c>
      <c r="L3">
        <v>34562</v>
      </c>
      <c r="M3">
        <v>158000</v>
      </c>
      <c r="N3">
        <v>185890</v>
      </c>
      <c r="O3">
        <v>71</v>
      </c>
      <c r="P3">
        <v>4.0999999999999996</v>
      </c>
      <c r="Q3" t="s">
        <v>26</v>
      </c>
      <c r="R3" t="s">
        <v>27</v>
      </c>
    </row>
    <row r="4" spans="1:18" x14ac:dyDescent="0.3">
      <c r="A4" t="s">
        <v>28</v>
      </c>
      <c r="B4" t="s">
        <v>29</v>
      </c>
      <c r="C4">
        <v>97</v>
      </c>
      <c r="D4" t="s">
        <v>30</v>
      </c>
      <c r="E4">
        <v>2020</v>
      </c>
      <c r="F4" t="s">
        <v>31</v>
      </c>
      <c r="G4">
        <v>95</v>
      </c>
      <c r="H4">
        <v>64.2</v>
      </c>
      <c r="I4">
        <v>8.6999999999999993</v>
      </c>
      <c r="J4">
        <v>60156</v>
      </c>
      <c r="K4">
        <v>28</v>
      </c>
      <c r="L4">
        <v>16844</v>
      </c>
      <c r="M4">
        <v>77000</v>
      </c>
      <c r="N4">
        <v>89751</v>
      </c>
      <c r="O4">
        <v>57</v>
      </c>
      <c r="P4">
        <v>2.2999999999999998</v>
      </c>
      <c r="Q4" t="s">
        <v>26</v>
      </c>
      <c r="R4" t="s">
        <v>27</v>
      </c>
    </row>
    <row r="5" spans="1:18" x14ac:dyDescent="0.3">
      <c r="A5" t="s">
        <v>32</v>
      </c>
      <c r="B5" t="s">
        <v>33</v>
      </c>
      <c r="C5">
        <v>346</v>
      </c>
      <c r="D5" t="s">
        <v>34</v>
      </c>
      <c r="E5">
        <v>2025</v>
      </c>
      <c r="F5" t="s">
        <v>35</v>
      </c>
      <c r="G5">
        <v>152</v>
      </c>
      <c r="H5">
        <v>29.1</v>
      </c>
      <c r="I5">
        <v>17.3</v>
      </c>
      <c r="J5">
        <v>146875</v>
      </c>
      <c r="K5">
        <v>28</v>
      </c>
      <c r="L5">
        <v>41125</v>
      </c>
      <c r="M5">
        <v>188000</v>
      </c>
      <c r="N5">
        <v>221689</v>
      </c>
      <c r="O5">
        <v>67</v>
      </c>
      <c r="P5">
        <v>8.6999999999999993</v>
      </c>
      <c r="Q5" t="s">
        <v>22</v>
      </c>
      <c r="R5" t="s">
        <v>23</v>
      </c>
    </row>
    <row r="6" spans="1:18" x14ac:dyDescent="0.3">
      <c r="A6" t="s">
        <v>32</v>
      </c>
      <c r="B6" t="s">
        <v>36</v>
      </c>
      <c r="C6">
        <v>411</v>
      </c>
      <c r="D6" t="s">
        <v>34</v>
      </c>
      <c r="E6">
        <v>2023</v>
      </c>
      <c r="F6" t="s">
        <v>35</v>
      </c>
      <c r="G6">
        <v>165</v>
      </c>
      <c r="H6">
        <v>23.4</v>
      </c>
      <c r="I6">
        <v>14.9</v>
      </c>
      <c r="J6">
        <v>166412</v>
      </c>
      <c r="K6">
        <v>31</v>
      </c>
      <c r="L6">
        <v>51588</v>
      </c>
      <c r="M6">
        <v>218000</v>
      </c>
      <c r="N6">
        <v>251257</v>
      </c>
      <c r="O6">
        <v>73</v>
      </c>
      <c r="P6">
        <v>13.1</v>
      </c>
      <c r="Q6" t="s">
        <v>37</v>
      </c>
      <c r="R6" t="s">
        <v>38</v>
      </c>
    </row>
    <row r="7" spans="1:18" x14ac:dyDescent="0.3">
      <c r="A7" t="s">
        <v>32</v>
      </c>
      <c r="B7" t="s">
        <v>36</v>
      </c>
      <c r="C7">
        <v>411</v>
      </c>
      <c r="D7" t="s">
        <v>34</v>
      </c>
      <c r="E7">
        <v>2021</v>
      </c>
      <c r="F7" t="s">
        <v>35</v>
      </c>
      <c r="G7">
        <v>201</v>
      </c>
      <c r="H7">
        <v>24.3</v>
      </c>
      <c r="I7">
        <v>16.7</v>
      </c>
      <c r="J7">
        <v>154962</v>
      </c>
      <c r="K7">
        <v>31</v>
      </c>
      <c r="L7">
        <v>48038</v>
      </c>
      <c r="M7">
        <v>203000</v>
      </c>
      <c r="N7">
        <v>235810</v>
      </c>
      <c r="O7">
        <v>71</v>
      </c>
      <c r="P7">
        <v>9.5</v>
      </c>
      <c r="Q7" t="s">
        <v>22</v>
      </c>
      <c r="R7" t="s">
        <v>23</v>
      </c>
    </row>
    <row r="8" spans="1:18" x14ac:dyDescent="0.3">
      <c r="A8" t="s">
        <v>39</v>
      </c>
      <c r="B8" t="s">
        <v>40</v>
      </c>
      <c r="C8">
        <v>109</v>
      </c>
      <c r="D8" t="s">
        <v>30</v>
      </c>
      <c r="E8">
        <v>2020</v>
      </c>
      <c r="F8" t="s">
        <v>35</v>
      </c>
      <c r="G8">
        <v>92</v>
      </c>
      <c r="H8">
        <v>73.2</v>
      </c>
      <c r="I8">
        <v>8.5</v>
      </c>
      <c r="J8">
        <v>60938</v>
      </c>
      <c r="K8">
        <v>28</v>
      </c>
      <c r="L8">
        <v>17062</v>
      </c>
      <c r="M8">
        <v>78000</v>
      </c>
      <c r="N8">
        <v>93929</v>
      </c>
      <c r="O8">
        <v>71</v>
      </c>
      <c r="P8">
        <v>5.5</v>
      </c>
      <c r="Q8" t="s">
        <v>22</v>
      </c>
      <c r="R8" t="s">
        <v>23</v>
      </c>
    </row>
    <row r="9" spans="1:18" x14ac:dyDescent="0.3">
      <c r="A9" t="s">
        <v>28</v>
      </c>
      <c r="B9" t="s">
        <v>41</v>
      </c>
      <c r="C9">
        <v>125</v>
      </c>
      <c r="D9" t="s">
        <v>30</v>
      </c>
      <c r="E9">
        <v>2023</v>
      </c>
      <c r="F9" t="s">
        <v>35</v>
      </c>
      <c r="G9">
        <v>115</v>
      </c>
      <c r="H9">
        <v>60</v>
      </c>
      <c r="I9">
        <v>13.5</v>
      </c>
      <c r="J9">
        <v>73438</v>
      </c>
      <c r="K9">
        <v>28</v>
      </c>
      <c r="L9">
        <v>20562</v>
      </c>
      <c r="M9">
        <v>94000</v>
      </c>
      <c r="N9">
        <v>110296</v>
      </c>
      <c r="O9">
        <v>66</v>
      </c>
      <c r="P9">
        <v>10.199999999999999</v>
      </c>
      <c r="Q9" t="s">
        <v>37</v>
      </c>
      <c r="R9" t="s">
        <v>38</v>
      </c>
    </row>
    <row r="10" spans="1:18" x14ac:dyDescent="0.3">
      <c r="A10" t="s">
        <v>42</v>
      </c>
      <c r="B10" t="s">
        <v>43</v>
      </c>
      <c r="C10">
        <v>149</v>
      </c>
      <c r="D10" t="s">
        <v>20</v>
      </c>
      <c r="E10">
        <v>2021</v>
      </c>
      <c r="F10" t="s">
        <v>35</v>
      </c>
      <c r="G10">
        <v>118</v>
      </c>
      <c r="H10">
        <v>51.9</v>
      </c>
      <c r="I10">
        <v>14</v>
      </c>
      <c r="J10">
        <v>96094</v>
      </c>
      <c r="K10">
        <v>28</v>
      </c>
      <c r="L10">
        <v>26906</v>
      </c>
      <c r="M10">
        <v>123000</v>
      </c>
      <c r="N10">
        <v>143257</v>
      </c>
      <c r="O10">
        <v>71</v>
      </c>
      <c r="P10">
        <v>6.6</v>
      </c>
      <c r="Q10" t="s">
        <v>22</v>
      </c>
      <c r="R10" t="s">
        <v>23</v>
      </c>
    </row>
    <row r="11" spans="1:18" x14ac:dyDescent="0.3">
      <c r="A11" t="s">
        <v>18</v>
      </c>
      <c r="B11" t="s">
        <v>44</v>
      </c>
      <c r="C11">
        <v>348</v>
      </c>
      <c r="D11" t="s">
        <v>34</v>
      </c>
      <c r="E11">
        <v>2020</v>
      </c>
      <c r="F11" t="s">
        <v>21</v>
      </c>
      <c r="G11">
        <v>145</v>
      </c>
      <c r="H11">
        <v>29.3</v>
      </c>
      <c r="I11">
        <v>15.7</v>
      </c>
      <c r="J11">
        <v>164062</v>
      </c>
      <c r="K11">
        <v>28</v>
      </c>
      <c r="L11">
        <v>45938</v>
      </c>
      <c r="M11">
        <v>210000</v>
      </c>
      <c r="N11">
        <v>236511</v>
      </c>
      <c r="O11">
        <v>82</v>
      </c>
      <c r="P11">
        <v>6.9</v>
      </c>
      <c r="Q11" t="s">
        <v>22</v>
      </c>
      <c r="R11" t="s">
        <v>23</v>
      </c>
    </row>
    <row r="12" spans="1:18" x14ac:dyDescent="0.3">
      <c r="A12" t="s">
        <v>42</v>
      </c>
      <c r="B12" t="s">
        <v>45</v>
      </c>
      <c r="C12">
        <v>149</v>
      </c>
      <c r="D12" t="s">
        <v>20</v>
      </c>
      <c r="E12">
        <v>2022</v>
      </c>
      <c r="F12" t="s">
        <v>21</v>
      </c>
      <c r="G12">
        <v>108</v>
      </c>
      <c r="H12">
        <v>57.4</v>
      </c>
      <c r="I12">
        <v>13.1</v>
      </c>
      <c r="J12">
        <v>106250</v>
      </c>
      <c r="K12">
        <v>28</v>
      </c>
      <c r="L12">
        <v>29750</v>
      </c>
      <c r="M12">
        <v>136000</v>
      </c>
      <c r="N12">
        <v>160631</v>
      </c>
      <c r="O12">
        <v>79</v>
      </c>
      <c r="P12">
        <v>13.4</v>
      </c>
      <c r="Q12" t="s">
        <v>37</v>
      </c>
      <c r="R12" t="s">
        <v>38</v>
      </c>
    </row>
    <row r="13" spans="1:18" x14ac:dyDescent="0.3">
      <c r="A13" t="s">
        <v>32</v>
      </c>
      <c r="B13" t="s">
        <v>46</v>
      </c>
      <c r="C13">
        <v>349</v>
      </c>
      <c r="D13" t="s">
        <v>34</v>
      </c>
      <c r="E13">
        <v>2024</v>
      </c>
      <c r="F13" t="s">
        <v>35</v>
      </c>
      <c r="G13">
        <v>148</v>
      </c>
      <c r="H13">
        <v>34.9</v>
      </c>
      <c r="I13">
        <v>19.399999999999999</v>
      </c>
      <c r="J13">
        <v>121094</v>
      </c>
      <c r="K13">
        <v>28</v>
      </c>
      <c r="L13">
        <v>33906</v>
      </c>
      <c r="M13">
        <v>155000</v>
      </c>
      <c r="N13">
        <v>181109</v>
      </c>
      <c r="O13">
        <v>74</v>
      </c>
      <c r="P13">
        <v>11.7</v>
      </c>
      <c r="Q13" t="s">
        <v>37</v>
      </c>
      <c r="R13" t="s">
        <v>38</v>
      </c>
    </row>
    <row r="14" spans="1:18" x14ac:dyDescent="0.3">
      <c r="A14" t="s">
        <v>39</v>
      </c>
      <c r="B14" t="s">
        <v>47</v>
      </c>
      <c r="C14">
        <v>312</v>
      </c>
      <c r="D14" t="s">
        <v>34</v>
      </c>
      <c r="E14">
        <v>2024</v>
      </c>
      <c r="F14" t="s">
        <v>21</v>
      </c>
      <c r="G14">
        <v>157</v>
      </c>
      <c r="H14">
        <v>34</v>
      </c>
      <c r="I14">
        <v>15.3</v>
      </c>
      <c r="J14">
        <v>230469</v>
      </c>
      <c r="K14">
        <v>28</v>
      </c>
      <c r="L14">
        <v>64531</v>
      </c>
      <c r="M14">
        <v>295000</v>
      </c>
      <c r="N14">
        <v>338145</v>
      </c>
      <c r="O14">
        <v>77</v>
      </c>
      <c r="P14">
        <v>13.9</v>
      </c>
      <c r="Q14" t="s">
        <v>37</v>
      </c>
      <c r="R14" t="s">
        <v>38</v>
      </c>
    </row>
    <row r="15" spans="1:18" x14ac:dyDescent="0.3">
      <c r="A15" t="s">
        <v>28</v>
      </c>
      <c r="B15" t="s">
        <v>48</v>
      </c>
      <c r="C15">
        <v>110</v>
      </c>
      <c r="D15" t="s">
        <v>30</v>
      </c>
      <c r="E15">
        <v>2020</v>
      </c>
      <c r="F15" t="s">
        <v>35</v>
      </c>
      <c r="G15">
        <v>92</v>
      </c>
      <c r="H15">
        <v>65.599999999999994</v>
      </c>
      <c r="I15">
        <v>9.5</v>
      </c>
      <c r="J15">
        <v>58594</v>
      </c>
      <c r="K15">
        <v>28</v>
      </c>
      <c r="L15">
        <v>16406</v>
      </c>
      <c r="M15">
        <v>75000</v>
      </c>
      <c r="N15">
        <v>89076</v>
      </c>
      <c r="O15">
        <v>72</v>
      </c>
      <c r="P15">
        <v>14.3</v>
      </c>
      <c r="Q15" t="s">
        <v>37</v>
      </c>
      <c r="R15" t="s">
        <v>38</v>
      </c>
    </row>
    <row r="16" spans="1:18" x14ac:dyDescent="0.3">
      <c r="A16" t="s">
        <v>28</v>
      </c>
      <c r="B16" t="s">
        <v>49</v>
      </c>
      <c r="C16">
        <v>199</v>
      </c>
      <c r="D16" t="s">
        <v>20</v>
      </c>
      <c r="E16">
        <v>2024</v>
      </c>
      <c r="F16" t="s">
        <v>21</v>
      </c>
      <c r="G16">
        <v>137</v>
      </c>
      <c r="H16">
        <v>41.8</v>
      </c>
      <c r="I16">
        <v>11.7</v>
      </c>
      <c r="J16">
        <v>130469</v>
      </c>
      <c r="K16">
        <v>28</v>
      </c>
      <c r="L16">
        <v>36531</v>
      </c>
      <c r="M16">
        <v>167000</v>
      </c>
      <c r="N16">
        <v>194051</v>
      </c>
      <c r="O16">
        <v>70</v>
      </c>
      <c r="P16">
        <v>4.7</v>
      </c>
      <c r="Q16" t="s">
        <v>26</v>
      </c>
      <c r="R16" t="s">
        <v>27</v>
      </c>
    </row>
    <row r="17" spans="1:18" x14ac:dyDescent="0.3">
      <c r="A17" t="s">
        <v>24</v>
      </c>
      <c r="B17" t="s">
        <v>25</v>
      </c>
      <c r="C17">
        <v>249</v>
      </c>
      <c r="D17" t="s">
        <v>20</v>
      </c>
      <c r="E17">
        <v>2024</v>
      </c>
      <c r="F17" t="s">
        <v>21</v>
      </c>
      <c r="G17">
        <v>161</v>
      </c>
      <c r="H17">
        <v>30.6</v>
      </c>
      <c r="I17">
        <v>16.2</v>
      </c>
      <c r="J17">
        <v>137500</v>
      </c>
      <c r="K17">
        <v>28</v>
      </c>
      <c r="L17">
        <v>38500</v>
      </c>
      <c r="M17">
        <v>176000</v>
      </c>
      <c r="N17">
        <v>208025</v>
      </c>
      <c r="O17">
        <v>75</v>
      </c>
      <c r="P17">
        <v>6.2</v>
      </c>
      <c r="Q17" t="s">
        <v>22</v>
      </c>
      <c r="R17" t="s">
        <v>23</v>
      </c>
    </row>
    <row r="18" spans="1:18" x14ac:dyDescent="0.3">
      <c r="A18" t="s">
        <v>39</v>
      </c>
      <c r="B18" t="s">
        <v>40</v>
      </c>
      <c r="C18">
        <v>109</v>
      </c>
      <c r="D18" t="s">
        <v>30</v>
      </c>
      <c r="E18">
        <v>2020</v>
      </c>
      <c r="F18" t="s">
        <v>35</v>
      </c>
      <c r="G18">
        <v>85</v>
      </c>
      <c r="H18">
        <v>71.5</v>
      </c>
      <c r="I18">
        <v>8.5</v>
      </c>
      <c r="J18">
        <v>60938</v>
      </c>
      <c r="K18">
        <v>28</v>
      </c>
      <c r="L18">
        <v>17062</v>
      </c>
      <c r="M18">
        <v>78000</v>
      </c>
      <c r="N18">
        <v>91495</v>
      </c>
      <c r="O18">
        <v>62</v>
      </c>
      <c r="P18">
        <v>10.9</v>
      </c>
      <c r="Q18" t="s">
        <v>37</v>
      </c>
      <c r="R18" t="s">
        <v>38</v>
      </c>
    </row>
    <row r="19" spans="1:18" x14ac:dyDescent="0.3">
      <c r="A19" t="s">
        <v>28</v>
      </c>
      <c r="B19" t="s">
        <v>41</v>
      </c>
      <c r="C19">
        <v>125</v>
      </c>
      <c r="D19" t="s">
        <v>30</v>
      </c>
      <c r="E19">
        <v>2021</v>
      </c>
      <c r="F19" t="s">
        <v>35</v>
      </c>
      <c r="G19">
        <v>109</v>
      </c>
      <c r="H19">
        <v>54.8</v>
      </c>
      <c r="I19">
        <v>13.1</v>
      </c>
      <c r="J19">
        <v>74219</v>
      </c>
      <c r="K19">
        <v>28</v>
      </c>
      <c r="L19">
        <v>20781</v>
      </c>
      <c r="M19">
        <v>95000</v>
      </c>
      <c r="N19">
        <v>110911</v>
      </c>
      <c r="O19">
        <v>67</v>
      </c>
      <c r="P19">
        <v>9.1</v>
      </c>
      <c r="Q19" t="s">
        <v>22</v>
      </c>
      <c r="R19" t="s">
        <v>23</v>
      </c>
    </row>
    <row r="20" spans="1:18" x14ac:dyDescent="0.3">
      <c r="A20" t="s">
        <v>50</v>
      </c>
      <c r="B20" t="s">
        <v>51</v>
      </c>
      <c r="C20">
        <v>248</v>
      </c>
      <c r="D20" t="s">
        <v>34</v>
      </c>
      <c r="E20">
        <v>2025</v>
      </c>
      <c r="F20" t="s">
        <v>21</v>
      </c>
      <c r="G20">
        <v>163</v>
      </c>
      <c r="H20">
        <v>31.3</v>
      </c>
      <c r="I20">
        <v>13.7</v>
      </c>
      <c r="J20">
        <v>174219</v>
      </c>
      <c r="K20">
        <v>28</v>
      </c>
      <c r="L20">
        <v>48781</v>
      </c>
      <c r="M20">
        <v>223000</v>
      </c>
      <c r="N20">
        <v>254051</v>
      </c>
      <c r="O20">
        <v>71</v>
      </c>
      <c r="P20">
        <v>10.4</v>
      </c>
      <c r="Q20" t="s">
        <v>37</v>
      </c>
      <c r="R20" t="s">
        <v>38</v>
      </c>
    </row>
    <row r="21" spans="1:18" x14ac:dyDescent="0.3">
      <c r="A21" t="s">
        <v>50</v>
      </c>
      <c r="B21" t="s">
        <v>52</v>
      </c>
      <c r="C21">
        <v>199</v>
      </c>
      <c r="D21" t="s">
        <v>20</v>
      </c>
      <c r="E21">
        <v>2022</v>
      </c>
      <c r="F21" t="s">
        <v>21</v>
      </c>
      <c r="G21">
        <v>134</v>
      </c>
      <c r="H21">
        <v>38.9</v>
      </c>
      <c r="I21">
        <v>11.9</v>
      </c>
      <c r="J21">
        <v>161719</v>
      </c>
      <c r="K21">
        <v>28</v>
      </c>
      <c r="L21">
        <v>45281</v>
      </c>
      <c r="M21">
        <v>207000</v>
      </c>
      <c r="N21">
        <v>239635</v>
      </c>
      <c r="O21">
        <v>70</v>
      </c>
      <c r="P21">
        <v>6.9</v>
      </c>
      <c r="Q21" t="s">
        <v>22</v>
      </c>
      <c r="R21" t="s">
        <v>23</v>
      </c>
    </row>
    <row r="22" spans="1:18" x14ac:dyDescent="0.3">
      <c r="A22" t="s">
        <v>28</v>
      </c>
      <c r="B22" t="s">
        <v>53</v>
      </c>
      <c r="C22">
        <v>440</v>
      </c>
      <c r="D22" t="s">
        <v>34</v>
      </c>
      <c r="E22">
        <v>2021</v>
      </c>
      <c r="F22" t="s">
        <v>21</v>
      </c>
      <c r="G22">
        <v>194</v>
      </c>
      <c r="H22">
        <v>22.8</v>
      </c>
      <c r="I22">
        <v>14.2</v>
      </c>
      <c r="J22">
        <v>170229</v>
      </c>
      <c r="K22">
        <v>31</v>
      </c>
      <c r="L22">
        <v>52771</v>
      </c>
      <c r="M22">
        <v>223000</v>
      </c>
      <c r="N22">
        <v>259875</v>
      </c>
      <c r="O22">
        <v>75</v>
      </c>
      <c r="P22">
        <v>14.6</v>
      </c>
      <c r="Q22" t="s">
        <v>37</v>
      </c>
      <c r="R22" t="s">
        <v>38</v>
      </c>
    </row>
    <row r="23" spans="1:18" x14ac:dyDescent="0.3">
      <c r="A23" t="s">
        <v>42</v>
      </c>
      <c r="B23" t="s">
        <v>54</v>
      </c>
      <c r="C23">
        <v>155</v>
      </c>
      <c r="D23" t="s">
        <v>20</v>
      </c>
      <c r="E23">
        <v>2023</v>
      </c>
      <c r="F23" t="s">
        <v>21</v>
      </c>
      <c r="G23">
        <v>132</v>
      </c>
      <c r="H23">
        <v>40.799999999999997</v>
      </c>
      <c r="I23">
        <v>11.1</v>
      </c>
      <c r="J23">
        <v>139844</v>
      </c>
      <c r="K23">
        <v>28</v>
      </c>
      <c r="L23">
        <v>39156</v>
      </c>
      <c r="M23">
        <v>179000</v>
      </c>
      <c r="N23">
        <v>210786</v>
      </c>
      <c r="O23">
        <v>71</v>
      </c>
      <c r="P23">
        <v>14</v>
      </c>
      <c r="Q23" t="s">
        <v>37</v>
      </c>
      <c r="R23" t="s">
        <v>38</v>
      </c>
    </row>
    <row r="24" spans="1:18" x14ac:dyDescent="0.3">
      <c r="A24" t="s">
        <v>55</v>
      </c>
      <c r="B24" t="s">
        <v>56</v>
      </c>
      <c r="C24">
        <v>249</v>
      </c>
      <c r="D24" t="s">
        <v>34</v>
      </c>
      <c r="E24">
        <v>2022</v>
      </c>
      <c r="F24" t="s">
        <v>21</v>
      </c>
      <c r="G24">
        <v>158</v>
      </c>
      <c r="H24">
        <v>35.6</v>
      </c>
      <c r="I24">
        <v>13.4</v>
      </c>
      <c r="J24">
        <v>176562</v>
      </c>
      <c r="K24">
        <v>28</v>
      </c>
      <c r="L24">
        <v>49438</v>
      </c>
      <c r="M24">
        <v>226000</v>
      </c>
      <c r="N24">
        <v>259009</v>
      </c>
      <c r="O24">
        <v>82</v>
      </c>
      <c r="P24">
        <v>1.9</v>
      </c>
      <c r="Q24" t="s">
        <v>57</v>
      </c>
      <c r="R24" t="s">
        <v>58</v>
      </c>
    </row>
    <row r="25" spans="1:18" x14ac:dyDescent="0.3">
      <c r="A25" t="s">
        <v>42</v>
      </c>
      <c r="B25" t="s">
        <v>59</v>
      </c>
      <c r="C25">
        <v>155</v>
      </c>
      <c r="D25" t="s">
        <v>20</v>
      </c>
      <c r="E25">
        <v>2025</v>
      </c>
      <c r="F25" t="s">
        <v>21</v>
      </c>
      <c r="G25">
        <v>125</v>
      </c>
      <c r="H25">
        <v>37.799999999999997</v>
      </c>
      <c r="I25">
        <v>13.4</v>
      </c>
      <c r="J25">
        <v>132812</v>
      </c>
      <c r="K25">
        <v>28</v>
      </c>
      <c r="L25">
        <v>37188</v>
      </c>
      <c r="M25">
        <v>170000</v>
      </c>
      <c r="N25">
        <v>199114</v>
      </c>
      <c r="O25">
        <v>68</v>
      </c>
      <c r="P25">
        <v>9.3000000000000007</v>
      </c>
      <c r="Q25" t="s">
        <v>22</v>
      </c>
      <c r="R25" t="s">
        <v>23</v>
      </c>
    </row>
    <row r="26" spans="1:18" x14ac:dyDescent="0.3">
      <c r="A26" t="s">
        <v>50</v>
      </c>
      <c r="B26" t="s">
        <v>52</v>
      </c>
      <c r="C26">
        <v>199</v>
      </c>
      <c r="D26" t="s">
        <v>20</v>
      </c>
      <c r="E26">
        <v>2024</v>
      </c>
      <c r="F26" t="s">
        <v>21</v>
      </c>
      <c r="G26">
        <v>122</v>
      </c>
      <c r="H26">
        <v>37.4</v>
      </c>
      <c r="I26">
        <v>12.1</v>
      </c>
      <c r="J26">
        <v>146875</v>
      </c>
      <c r="K26">
        <v>28</v>
      </c>
      <c r="L26">
        <v>41125</v>
      </c>
      <c r="M26">
        <v>188000</v>
      </c>
      <c r="N26">
        <v>220736</v>
      </c>
      <c r="O26">
        <v>74</v>
      </c>
      <c r="P26">
        <v>10.199999999999999</v>
      </c>
      <c r="Q26" t="s">
        <v>37</v>
      </c>
      <c r="R26" t="s">
        <v>38</v>
      </c>
    </row>
    <row r="27" spans="1:18" x14ac:dyDescent="0.3">
      <c r="A27" t="s">
        <v>39</v>
      </c>
      <c r="B27" t="s">
        <v>60</v>
      </c>
      <c r="C27">
        <v>109</v>
      </c>
      <c r="D27" t="s">
        <v>30</v>
      </c>
      <c r="E27">
        <v>2020</v>
      </c>
      <c r="F27" t="s">
        <v>35</v>
      </c>
      <c r="G27">
        <v>94</v>
      </c>
      <c r="H27">
        <v>63.8</v>
      </c>
      <c r="I27">
        <v>8</v>
      </c>
      <c r="J27">
        <v>59375</v>
      </c>
      <c r="K27">
        <v>28</v>
      </c>
      <c r="L27">
        <v>16625</v>
      </c>
      <c r="M27">
        <v>76000</v>
      </c>
      <c r="N27">
        <v>90521</v>
      </c>
      <c r="O27">
        <v>68</v>
      </c>
      <c r="P27">
        <v>5.4</v>
      </c>
      <c r="Q27" t="s">
        <v>22</v>
      </c>
      <c r="R27" t="s">
        <v>23</v>
      </c>
    </row>
    <row r="28" spans="1:18" x14ac:dyDescent="0.3">
      <c r="A28" t="s">
        <v>18</v>
      </c>
      <c r="B28" t="s">
        <v>61</v>
      </c>
      <c r="C28">
        <v>124</v>
      </c>
      <c r="D28" t="s">
        <v>30</v>
      </c>
      <c r="E28">
        <v>2023</v>
      </c>
      <c r="F28" t="s">
        <v>21</v>
      </c>
      <c r="G28">
        <v>112</v>
      </c>
      <c r="H28">
        <v>60</v>
      </c>
      <c r="I28">
        <v>13.3</v>
      </c>
      <c r="J28">
        <v>71094</v>
      </c>
      <c r="K28">
        <v>28</v>
      </c>
      <c r="L28">
        <v>19906</v>
      </c>
      <c r="M28">
        <v>91000</v>
      </c>
      <c r="N28">
        <v>105698</v>
      </c>
      <c r="O28">
        <v>76</v>
      </c>
      <c r="P28">
        <v>5</v>
      </c>
      <c r="Q28" t="s">
        <v>26</v>
      </c>
      <c r="R28" t="s">
        <v>27</v>
      </c>
    </row>
    <row r="29" spans="1:18" x14ac:dyDescent="0.3">
      <c r="A29" t="s">
        <v>39</v>
      </c>
      <c r="B29" t="s">
        <v>47</v>
      </c>
      <c r="C29">
        <v>312</v>
      </c>
      <c r="D29" t="s">
        <v>34</v>
      </c>
      <c r="E29">
        <v>2020</v>
      </c>
      <c r="F29" t="s">
        <v>21</v>
      </c>
      <c r="G29">
        <v>157</v>
      </c>
      <c r="H29">
        <v>33.299999999999997</v>
      </c>
      <c r="I29">
        <v>19.600000000000001</v>
      </c>
      <c r="J29">
        <v>222656</v>
      </c>
      <c r="K29">
        <v>28</v>
      </c>
      <c r="L29">
        <v>62344</v>
      </c>
      <c r="M29">
        <v>285000</v>
      </c>
      <c r="N29">
        <v>333364</v>
      </c>
      <c r="O29">
        <v>73</v>
      </c>
      <c r="P29">
        <v>14</v>
      </c>
      <c r="Q29" t="s">
        <v>37</v>
      </c>
      <c r="R29" t="s">
        <v>38</v>
      </c>
    </row>
    <row r="30" spans="1:18" x14ac:dyDescent="0.3">
      <c r="A30" t="s">
        <v>18</v>
      </c>
      <c r="B30" t="s">
        <v>44</v>
      </c>
      <c r="C30">
        <v>348</v>
      </c>
      <c r="D30" t="s">
        <v>34</v>
      </c>
      <c r="E30">
        <v>2021</v>
      </c>
      <c r="F30" t="s">
        <v>21</v>
      </c>
      <c r="G30">
        <v>159</v>
      </c>
      <c r="H30">
        <v>30.3</v>
      </c>
      <c r="I30">
        <v>17.8</v>
      </c>
      <c r="J30">
        <v>157812</v>
      </c>
      <c r="K30">
        <v>28</v>
      </c>
      <c r="L30">
        <v>44188</v>
      </c>
      <c r="M30">
        <v>202000</v>
      </c>
      <c r="N30">
        <v>237044</v>
      </c>
      <c r="O30">
        <v>75</v>
      </c>
      <c r="P30">
        <v>11</v>
      </c>
      <c r="Q30" t="s">
        <v>37</v>
      </c>
      <c r="R30" t="s">
        <v>38</v>
      </c>
    </row>
    <row r="31" spans="1:18" x14ac:dyDescent="0.3">
      <c r="A31" t="s">
        <v>39</v>
      </c>
      <c r="B31" t="s">
        <v>60</v>
      </c>
      <c r="C31">
        <v>109</v>
      </c>
      <c r="D31" t="s">
        <v>30</v>
      </c>
      <c r="E31">
        <v>2022</v>
      </c>
      <c r="F31" t="s">
        <v>35</v>
      </c>
      <c r="G31">
        <v>98</v>
      </c>
      <c r="H31">
        <v>63.2</v>
      </c>
      <c r="I31">
        <v>9.5</v>
      </c>
      <c r="J31">
        <v>62500</v>
      </c>
      <c r="K31">
        <v>28</v>
      </c>
      <c r="L31">
        <v>17500</v>
      </c>
      <c r="M31">
        <v>80000</v>
      </c>
      <c r="N31">
        <v>93265</v>
      </c>
      <c r="O31">
        <v>65</v>
      </c>
      <c r="P31">
        <v>1.6</v>
      </c>
      <c r="Q31" t="s">
        <v>57</v>
      </c>
      <c r="R31" t="s">
        <v>58</v>
      </c>
    </row>
    <row r="32" spans="1:18" x14ac:dyDescent="0.3">
      <c r="A32" t="s">
        <v>39</v>
      </c>
      <c r="B32" t="s">
        <v>60</v>
      </c>
      <c r="C32">
        <v>109</v>
      </c>
      <c r="D32" t="s">
        <v>30</v>
      </c>
      <c r="E32">
        <v>2022</v>
      </c>
      <c r="F32" t="s">
        <v>35</v>
      </c>
      <c r="G32">
        <v>87</v>
      </c>
      <c r="H32">
        <v>61.8</v>
      </c>
      <c r="I32">
        <v>9.1999999999999993</v>
      </c>
      <c r="J32">
        <v>59375</v>
      </c>
      <c r="K32">
        <v>28</v>
      </c>
      <c r="L32">
        <v>16625</v>
      </c>
      <c r="M32">
        <v>76000</v>
      </c>
      <c r="N32">
        <v>91073</v>
      </c>
      <c r="O32">
        <v>63</v>
      </c>
      <c r="P32">
        <v>8.6</v>
      </c>
      <c r="Q32" t="s">
        <v>37</v>
      </c>
      <c r="R32" t="s">
        <v>38</v>
      </c>
    </row>
    <row r="33" spans="1:18" x14ac:dyDescent="0.3">
      <c r="A33" t="s">
        <v>18</v>
      </c>
      <c r="B33" t="s">
        <v>62</v>
      </c>
      <c r="C33">
        <v>348</v>
      </c>
      <c r="D33" t="s">
        <v>34</v>
      </c>
      <c r="E33">
        <v>2020</v>
      </c>
      <c r="F33" t="s">
        <v>21</v>
      </c>
      <c r="G33">
        <v>146</v>
      </c>
      <c r="H33">
        <v>35.1</v>
      </c>
      <c r="I33">
        <v>15.5</v>
      </c>
      <c r="J33">
        <v>170312</v>
      </c>
      <c r="K33">
        <v>28</v>
      </c>
      <c r="L33">
        <v>47688</v>
      </c>
      <c r="M33">
        <v>218000</v>
      </c>
      <c r="N33">
        <v>246098</v>
      </c>
      <c r="O33">
        <v>88</v>
      </c>
      <c r="P33">
        <v>4.5</v>
      </c>
      <c r="Q33" t="s">
        <v>26</v>
      </c>
      <c r="R33" t="s">
        <v>27</v>
      </c>
    </row>
    <row r="34" spans="1:18" x14ac:dyDescent="0.3">
      <c r="A34" t="s">
        <v>55</v>
      </c>
      <c r="B34" t="s">
        <v>56</v>
      </c>
      <c r="C34">
        <v>249</v>
      </c>
      <c r="D34" t="s">
        <v>34</v>
      </c>
      <c r="E34">
        <v>2021</v>
      </c>
      <c r="F34" t="s">
        <v>21</v>
      </c>
      <c r="G34">
        <v>147</v>
      </c>
      <c r="H34">
        <v>35.299999999999997</v>
      </c>
      <c r="I34">
        <v>19.2</v>
      </c>
      <c r="J34">
        <v>182812</v>
      </c>
      <c r="K34">
        <v>28</v>
      </c>
      <c r="L34">
        <v>51188</v>
      </c>
      <c r="M34">
        <v>234000</v>
      </c>
      <c r="N34">
        <v>269081</v>
      </c>
      <c r="O34">
        <v>76</v>
      </c>
      <c r="P34">
        <v>14.7</v>
      </c>
      <c r="Q34" t="s">
        <v>37</v>
      </c>
      <c r="R34" t="s">
        <v>38</v>
      </c>
    </row>
    <row r="35" spans="1:18" x14ac:dyDescent="0.3">
      <c r="A35" t="s">
        <v>28</v>
      </c>
      <c r="B35" t="s">
        <v>63</v>
      </c>
      <c r="C35">
        <v>125</v>
      </c>
      <c r="D35" t="s">
        <v>30</v>
      </c>
      <c r="E35">
        <v>2025</v>
      </c>
      <c r="F35" t="s">
        <v>35</v>
      </c>
      <c r="G35">
        <v>112</v>
      </c>
      <c r="H35">
        <v>59</v>
      </c>
      <c r="I35">
        <v>10.4</v>
      </c>
      <c r="J35">
        <v>70312</v>
      </c>
      <c r="K35">
        <v>28</v>
      </c>
      <c r="L35">
        <v>19688</v>
      </c>
      <c r="M35">
        <v>90000</v>
      </c>
      <c r="N35">
        <v>108322</v>
      </c>
      <c r="O35">
        <v>62</v>
      </c>
      <c r="P35">
        <v>3.2</v>
      </c>
      <c r="Q35" t="s">
        <v>26</v>
      </c>
      <c r="R35" t="s">
        <v>27</v>
      </c>
    </row>
    <row r="36" spans="1:18" x14ac:dyDescent="0.3">
      <c r="A36" t="s">
        <v>28</v>
      </c>
      <c r="B36" t="s">
        <v>41</v>
      </c>
      <c r="C36">
        <v>125</v>
      </c>
      <c r="D36" t="s">
        <v>30</v>
      </c>
      <c r="E36">
        <v>2021</v>
      </c>
      <c r="F36" t="s">
        <v>35</v>
      </c>
      <c r="G36">
        <v>112</v>
      </c>
      <c r="H36">
        <v>53</v>
      </c>
      <c r="I36">
        <v>11.6</v>
      </c>
      <c r="J36">
        <v>74219</v>
      </c>
      <c r="K36">
        <v>28</v>
      </c>
      <c r="L36">
        <v>20781</v>
      </c>
      <c r="M36">
        <v>95000</v>
      </c>
      <c r="N36">
        <v>111732</v>
      </c>
      <c r="O36">
        <v>61</v>
      </c>
      <c r="P36">
        <v>1.3</v>
      </c>
      <c r="Q36" t="s">
        <v>57</v>
      </c>
      <c r="R36" t="s">
        <v>58</v>
      </c>
    </row>
    <row r="37" spans="1:18" x14ac:dyDescent="0.3">
      <c r="A37" t="s">
        <v>39</v>
      </c>
      <c r="B37" t="s">
        <v>64</v>
      </c>
      <c r="C37">
        <v>159</v>
      </c>
      <c r="D37" t="s">
        <v>20</v>
      </c>
      <c r="E37">
        <v>2020</v>
      </c>
      <c r="F37" t="s">
        <v>35</v>
      </c>
      <c r="G37">
        <v>137</v>
      </c>
      <c r="H37">
        <v>42.1</v>
      </c>
      <c r="I37">
        <v>13.5</v>
      </c>
      <c r="J37">
        <v>99219</v>
      </c>
      <c r="K37">
        <v>28</v>
      </c>
      <c r="L37">
        <v>27781</v>
      </c>
      <c r="M37">
        <v>127000</v>
      </c>
      <c r="N37">
        <v>151218</v>
      </c>
      <c r="O37">
        <v>64</v>
      </c>
      <c r="P37">
        <v>14.1</v>
      </c>
      <c r="Q37" t="s">
        <v>37</v>
      </c>
      <c r="R37" t="s">
        <v>38</v>
      </c>
    </row>
    <row r="38" spans="1:18" x14ac:dyDescent="0.3">
      <c r="A38" t="s">
        <v>39</v>
      </c>
      <c r="B38" t="s">
        <v>60</v>
      </c>
      <c r="C38">
        <v>109</v>
      </c>
      <c r="D38" t="s">
        <v>30</v>
      </c>
      <c r="E38">
        <v>2024</v>
      </c>
      <c r="F38" t="s">
        <v>35</v>
      </c>
      <c r="G38">
        <v>96</v>
      </c>
      <c r="H38">
        <v>71.599999999999994</v>
      </c>
      <c r="I38">
        <v>8.1999999999999993</v>
      </c>
      <c r="J38">
        <v>59375</v>
      </c>
      <c r="K38">
        <v>28</v>
      </c>
      <c r="L38">
        <v>16625</v>
      </c>
      <c r="M38">
        <v>76000</v>
      </c>
      <c r="N38">
        <v>90134</v>
      </c>
      <c r="O38">
        <v>66</v>
      </c>
      <c r="P38">
        <v>7.1</v>
      </c>
      <c r="Q38" t="s">
        <v>37</v>
      </c>
      <c r="R38" t="s">
        <v>38</v>
      </c>
    </row>
    <row r="39" spans="1:18" x14ac:dyDescent="0.3">
      <c r="A39" t="s">
        <v>24</v>
      </c>
      <c r="B39" t="s">
        <v>65</v>
      </c>
      <c r="C39">
        <v>149</v>
      </c>
      <c r="D39" t="s">
        <v>20</v>
      </c>
      <c r="E39">
        <v>2025</v>
      </c>
      <c r="F39" t="s">
        <v>35</v>
      </c>
      <c r="G39">
        <v>111</v>
      </c>
      <c r="H39">
        <v>57.5</v>
      </c>
      <c r="I39">
        <v>13.7</v>
      </c>
      <c r="J39">
        <v>85938</v>
      </c>
      <c r="K39">
        <v>28</v>
      </c>
      <c r="L39">
        <v>24062</v>
      </c>
      <c r="M39">
        <v>110000</v>
      </c>
      <c r="N39">
        <v>129427</v>
      </c>
      <c r="O39">
        <v>67</v>
      </c>
      <c r="P39">
        <v>7</v>
      </c>
      <c r="Q39" t="s">
        <v>22</v>
      </c>
      <c r="R39" t="s">
        <v>23</v>
      </c>
    </row>
    <row r="40" spans="1:18" x14ac:dyDescent="0.3">
      <c r="A40" t="s">
        <v>32</v>
      </c>
      <c r="B40" t="s">
        <v>66</v>
      </c>
      <c r="C40">
        <v>349</v>
      </c>
      <c r="D40" t="s">
        <v>34</v>
      </c>
      <c r="E40">
        <v>2022</v>
      </c>
      <c r="F40" t="s">
        <v>35</v>
      </c>
      <c r="G40">
        <v>153</v>
      </c>
      <c r="H40">
        <v>30.5</v>
      </c>
      <c r="I40">
        <v>16.899999999999999</v>
      </c>
      <c r="J40">
        <v>167969</v>
      </c>
      <c r="K40">
        <v>28</v>
      </c>
      <c r="L40">
        <v>47031</v>
      </c>
      <c r="M40">
        <v>215000</v>
      </c>
      <c r="N40">
        <v>247669</v>
      </c>
      <c r="O40">
        <v>71</v>
      </c>
      <c r="P40">
        <v>6.6</v>
      </c>
      <c r="Q40" t="s">
        <v>22</v>
      </c>
      <c r="R40" t="s">
        <v>23</v>
      </c>
    </row>
    <row r="41" spans="1:18" x14ac:dyDescent="0.3">
      <c r="A41" t="s">
        <v>24</v>
      </c>
      <c r="B41" t="s">
        <v>65</v>
      </c>
      <c r="C41">
        <v>149</v>
      </c>
      <c r="D41" t="s">
        <v>20</v>
      </c>
      <c r="E41">
        <v>2020</v>
      </c>
      <c r="F41" t="s">
        <v>35</v>
      </c>
      <c r="G41">
        <v>114</v>
      </c>
      <c r="H41">
        <v>56.5</v>
      </c>
      <c r="I41">
        <v>11.2</v>
      </c>
      <c r="J41">
        <v>89062</v>
      </c>
      <c r="K41">
        <v>28</v>
      </c>
      <c r="L41">
        <v>24938</v>
      </c>
      <c r="M41">
        <v>114000</v>
      </c>
      <c r="N41">
        <v>135084</v>
      </c>
      <c r="O41">
        <v>68</v>
      </c>
      <c r="P41">
        <v>8.6999999999999993</v>
      </c>
      <c r="Q41" t="s">
        <v>22</v>
      </c>
      <c r="R41" t="s">
        <v>23</v>
      </c>
    </row>
    <row r="42" spans="1:18" x14ac:dyDescent="0.3">
      <c r="A42" t="s">
        <v>24</v>
      </c>
      <c r="B42" t="s">
        <v>67</v>
      </c>
      <c r="C42">
        <v>199</v>
      </c>
      <c r="D42" t="s">
        <v>20</v>
      </c>
      <c r="E42">
        <v>2025</v>
      </c>
      <c r="F42" t="s">
        <v>21</v>
      </c>
      <c r="G42">
        <v>126</v>
      </c>
      <c r="H42">
        <v>41.4</v>
      </c>
      <c r="I42">
        <v>10.7</v>
      </c>
      <c r="J42">
        <v>115625</v>
      </c>
      <c r="K42">
        <v>28</v>
      </c>
      <c r="L42">
        <v>32375</v>
      </c>
      <c r="M42">
        <v>148000</v>
      </c>
      <c r="N42">
        <v>173555</v>
      </c>
      <c r="O42">
        <v>75</v>
      </c>
      <c r="P42">
        <v>7.6</v>
      </c>
      <c r="Q42" t="s">
        <v>22</v>
      </c>
      <c r="R42" t="s">
        <v>23</v>
      </c>
    </row>
    <row r="43" spans="1:18" x14ac:dyDescent="0.3">
      <c r="A43" t="s">
        <v>18</v>
      </c>
      <c r="B43" t="s">
        <v>68</v>
      </c>
      <c r="C43">
        <v>109</v>
      </c>
      <c r="D43" t="s">
        <v>30</v>
      </c>
      <c r="E43">
        <v>2021</v>
      </c>
      <c r="F43" t="s">
        <v>31</v>
      </c>
      <c r="G43">
        <v>92</v>
      </c>
      <c r="H43">
        <v>75.3</v>
      </c>
      <c r="I43">
        <v>8.3000000000000007</v>
      </c>
      <c r="J43">
        <v>58594</v>
      </c>
      <c r="K43">
        <v>28</v>
      </c>
      <c r="L43">
        <v>16406</v>
      </c>
      <c r="M43">
        <v>75000</v>
      </c>
      <c r="N43">
        <v>88552</v>
      </c>
      <c r="O43">
        <v>67</v>
      </c>
      <c r="P43">
        <v>5.3</v>
      </c>
      <c r="Q43" t="s">
        <v>22</v>
      </c>
      <c r="R43" t="s">
        <v>23</v>
      </c>
    </row>
    <row r="44" spans="1:18" x14ac:dyDescent="0.3">
      <c r="A44" t="s">
        <v>28</v>
      </c>
      <c r="B44" t="s">
        <v>69</v>
      </c>
      <c r="C44">
        <v>125</v>
      </c>
      <c r="D44" t="s">
        <v>30</v>
      </c>
      <c r="E44">
        <v>2021</v>
      </c>
      <c r="F44" t="s">
        <v>21</v>
      </c>
      <c r="G44">
        <v>111</v>
      </c>
      <c r="H44">
        <v>54.4</v>
      </c>
      <c r="I44">
        <v>10.6</v>
      </c>
      <c r="J44">
        <v>78906</v>
      </c>
      <c r="K44">
        <v>28</v>
      </c>
      <c r="L44">
        <v>22094</v>
      </c>
      <c r="M44">
        <v>101000</v>
      </c>
      <c r="N44">
        <v>118044</v>
      </c>
      <c r="O44">
        <v>71</v>
      </c>
      <c r="P44">
        <v>7.9</v>
      </c>
      <c r="Q44" t="s">
        <v>22</v>
      </c>
      <c r="R44" t="s">
        <v>23</v>
      </c>
    </row>
    <row r="45" spans="1:18" x14ac:dyDescent="0.3">
      <c r="A45" t="s">
        <v>28</v>
      </c>
      <c r="B45" t="s">
        <v>29</v>
      </c>
      <c r="C45">
        <v>97</v>
      </c>
      <c r="D45" t="s">
        <v>30</v>
      </c>
      <c r="E45">
        <v>2020</v>
      </c>
      <c r="F45" t="s">
        <v>31</v>
      </c>
      <c r="G45">
        <v>99</v>
      </c>
      <c r="H45">
        <v>65.3</v>
      </c>
      <c r="I45">
        <v>8.9</v>
      </c>
      <c r="J45">
        <v>61719</v>
      </c>
      <c r="K45">
        <v>28</v>
      </c>
      <c r="L45">
        <v>17281</v>
      </c>
      <c r="M45">
        <v>79000</v>
      </c>
      <c r="N45">
        <v>95549</v>
      </c>
      <c r="O45">
        <v>56</v>
      </c>
      <c r="P45">
        <v>8.8000000000000007</v>
      </c>
      <c r="Q45" t="s">
        <v>37</v>
      </c>
      <c r="R45" t="s">
        <v>38</v>
      </c>
    </row>
    <row r="46" spans="1:18" x14ac:dyDescent="0.3">
      <c r="A46" t="s">
        <v>42</v>
      </c>
      <c r="B46" t="s">
        <v>45</v>
      </c>
      <c r="C46">
        <v>149</v>
      </c>
      <c r="D46" t="s">
        <v>20</v>
      </c>
      <c r="E46">
        <v>2021</v>
      </c>
      <c r="F46" t="s">
        <v>21</v>
      </c>
      <c r="G46">
        <v>118</v>
      </c>
      <c r="H46">
        <v>56.5</v>
      </c>
      <c r="I46">
        <v>13</v>
      </c>
      <c r="J46">
        <v>108594</v>
      </c>
      <c r="K46">
        <v>28</v>
      </c>
      <c r="L46">
        <v>30406</v>
      </c>
      <c r="M46">
        <v>139000</v>
      </c>
      <c r="N46">
        <v>165250</v>
      </c>
      <c r="O46">
        <v>77</v>
      </c>
      <c r="P46">
        <v>7.2</v>
      </c>
      <c r="Q46" t="s">
        <v>22</v>
      </c>
      <c r="R46" t="s">
        <v>23</v>
      </c>
    </row>
    <row r="47" spans="1:18" x14ac:dyDescent="0.3">
      <c r="A47" t="s">
        <v>42</v>
      </c>
      <c r="B47" t="s">
        <v>70</v>
      </c>
      <c r="C47">
        <v>249</v>
      </c>
      <c r="D47" t="s">
        <v>20</v>
      </c>
      <c r="E47">
        <v>2022</v>
      </c>
      <c r="F47" t="s">
        <v>21</v>
      </c>
      <c r="G47">
        <v>156</v>
      </c>
      <c r="H47">
        <v>34</v>
      </c>
      <c r="I47">
        <v>16.100000000000001</v>
      </c>
      <c r="J47">
        <v>128125</v>
      </c>
      <c r="K47">
        <v>28</v>
      </c>
      <c r="L47">
        <v>35875</v>
      </c>
      <c r="M47">
        <v>164000</v>
      </c>
      <c r="N47">
        <v>192861</v>
      </c>
      <c r="O47">
        <v>72</v>
      </c>
      <c r="P47">
        <v>9.8000000000000007</v>
      </c>
      <c r="Q47" t="s">
        <v>22</v>
      </c>
      <c r="R47" t="s">
        <v>23</v>
      </c>
    </row>
    <row r="48" spans="1:18" x14ac:dyDescent="0.3">
      <c r="A48" t="s">
        <v>39</v>
      </c>
      <c r="B48" t="s">
        <v>71</v>
      </c>
      <c r="C48">
        <v>159</v>
      </c>
      <c r="D48" t="s">
        <v>20</v>
      </c>
      <c r="E48">
        <v>2025</v>
      </c>
      <c r="F48" t="s">
        <v>21</v>
      </c>
      <c r="G48">
        <v>127</v>
      </c>
      <c r="H48">
        <v>38.4</v>
      </c>
      <c r="I48">
        <v>10.9</v>
      </c>
      <c r="J48">
        <v>100781</v>
      </c>
      <c r="K48">
        <v>28</v>
      </c>
      <c r="L48">
        <v>28219</v>
      </c>
      <c r="M48">
        <v>129000</v>
      </c>
      <c r="N48">
        <v>149557</v>
      </c>
      <c r="O48">
        <v>72</v>
      </c>
      <c r="P48">
        <v>10.7</v>
      </c>
      <c r="Q48" t="s">
        <v>37</v>
      </c>
      <c r="R48" t="s">
        <v>38</v>
      </c>
    </row>
    <row r="49" spans="1:18" x14ac:dyDescent="0.3">
      <c r="A49" t="s">
        <v>50</v>
      </c>
      <c r="B49" t="s">
        <v>72</v>
      </c>
      <c r="C49">
        <v>373</v>
      </c>
      <c r="D49" t="s">
        <v>34</v>
      </c>
      <c r="E49">
        <v>2020</v>
      </c>
      <c r="F49" t="s">
        <v>21</v>
      </c>
      <c r="G49">
        <v>184</v>
      </c>
      <c r="H49">
        <v>23.8</v>
      </c>
      <c r="I49">
        <v>19</v>
      </c>
      <c r="J49">
        <v>232824</v>
      </c>
      <c r="K49">
        <v>31</v>
      </c>
      <c r="L49">
        <v>72176</v>
      </c>
      <c r="M49">
        <v>305000</v>
      </c>
      <c r="N49">
        <v>350553</v>
      </c>
      <c r="O49">
        <v>80</v>
      </c>
      <c r="P49">
        <v>14.2</v>
      </c>
      <c r="Q49" t="s">
        <v>37</v>
      </c>
      <c r="R49" t="s">
        <v>38</v>
      </c>
    </row>
    <row r="50" spans="1:18" x14ac:dyDescent="0.3">
      <c r="A50" t="s">
        <v>32</v>
      </c>
      <c r="B50" t="s">
        <v>73</v>
      </c>
      <c r="C50">
        <v>648</v>
      </c>
      <c r="D50" t="s">
        <v>34</v>
      </c>
      <c r="E50">
        <v>2024</v>
      </c>
      <c r="F50" t="s">
        <v>31</v>
      </c>
      <c r="G50">
        <v>186</v>
      </c>
      <c r="H50">
        <v>23.9</v>
      </c>
      <c r="I50">
        <v>18.600000000000001</v>
      </c>
      <c r="J50">
        <v>258779</v>
      </c>
      <c r="K50">
        <v>31</v>
      </c>
      <c r="L50">
        <v>80221</v>
      </c>
      <c r="M50">
        <v>339000</v>
      </c>
      <c r="N50">
        <v>394695</v>
      </c>
      <c r="O50">
        <v>71</v>
      </c>
      <c r="P50">
        <v>11.5</v>
      </c>
      <c r="Q50" t="s">
        <v>37</v>
      </c>
      <c r="R50" t="s">
        <v>38</v>
      </c>
    </row>
    <row r="51" spans="1:18" x14ac:dyDescent="0.3">
      <c r="A51" t="s">
        <v>24</v>
      </c>
      <c r="B51" t="s">
        <v>74</v>
      </c>
      <c r="C51">
        <v>199</v>
      </c>
      <c r="D51" t="s">
        <v>20</v>
      </c>
      <c r="E51">
        <v>2021</v>
      </c>
      <c r="F51" t="s">
        <v>21</v>
      </c>
      <c r="G51">
        <v>132</v>
      </c>
      <c r="H51">
        <v>40.299999999999997</v>
      </c>
      <c r="I51">
        <v>13.9</v>
      </c>
      <c r="J51">
        <v>136719</v>
      </c>
      <c r="K51">
        <v>28</v>
      </c>
      <c r="L51">
        <v>38281</v>
      </c>
      <c r="M51">
        <v>175000</v>
      </c>
      <c r="N51">
        <v>201452</v>
      </c>
      <c r="O51">
        <v>69</v>
      </c>
      <c r="P51">
        <v>12.8</v>
      </c>
      <c r="Q51" t="s">
        <v>37</v>
      </c>
      <c r="R51" t="s">
        <v>38</v>
      </c>
    </row>
    <row r="52" spans="1:18" x14ac:dyDescent="0.3">
      <c r="A52" t="s">
        <v>55</v>
      </c>
      <c r="B52" t="s">
        <v>75</v>
      </c>
      <c r="C52">
        <v>155</v>
      </c>
      <c r="D52" t="s">
        <v>20</v>
      </c>
      <c r="E52">
        <v>2021</v>
      </c>
      <c r="F52" t="s">
        <v>35</v>
      </c>
      <c r="G52">
        <v>133</v>
      </c>
      <c r="H52">
        <v>37.799999999999997</v>
      </c>
      <c r="I52">
        <v>10.199999999999999</v>
      </c>
      <c r="J52">
        <v>104688</v>
      </c>
      <c r="K52">
        <v>28</v>
      </c>
      <c r="L52">
        <v>29312</v>
      </c>
      <c r="M52">
        <v>134000</v>
      </c>
      <c r="N52">
        <v>154476</v>
      </c>
      <c r="O52">
        <v>60</v>
      </c>
      <c r="P52">
        <v>13.1</v>
      </c>
      <c r="Q52" t="s">
        <v>37</v>
      </c>
      <c r="R52" t="s">
        <v>38</v>
      </c>
    </row>
    <row r="53" spans="1:18" x14ac:dyDescent="0.3">
      <c r="A53" t="s">
        <v>32</v>
      </c>
      <c r="B53" t="s">
        <v>73</v>
      </c>
      <c r="C53">
        <v>648</v>
      </c>
      <c r="D53" t="s">
        <v>34</v>
      </c>
      <c r="E53">
        <v>2023</v>
      </c>
      <c r="F53" t="s">
        <v>31</v>
      </c>
      <c r="G53">
        <v>186</v>
      </c>
      <c r="H53">
        <v>20.8</v>
      </c>
      <c r="I53">
        <v>13.1</v>
      </c>
      <c r="J53">
        <v>252672</v>
      </c>
      <c r="K53">
        <v>31</v>
      </c>
      <c r="L53">
        <v>78328</v>
      </c>
      <c r="M53">
        <v>331000</v>
      </c>
      <c r="N53">
        <v>379216</v>
      </c>
      <c r="O53">
        <v>67</v>
      </c>
      <c r="P53">
        <v>12.7</v>
      </c>
      <c r="Q53" t="s">
        <v>37</v>
      </c>
      <c r="R53" t="s">
        <v>38</v>
      </c>
    </row>
    <row r="54" spans="1:18" x14ac:dyDescent="0.3">
      <c r="A54" t="s">
        <v>55</v>
      </c>
      <c r="B54" t="s">
        <v>76</v>
      </c>
      <c r="C54">
        <v>249</v>
      </c>
      <c r="D54" t="s">
        <v>20</v>
      </c>
      <c r="E54">
        <v>2021</v>
      </c>
      <c r="F54" t="s">
        <v>21</v>
      </c>
      <c r="G54">
        <v>160</v>
      </c>
      <c r="H54">
        <v>34.200000000000003</v>
      </c>
      <c r="I54">
        <v>14.4</v>
      </c>
      <c r="J54">
        <v>134375</v>
      </c>
      <c r="K54">
        <v>28</v>
      </c>
      <c r="L54">
        <v>37625</v>
      </c>
      <c r="M54">
        <v>172000</v>
      </c>
      <c r="N54">
        <v>200522</v>
      </c>
      <c r="O54">
        <v>63</v>
      </c>
      <c r="P54">
        <v>11.6</v>
      </c>
      <c r="Q54" t="s">
        <v>37</v>
      </c>
      <c r="R54" t="s">
        <v>38</v>
      </c>
    </row>
    <row r="55" spans="1:18" x14ac:dyDescent="0.3">
      <c r="A55" t="s">
        <v>28</v>
      </c>
      <c r="B55" t="s">
        <v>48</v>
      </c>
      <c r="C55">
        <v>110</v>
      </c>
      <c r="D55" t="s">
        <v>30</v>
      </c>
      <c r="E55">
        <v>2022</v>
      </c>
      <c r="F55" t="s">
        <v>35</v>
      </c>
      <c r="G55">
        <v>91</v>
      </c>
      <c r="H55">
        <v>71.099999999999994</v>
      </c>
      <c r="I55">
        <v>8.3000000000000007</v>
      </c>
      <c r="J55">
        <v>64062</v>
      </c>
      <c r="K55">
        <v>28</v>
      </c>
      <c r="L55">
        <v>17938</v>
      </c>
      <c r="M55">
        <v>82000</v>
      </c>
      <c r="N55">
        <v>95047</v>
      </c>
      <c r="O55">
        <v>70</v>
      </c>
      <c r="P55">
        <v>10.8</v>
      </c>
      <c r="Q55" t="s">
        <v>37</v>
      </c>
      <c r="R55" t="s">
        <v>38</v>
      </c>
    </row>
    <row r="56" spans="1:18" x14ac:dyDescent="0.3">
      <c r="A56" t="s">
        <v>18</v>
      </c>
      <c r="B56" t="s">
        <v>19</v>
      </c>
      <c r="C56">
        <v>184</v>
      </c>
      <c r="D56" t="s">
        <v>20</v>
      </c>
      <c r="E56">
        <v>2023</v>
      </c>
      <c r="F56" t="s">
        <v>21</v>
      </c>
      <c r="G56">
        <v>129</v>
      </c>
      <c r="H56">
        <v>37.200000000000003</v>
      </c>
      <c r="I56">
        <v>11.6</v>
      </c>
      <c r="J56">
        <v>114062</v>
      </c>
      <c r="K56">
        <v>28</v>
      </c>
      <c r="L56">
        <v>31938</v>
      </c>
      <c r="M56">
        <v>146000</v>
      </c>
      <c r="N56">
        <v>168295</v>
      </c>
      <c r="O56">
        <v>78</v>
      </c>
      <c r="P56">
        <v>10.5</v>
      </c>
      <c r="Q56" t="s">
        <v>37</v>
      </c>
      <c r="R56" t="s">
        <v>38</v>
      </c>
    </row>
    <row r="57" spans="1:18" x14ac:dyDescent="0.3">
      <c r="A57" t="s">
        <v>24</v>
      </c>
      <c r="B57" t="s">
        <v>77</v>
      </c>
      <c r="C57">
        <v>160</v>
      </c>
      <c r="D57" t="s">
        <v>20</v>
      </c>
      <c r="E57">
        <v>2020</v>
      </c>
      <c r="F57" t="s">
        <v>21</v>
      </c>
      <c r="G57">
        <v>129</v>
      </c>
      <c r="H57">
        <v>44</v>
      </c>
      <c r="I57">
        <v>13.2</v>
      </c>
      <c r="J57">
        <v>94531</v>
      </c>
      <c r="K57">
        <v>28</v>
      </c>
      <c r="L57">
        <v>26469</v>
      </c>
      <c r="M57">
        <v>121000</v>
      </c>
      <c r="N57">
        <v>141588</v>
      </c>
      <c r="O57">
        <v>77</v>
      </c>
      <c r="P57">
        <v>9.4</v>
      </c>
      <c r="Q57" t="s">
        <v>22</v>
      </c>
      <c r="R57" t="s">
        <v>23</v>
      </c>
    </row>
    <row r="58" spans="1:18" x14ac:dyDescent="0.3">
      <c r="A58" t="s">
        <v>28</v>
      </c>
      <c r="B58" t="s">
        <v>69</v>
      </c>
      <c r="C58">
        <v>125</v>
      </c>
      <c r="D58" t="s">
        <v>30</v>
      </c>
      <c r="E58">
        <v>2020</v>
      </c>
      <c r="F58" t="s">
        <v>21</v>
      </c>
      <c r="G58">
        <v>105</v>
      </c>
      <c r="H58">
        <v>56.9</v>
      </c>
      <c r="I58">
        <v>11.7</v>
      </c>
      <c r="J58">
        <v>79688</v>
      </c>
      <c r="K58">
        <v>28</v>
      </c>
      <c r="L58">
        <v>22312</v>
      </c>
      <c r="M58">
        <v>102000</v>
      </c>
      <c r="N58">
        <v>119796</v>
      </c>
      <c r="O58">
        <v>71</v>
      </c>
      <c r="P58">
        <v>12.5</v>
      </c>
      <c r="Q58" t="s">
        <v>37</v>
      </c>
      <c r="R58" t="s">
        <v>38</v>
      </c>
    </row>
    <row r="59" spans="1:18" x14ac:dyDescent="0.3">
      <c r="A59" t="s">
        <v>32</v>
      </c>
      <c r="B59" t="s">
        <v>36</v>
      </c>
      <c r="C59">
        <v>411</v>
      </c>
      <c r="D59" t="s">
        <v>34</v>
      </c>
      <c r="E59">
        <v>2024</v>
      </c>
      <c r="F59" t="s">
        <v>35</v>
      </c>
      <c r="G59">
        <v>193</v>
      </c>
      <c r="H59">
        <v>20.3</v>
      </c>
      <c r="I59">
        <v>18.399999999999999</v>
      </c>
      <c r="J59">
        <v>167939</v>
      </c>
      <c r="K59">
        <v>31</v>
      </c>
      <c r="L59">
        <v>52061</v>
      </c>
      <c r="M59">
        <v>220000</v>
      </c>
      <c r="N59">
        <v>258388</v>
      </c>
      <c r="O59">
        <v>80</v>
      </c>
      <c r="P59">
        <v>4.8</v>
      </c>
      <c r="Q59" t="s">
        <v>26</v>
      </c>
      <c r="R59" t="s">
        <v>27</v>
      </c>
    </row>
    <row r="60" spans="1:18" x14ac:dyDescent="0.3">
      <c r="A60" t="s">
        <v>42</v>
      </c>
      <c r="B60" t="s">
        <v>45</v>
      </c>
      <c r="C60">
        <v>149</v>
      </c>
      <c r="D60" t="s">
        <v>20</v>
      </c>
      <c r="E60">
        <v>2021</v>
      </c>
      <c r="F60" t="s">
        <v>21</v>
      </c>
      <c r="G60">
        <v>107</v>
      </c>
      <c r="H60">
        <v>59.4</v>
      </c>
      <c r="I60">
        <v>13</v>
      </c>
      <c r="J60">
        <v>104688</v>
      </c>
      <c r="K60">
        <v>28</v>
      </c>
      <c r="L60">
        <v>29312</v>
      </c>
      <c r="M60">
        <v>134000</v>
      </c>
      <c r="N60">
        <v>156383</v>
      </c>
      <c r="O60">
        <v>73</v>
      </c>
      <c r="P60">
        <v>13.3</v>
      </c>
      <c r="Q60" t="s">
        <v>37</v>
      </c>
      <c r="R60" t="s">
        <v>38</v>
      </c>
    </row>
    <row r="61" spans="1:18" x14ac:dyDescent="0.3">
      <c r="A61" t="s">
        <v>32</v>
      </c>
      <c r="B61" t="s">
        <v>73</v>
      </c>
      <c r="C61">
        <v>648</v>
      </c>
      <c r="D61" t="s">
        <v>34</v>
      </c>
      <c r="E61">
        <v>2024</v>
      </c>
      <c r="F61" t="s">
        <v>31</v>
      </c>
      <c r="G61">
        <v>176</v>
      </c>
      <c r="H61">
        <v>20.5</v>
      </c>
      <c r="I61">
        <v>17.899999999999999</v>
      </c>
      <c r="J61">
        <v>252672</v>
      </c>
      <c r="K61">
        <v>31</v>
      </c>
      <c r="L61">
        <v>78328</v>
      </c>
      <c r="M61">
        <v>331000</v>
      </c>
      <c r="N61">
        <v>380103</v>
      </c>
      <c r="O61">
        <v>68</v>
      </c>
      <c r="P61">
        <v>4.9000000000000004</v>
      </c>
      <c r="Q61" t="s">
        <v>26</v>
      </c>
      <c r="R61" t="s">
        <v>27</v>
      </c>
    </row>
    <row r="62" spans="1:18" x14ac:dyDescent="0.3">
      <c r="A62" t="s">
        <v>39</v>
      </c>
      <c r="B62" t="s">
        <v>64</v>
      </c>
      <c r="C62">
        <v>159</v>
      </c>
      <c r="D62" t="s">
        <v>20</v>
      </c>
      <c r="E62">
        <v>2025</v>
      </c>
      <c r="F62" t="s">
        <v>35</v>
      </c>
      <c r="G62">
        <v>135</v>
      </c>
      <c r="H62">
        <v>44.2</v>
      </c>
      <c r="I62">
        <v>11.9</v>
      </c>
      <c r="J62">
        <v>94531</v>
      </c>
      <c r="K62">
        <v>28</v>
      </c>
      <c r="L62">
        <v>26469</v>
      </c>
      <c r="M62">
        <v>121000</v>
      </c>
      <c r="N62">
        <v>140261</v>
      </c>
      <c r="O62">
        <v>67</v>
      </c>
      <c r="P62">
        <v>11.6</v>
      </c>
      <c r="Q62" t="s">
        <v>37</v>
      </c>
      <c r="R62" t="s">
        <v>38</v>
      </c>
    </row>
    <row r="63" spans="1:18" x14ac:dyDescent="0.3">
      <c r="A63" t="s">
        <v>42</v>
      </c>
      <c r="B63" t="s">
        <v>54</v>
      </c>
      <c r="C63">
        <v>155</v>
      </c>
      <c r="D63" t="s">
        <v>20</v>
      </c>
      <c r="E63">
        <v>2023</v>
      </c>
      <c r="F63" t="s">
        <v>21</v>
      </c>
      <c r="G63">
        <v>129</v>
      </c>
      <c r="H63">
        <v>43.9</v>
      </c>
      <c r="I63">
        <v>12.2</v>
      </c>
      <c r="J63">
        <v>139844</v>
      </c>
      <c r="K63">
        <v>28</v>
      </c>
      <c r="L63">
        <v>39156</v>
      </c>
      <c r="M63">
        <v>179000</v>
      </c>
      <c r="N63">
        <v>203523</v>
      </c>
      <c r="O63">
        <v>77</v>
      </c>
      <c r="P63">
        <v>9.1</v>
      </c>
      <c r="Q63" t="s">
        <v>22</v>
      </c>
      <c r="R63" t="s">
        <v>23</v>
      </c>
    </row>
    <row r="64" spans="1:18" x14ac:dyDescent="0.3">
      <c r="A64" t="s">
        <v>32</v>
      </c>
      <c r="B64" t="s">
        <v>33</v>
      </c>
      <c r="C64">
        <v>346</v>
      </c>
      <c r="D64" t="s">
        <v>34</v>
      </c>
      <c r="E64">
        <v>2025</v>
      </c>
      <c r="F64" t="s">
        <v>35</v>
      </c>
      <c r="G64">
        <v>149</v>
      </c>
      <c r="H64">
        <v>31.6</v>
      </c>
      <c r="I64">
        <v>14.3</v>
      </c>
      <c r="J64">
        <v>142969</v>
      </c>
      <c r="K64">
        <v>28</v>
      </c>
      <c r="L64">
        <v>40031</v>
      </c>
      <c r="M64">
        <v>183000</v>
      </c>
      <c r="N64">
        <v>214679</v>
      </c>
      <c r="O64">
        <v>70</v>
      </c>
      <c r="P64">
        <v>4.2</v>
      </c>
      <c r="Q64" t="s">
        <v>26</v>
      </c>
      <c r="R64" t="s">
        <v>27</v>
      </c>
    </row>
    <row r="65" spans="1:18" x14ac:dyDescent="0.3">
      <c r="A65" t="s">
        <v>18</v>
      </c>
      <c r="B65" t="s">
        <v>78</v>
      </c>
      <c r="C65">
        <v>184</v>
      </c>
      <c r="D65" t="s">
        <v>20</v>
      </c>
      <c r="E65">
        <v>2024</v>
      </c>
      <c r="F65" t="s">
        <v>21</v>
      </c>
      <c r="G65">
        <v>135</v>
      </c>
      <c r="H65">
        <v>39.1</v>
      </c>
      <c r="I65">
        <v>12.4</v>
      </c>
      <c r="J65">
        <v>121875</v>
      </c>
      <c r="K65">
        <v>28</v>
      </c>
      <c r="L65">
        <v>34125</v>
      </c>
      <c r="M65">
        <v>156000</v>
      </c>
      <c r="N65">
        <v>184031</v>
      </c>
      <c r="O65">
        <v>73</v>
      </c>
      <c r="P65">
        <v>11.1</v>
      </c>
      <c r="Q65" t="s">
        <v>37</v>
      </c>
      <c r="R65" t="s">
        <v>38</v>
      </c>
    </row>
    <row r="66" spans="1:18" x14ac:dyDescent="0.3">
      <c r="A66" t="s">
        <v>18</v>
      </c>
      <c r="B66" t="s">
        <v>61</v>
      </c>
      <c r="C66">
        <v>124</v>
      </c>
      <c r="D66" t="s">
        <v>30</v>
      </c>
      <c r="E66">
        <v>2020</v>
      </c>
      <c r="F66" t="s">
        <v>21</v>
      </c>
      <c r="G66">
        <v>109</v>
      </c>
      <c r="H66">
        <v>48.6</v>
      </c>
      <c r="I66">
        <v>12.2</v>
      </c>
      <c r="J66">
        <v>80469</v>
      </c>
      <c r="K66">
        <v>28</v>
      </c>
      <c r="L66">
        <v>22531</v>
      </c>
      <c r="M66">
        <v>103000</v>
      </c>
      <c r="N66">
        <v>119532</v>
      </c>
      <c r="O66">
        <v>70</v>
      </c>
      <c r="P66">
        <v>1.6</v>
      </c>
      <c r="Q66" t="s">
        <v>57</v>
      </c>
      <c r="R66" t="s">
        <v>58</v>
      </c>
    </row>
    <row r="67" spans="1:18" x14ac:dyDescent="0.3">
      <c r="A67" t="s">
        <v>18</v>
      </c>
      <c r="B67" t="s">
        <v>79</v>
      </c>
      <c r="C67">
        <v>293</v>
      </c>
      <c r="D67" t="s">
        <v>34</v>
      </c>
      <c r="E67">
        <v>2021</v>
      </c>
      <c r="F67" t="s">
        <v>21</v>
      </c>
      <c r="G67">
        <v>155</v>
      </c>
      <c r="H67">
        <v>32.6</v>
      </c>
      <c r="I67">
        <v>19.8</v>
      </c>
      <c r="J67">
        <v>215625</v>
      </c>
      <c r="K67">
        <v>28</v>
      </c>
      <c r="L67">
        <v>60375</v>
      </c>
      <c r="M67">
        <v>276000</v>
      </c>
      <c r="N67">
        <v>317287</v>
      </c>
      <c r="O67">
        <v>79</v>
      </c>
      <c r="P67">
        <v>7.2</v>
      </c>
      <c r="Q67" t="s">
        <v>22</v>
      </c>
      <c r="R67" t="s">
        <v>23</v>
      </c>
    </row>
    <row r="68" spans="1:18" x14ac:dyDescent="0.3">
      <c r="A68" t="s">
        <v>39</v>
      </c>
      <c r="B68" t="s">
        <v>80</v>
      </c>
      <c r="C68">
        <v>109</v>
      </c>
      <c r="D68" t="s">
        <v>30</v>
      </c>
      <c r="E68">
        <v>2024</v>
      </c>
      <c r="F68" t="s">
        <v>31</v>
      </c>
      <c r="G68">
        <v>86</v>
      </c>
      <c r="H68">
        <v>69.900000000000006</v>
      </c>
      <c r="I68">
        <v>9.9</v>
      </c>
      <c r="J68">
        <v>65625</v>
      </c>
      <c r="K68">
        <v>28</v>
      </c>
      <c r="L68">
        <v>18375</v>
      </c>
      <c r="M68">
        <v>84000</v>
      </c>
      <c r="N68">
        <v>99867</v>
      </c>
      <c r="O68">
        <v>56</v>
      </c>
      <c r="P68">
        <v>3.1</v>
      </c>
      <c r="Q68" t="s">
        <v>26</v>
      </c>
      <c r="R68" t="s">
        <v>27</v>
      </c>
    </row>
    <row r="69" spans="1:18" x14ac:dyDescent="0.3">
      <c r="A69" t="s">
        <v>18</v>
      </c>
      <c r="B69" t="s">
        <v>68</v>
      </c>
      <c r="C69">
        <v>109</v>
      </c>
      <c r="D69" t="s">
        <v>30</v>
      </c>
      <c r="E69">
        <v>2023</v>
      </c>
      <c r="F69" t="s">
        <v>31</v>
      </c>
      <c r="G69">
        <v>92</v>
      </c>
      <c r="H69">
        <v>71.599999999999994</v>
      </c>
      <c r="I69">
        <v>8.6</v>
      </c>
      <c r="J69">
        <v>65625</v>
      </c>
      <c r="K69">
        <v>28</v>
      </c>
      <c r="L69">
        <v>18375</v>
      </c>
      <c r="M69">
        <v>84000</v>
      </c>
      <c r="N69">
        <v>99405</v>
      </c>
      <c r="O69">
        <v>65</v>
      </c>
      <c r="P69">
        <v>6.3</v>
      </c>
      <c r="Q69" t="s">
        <v>37</v>
      </c>
      <c r="R69" t="s">
        <v>38</v>
      </c>
    </row>
    <row r="70" spans="1:18" x14ac:dyDescent="0.3">
      <c r="A70" t="s">
        <v>50</v>
      </c>
      <c r="B70" t="s">
        <v>81</v>
      </c>
      <c r="C70">
        <v>199</v>
      </c>
      <c r="D70" t="s">
        <v>20</v>
      </c>
      <c r="E70">
        <v>2025</v>
      </c>
      <c r="F70" t="s">
        <v>21</v>
      </c>
      <c r="G70">
        <v>126</v>
      </c>
      <c r="H70">
        <v>46.5</v>
      </c>
      <c r="I70">
        <v>10.3</v>
      </c>
      <c r="J70">
        <v>162500</v>
      </c>
      <c r="K70">
        <v>28</v>
      </c>
      <c r="L70">
        <v>45500</v>
      </c>
      <c r="M70">
        <v>208000</v>
      </c>
      <c r="N70">
        <v>240989</v>
      </c>
      <c r="O70">
        <v>84</v>
      </c>
      <c r="P70">
        <v>4</v>
      </c>
      <c r="Q70" t="s">
        <v>26</v>
      </c>
      <c r="R70" t="s">
        <v>27</v>
      </c>
    </row>
    <row r="71" spans="1:18" x14ac:dyDescent="0.3">
      <c r="A71" t="s">
        <v>39</v>
      </c>
      <c r="B71" t="s">
        <v>82</v>
      </c>
      <c r="C71">
        <v>99</v>
      </c>
      <c r="D71" t="s">
        <v>30</v>
      </c>
      <c r="E71">
        <v>2022</v>
      </c>
      <c r="F71" t="s">
        <v>31</v>
      </c>
      <c r="G71">
        <v>100</v>
      </c>
      <c r="H71">
        <v>73.2</v>
      </c>
      <c r="I71">
        <v>9.4</v>
      </c>
      <c r="J71">
        <v>50000</v>
      </c>
      <c r="K71">
        <v>28</v>
      </c>
      <c r="L71">
        <v>14000</v>
      </c>
      <c r="M71">
        <v>64000</v>
      </c>
      <c r="N71">
        <v>75081</v>
      </c>
      <c r="O71">
        <v>58</v>
      </c>
      <c r="P71">
        <v>1.5</v>
      </c>
      <c r="Q71" t="s">
        <v>57</v>
      </c>
      <c r="R71" t="s">
        <v>58</v>
      </c>
    </row>
    <row r="72" spans="1:18" x14ac:dyDescent="0.3">
      <c r="A72" t="s">
        <v>42</v>
      </c>
      <c r="B72" t="s">
        <v>43</v>
      </c>
      <c r="C72">
        <v>149</v>
      </c>
      <c r="D72" t="s">
        <v>20</v>
      </c>
      <c r="E72">
        <v>2021</v>
      </c>
      <c r="F72" t="s">
        <v>35</v>
      </c>
      <c r="G72">
        <v>111</v>
      </c>
      <c r="H72">
        <v>56.2</v>
      </c>
      <c r="I72">
        <v>12.6</v>
      </c>
      <c r="J72">
        <v>94531</v>
      </c>
      <c r="K72">
        <v>28</v>
      </c>
      <c r="L72">
        <v>26469</v>
      </c>
      <c r="M72">
        <v>121000</v>
      </c>
      <c r="N72">
        <v>140640</v>
      </c>
      <c r="O72">
        <v>68</v>
      </c>
      <c r="P72">
        <v>2.6</v>
      </c>
      <c r="Q72" t="s">
        <v>26</v>
      </c>
      <c r="R72" t="s">
        <v>27</v>
      </c>
    </row>
    <row r="73" spans="1:18" x14ac:dyDescent="0.3">
      <c r="A73" t="s">
        <v>39</v>
      </c>
      <c r="B73" t="s">
        <v>83</v>
      </c>
      <c r="C73">
        <v>124</v>
      </c>
      <c r="D73" t="s">
        <v>30</v>
      </c>
      <c r="E73">
        <v>2025</v>
      </c>
      <c r="F73" t="s">
        <v>21</v>
      </c>
      <c r="G73">
        <v>114</v>
      </c>
      <c r="H73">
        <v>56.3</v>
      </c>
      <c r="I73">
        <v>11.2</v>
      </c>
      <c r="J73">
        <v>78125</v>
      </c>
      <c r="K73">
        <v>28</v>
      </c>
      <c r="L73">
        <v>21875</v>
      </c>
      <c r="M73">
        <v>100000</v>
      </c>
      <c r="N73">
        <v>114876</v>
      </c>
      <c r="O73">
        <v>70</v>
      </c>
      <c r="P73">
        <v>2.7</v>
      </c>
      <c r="Q73" t="s">
        <v>26</v>
      </c>
      <c r="R73" t="s">
        <v>27</v>
      </c>
    </row>
    <row r="74" spans="1:18" x14ac:dyDescent="0.3">
      <c r="A74" t="s">
        <v>50</v>
      </c>
      <c r="B74" t="s">
        <v>52</v>
      </c>
      <c r="C74">
        <v>199</v>
      </c>
      <c r="D74" t="s">
        <v>20</v>
      </c>
      <c r="E74">
        <v>2020</v>
      </c>
      <c r="F74" t="s">
        <v>21</v>
      </c>
      <c r="G74">
        <v>133</v>
      </c>
      <c r="H74">
        <v>43</v>
      </c>
      <c r="I74">
        <v>10.4</v>
      </c>
      <c r="J74">
        <v>167188</v>
      </c>
      <c r="K74">
        <v>28</v>
      </c>
      <c r="L74">
        <v>46812</v>
      </c>
      <c r="M74">
        <v>214000</v>
      </c>
      <c r="N74">
        <v>246266</v>
      </c>
      <c r="O74">
        <v>73</v>
      </c>
      <c r="P74">
        <v>9.5</v>
      </c>
      <c r="Q74" t="s">
        <v>22</v>
      </c>
      <c r="R74" t="s">
        <v>23</v>
      </c>
    </row>
    <row r="75" spans="1:18" x14ac:dyDescent="0.3">
      <c r="A75" t="s">
        <v>28</v>
      </c>
      <c r="B75" t="s">
        <v>48</v>
      </c>
      <c r="C75">
        <v>110</v>
      </c>
      <c r="D75" t="s">
        <v>30</v>
      </c>
      <c r="E75">
        <v>2023</v>
      </c>
      <c r="F75" t="s">
        <v>35</v>
      </c>
      <c r="G75">
        <v>90</v>
      </c>
      <c r="H75">
        <v>74.400000000000006</v>
      </c>
      <c r="I75">
        <v>9.8000000000000007</v>
      </c>
      <c r="J75">
        <v>67188</v>
      </c>
      <c r="K75">
        <v>28</v>
      </c>
      <c r="L75">
        <v>18812</v>
      </c>
      <c r="M75">
        <v>86000</v>
      </c>
      <c r="N75">
        <v>100400</v>
      </c>
      <c r="O75">
        <v>70</v>
      </c>
      <c r="P75">
        <v>8.3000000000000007</v>
      </c>
      <c r="Q75" t="s">
        <v>22</v>
      </c>
      <c r="R75" t="s">
        <v>23</v>
      </c>
    </row>
    <row r="76" spans="1:18" x14ac:dyDescent="0.3">
      <c r="A76" t="s">
        <v>24</v>
      </c>
      <c r="B76" t="s">
        <v>84</v>
      </c>
      <c r="C76">
        <v>124</v>
      </c>
      <c r="D76" t="s">
        <v>30</v>
      </c>
      <c r="E76">
        <v>2020</v>
      </c>
      <c r="F76" t="s">
        <v>35</v>
      </c>
      <c r="G76">
        <v>118</v>
      </c>
      <c r="H76">
        <v>54.6</v>
      </c>
      <c r="I76">
        <v>13.4</v>
      </c>
      <c r="J76">
        <v>80469</v>
      </c>
      <c r="K76">
        <v>28</v>
      </c>
      <c r="L76">
        <v>22531</v>
      </c>
      <c r="M76">
        <v>103000</v>
      </c>
      <c r="N76">
        <v>120176</v>
      </c>
      <c r="O76">
        <v>62</v>
      </c>
      <c r="P76">
        <v>5.5</v>
      </c>
      <c r="Q76" t="s">
        <v>37</v>
      </c>
      <c r="R76" t="s">
        <v>38</v>
      </c>
    </row>
    <row r="77" spans="1:18" x14ac:dyDescent="0.3">
      <c r="A77" t="s">
        <v>32</v>
      </c>
      <c r="B77" t="s">
        <v>85</v>
      </c>
      <c r="C77">
        <v>346</v>
      </c>
      <c r="D77" t="s">
        <v>34</v>
      </c>
      <c r="E77">
        <v>2022</v>
      </c>
      <c r="F77" t="s">
        <v>31</v>
      </c>
      <c r="G77">
        <v>157</v>
      </c>
      <c r="H77">
        <v>34.4</v>
      </c>
      <c r="I77">
        <v>14.8</v>
      </c>
      <c r="J77">
        <v>135156</v>
      </c>
      <c r="K77">
        <v>28</v>
      </c>
      <c r="L77">
        <v>37844</v>
      </c>
      <c r="M77">
        <v>173000</v>
      </c>
      <c r="N77">
        <v>201391</v>
      </c>
      <c r="O77">
        <v>59</v>
      </c>
      <c r="P77">
        <v>7.4</v>
      </c>
      <c r="Q77" t="s">
        <v>37</v>
      </c>
      <c r="R77" t="s">
        <v>38</v>
      </c>
    </row>
    <row r="78" spans="1:18" x14ac:dyDescent="0.3">
      <c r="A78" t="s">
        <v>18</v>
      </c>
      <c r="B78" t="s">
        <v>19</v>
      </c>
      <c r="C78">
        <v>184</v>
      </c>
      <c r="D78" t="s">
        <v>20</v>
      </c>
      <c r="E78">
        <v>2021</v>
      </c>
      <c r="F78" t="s">
        <v>21</v>
      </c>
      <c r="G78">
        <v>137</v>
      </c>
      <c r="H78">
        <v>43.6</v>
      </c>
      <c r="I78">
        <v>12.1</v>
      </c>
      <c r="J78">
        <v>117969</v>
      </c>
      <c r="K78">
        <v>28</v>
      </c>
      <c r="L78">
        <v>33031</v>
      </c>
      <c r="M78">
        <v>151000</v>
      </c>
      <c r="N78">
        <v>173609</v>
      </c>
      <c r="O78">
        <v>76</v>
      </c>
      <c r="P78">
        <v>6.8</v>
      </c>
      <c r="Q78" t="s">
        <v>22</v>
      </c>
      <c r="R78" t="s">
        <v>23</v>
      </c>
    </row>
    <row r="79" spans="1:18" x14ac:dyDescent="0.3">
      <c r="A79" t="s">
        <v>42</v>
      </c>
      <c r="B79" t="s">
        <v>86</v>
      </c>
      <c r="C79">
        <v>155</v>
      </c>
      <c r="D79" t="s">
        <v>20</v>
      </c>
      <c r="E79">
        <v>2023</v>
      </c>
      <c r="F79" t="s">
        <v>21</v>
      </c>
      <c r="G79">
        <v>129</v>
      </c>
      <c r="H79">
        <v>38.299999999999997</v>
      </c>
      <c r="I79">
        <v>10.5</v>
      </c>
      <c r="J79">
        <v>159375</v>
      </c>
      <c r="K79">
        <v>28</v>
      </c>
      <c r="L79">
        <v>44625</v>
      </c>
      <c r="M79">
        <v>204000</v>
      </c>
      <c r="N79">
        <v>237721</v>
      </c>
      <c r="O79">
        <v>74</v>
      </c>
      <c r="P79">
        <v>13.3</v>
      </c>
      <c r="Q79" t="s">
        <v>37</v>
      </c>
      <c r="R79" t="s">
        <v>38</v>
      </c>
    </row>
    <row r="80" spans="1:18" x14ac:dyDescent="0.3">
      <c r="A80" t="s">
        <v>39</v>
      </c>
      <c r="B80" t="s">
        <v>82</v>
      </c>
      <c r="C80">
        <v>99</v>
      </c>
      <c r="D80" t="s">
        <v>30</v>
      </c>
      <c r="E80">
        <v>2025</v>
      </c>
      <c r="F80" t="s">
        <v>31</v>
      </c>
      <c r="G80">
        <v>88</v>
      </c>
      <c r="H80">
        <v>63.2</v>
      </c>
      <c r="I80">
        <v>9.6999999999999993</v>
      </c>
      <c r="J80">
        <v>54688</v>
      </c>
      <c r="K80">
        <v>28</v>
      </c>
      <c r="L80">
        <v>15312</v>
      </c>
      <c r="M80">
        <v>70000</v>
      </c>
      <c r="N80">
        <v>82260</v>
      </c>
      <c r="O80">
        <v>61</v>
      </c>
      <c r="P80">
        <v>14.3</v>
      </c>
      <c r="Q80" t="s">
        <v>37</v>
      </c>
      <c r="R80" t="s">
        <v>38</v>
      </c>
    </row>
    <row r="81" spans="1:18" x14ac:dyDescent="0.3">
      <c r="A81" t="s">
        <v>42</v>
      </c>
      <c r="B81" t="s">
        <v>86</v>
      </c>
      <c r="C81">
        <v>155</v>
      </c>
      <c r="D81" t="s">
        <v>20</v>
      </c>
      <c r="E81">
        <v>2021</v>
      </c>
      <c r="F81" t="s">
        <v>21</v>
      </c>
      <c r="G81">
        <v>135</v>
      </c>
      <c r="H81">
        <v>45.4</v>
      </c>
      <c r="I81">
        <v>11.5</v>
      </c>
      <c r="J81">
        <v>167188</v>
      </c>
      <c r="K81">
        <v>28</v>
      </c>
      <c r="L81">
        <v>46812</v>
      </c>
      <c r="M81">
        <v>214000</v>
      </c>
      <c r="N81">
        <v>246758</v>
      </c>
      <c r="O81">
        <v>76</v>
      </c>
      <c r="P81">
        <v>7.4</v>
      </c>
      <c r="Q81" t="s">
        <v>22</v>
      </c>
      <c r="R81" t="s">
        <v>23</v>
      </c>
    </row>
    <row r="82" spans="1:18" x14ac:dyDescent="0.3">
      <c r="A82" t="s">
        <v>42</v>
      </c>
      <c r="B82" t="s">
        <v>87</v>
      </c>
      <c r="C82">
        <v>321</v>
      </c>
      <c r="D82" t="s">
        <v>34</v>
      </c>
      <c r="E82">
        <v>2020</v>
      </c>
      <c r="F82" t="s">
        <v>21</v>
      </c>
      <c r="G82">
        <v>165</v>
      </c>
      <c r="H82">
        <v>30.8</v>
      </c>
      <c r="I82">
        <v>15</v>
      </c>
      <c r="J82">
        <v>373438</v>
      </c>
      <c r="K82">
        <v>28</v>
      </c>
      <c r="L82">
        <v>104562</v>
      </c>
      <c r="M82">
        <v>478000</v>
      </c>
      <c r="N82">
        <v>537556</v>
      </c>
      <c r="O82">
        <v>78</v>
      </c>
      <c r="P82">
        <v>4.7</v>
      </c>
      <c r="Q82" t="s">
        <v>26</v>
      </c>
      <c r="R82" t="s">
        <v>27</v>
      </c>
    </row>
    <row r="83" spans="1:18" x14ac:dyDescent="0.3">
      <c r="A83" t="s">
        <v>39</v>
      </c>
      <c r="B83" t="s">
        <v>47</v>
      </c>
      <c r="C83">
        <v>312</v>
      </c>
      <c r="D83" t="s">
        <v>34</v>
      </c>
      <c r="E83">
        <v>2024</v>
      </c>
      <c r="F83" t="s">
        <v>21</v>
      </c>
      <c r="G83">
        <v>155</v>
      </c>
      <c r="H83">
        <v>31.6</v>
      </c>
      <c r="I83">
        <v>15.6</v>
      </c>
      <c r="J83">
        <v>230469</v>
      </c>
      <c r="K83">
        <v>28</v>
      </c>
      <c r="L83">
        <v>64531</v>
      </c>
      <c r="M83">
        <v>295000</v>
      </c>
      <c r="N83">
        <v>340795</v>
      </c>
      <c r="O83">
        <v>74</v>
      </c>
      <c r="P83">
        <v>5.7</v>
      </c>
      <c r="Q83" t="s">
        <v>22</v>
      </c>
      <c r="R83" t="s">
        <v>23</v>
      </c>
    </row>
    <row r="84" spans="1:18" x14ac:dyDescent="0.3">
      <c r="A84" t="s">
        <v>32</v>
      </c>
      <c r="B84" t="s">
        <v>88</v>
      </c>
      <c r="C84">
        <v>349</v>
      </c>
      <c r="D84" t="s">
        <v>34</v>
      </c>
      <c r="E84">
        <v>2025</v>
      </c>
      <c r="F84" t="s">
        <v>35</v>
      </c>
      <c r="G84">
        <v>164</v>
      </c>
      <c r="H84">
        <v>30</v>
      </c>
      <c r="I84">
        <v>16.3</v>
      </c>
      <c r="J84">
        <v>161719</v>
      </c>
      <c r="K84">
        <v>28</v>
      </c>
      <c r="L84">
        <v>45281</v>
      </c>
      <c r="M84">
        <v>207000</v>
      </c>
      <c r="N84">
        <v>242447</v>
      </c>
      <c r="O84">
        <v>72</v>
      </c>
      <c r="P84">
        <v>1.6</v>
      </c>
      <c r="Q84" t="s">
        <v>57</v>
      </c>
      <c r="R84" t="s">
        <v>58</v>
      </c>
    </row>
    <row r="85" spans="1:18" x14ac:dyDescent="0.3">
      <c r="A85" t="s">
        <v>32</v>
      </c>
      <c r="B85" t="s">
        <v>73</v>
      </c>
      <c r="C85">
        <v>648</v>
      </c>
      <c r="D85" t="s">
        <v>34</v>
      </c>
      <c r="E85">
        <v>2024</v>
      </c>
      <c r="F85" t="s">
        <v>31</v>
      </c>
      <c r="G85">
        <v>162</v>
      </c>
      <c r="H85">
        <v>22</v>
      </c>
      <c r="I85">
        <v>15.3</v>
      </c>
      <c r="J85">
        <v>254962</v>
      </c>
      <c r="K85">
        <v>31</v>
      </c>
      <c r="L85">
        <v>79038</v>
      </c>
      <c r="M85">
        <v>334000</v>
      </c>
      <c r="N85">
        <v>387712</v>
      </c>
      <c r="O85">
        <v>65</v>
      </c>
      <c r="P85">
        <v>8</v>
      </c>
      <c r="Q85" t="s">
        <v>37</v>
      </c>
      <c r="R85" t="s">
        <v>38</v>
      </c>
    </row>
    <row r="86" spans="1:18" x14ac:dyDescent="0.3">
      <c r="A86" t="s">
        <v>18</v>
      </c>
      <c r="B86" t="s">
        <v>61</v>
      </c>
      <c r="C86">
        <v>124</v>
      </c>
      <c r="D86" t="s">
        <v>30</v>
      </c>
      <c r="E86">
        <v>2021</v>
      </c>
      <c r="F86" t="s">
        <v>21</v>
      </c>
      <c r="G86">
        <v>109</v>
      </c>
      <c r="H86">
        <v>48.6</v>
      </c>
      <c r="I86">
        <v>10.3</v>
      </c>
      <c r="J86">
        <v>81250</v>
      </c>
      <c r="K86">
        <v>28</v>
      </c>
      <c r="L86">
        <v>22750</v>
      </c>
      <c r="M86">
        <v>104000</v>
      </c>
      <c r="N86">
        <v>122237</v>
      </c>
      <c r="O86">
        <v>72</v>
      </c>
      <c r="P86">
        <v>13.2</v>
      </c>
      <c r="Q86" t="s">
        <v>37</v>
      </c>
      <c r="R86" t="s">
        <v>38</v>
      </c>
    </row>
    <row r="87" spans="1:18" x14ac:dyDescent="0.3">
      <c r="A87" t="s">
        <v>39</v>
      </c>
      <c r="B87" t="s">
        <v>60</v>
      </c>
      <c r="C87">
        <v>109</v>
      </c>
      <c r="D87" t="s">
        <v>30</v>
      </c>
      <c r="E87">
        <v>2023</v>
      </c>
      <c r="F87" t="s">
        <v>35</v>
      </c>
      <c r="G87">
        <v>97</v>
      </c>
      <c r="H87">
        <v>75.900000000000006</v>
      </c>
      <c r="I87">
        <v>9.6999999999999993</v>
      </c>
      <c r="J87">
        <v>60938</v>
      </c>
      <c r="K87">
        <v>28</v>
      </c>
      <c r="L87">
        <v>17062</v>
      </c>
      <c r="M87">
        <v>78000</v>
      </c>
      <c r="N87">
        <v>93100</v>
      </c>
      <c r="O87">
        <v>66</v>
      </c>
      <c r="P87">
        <v>9.8000000000000007</v>
      </c>
      <c r="Q87" t="s">
        <v>37</v>
      </c>
      <c r="R87" t="s">
        <v>38</v>
      </c>
    </row>
    <row r="88" spans="1:18" x14ac:dyDescent="0.3">
      <c r="A88" t="s">
        <v>28</v>
      </c>
      <c r="B88" t="s">
        <v>41</v>
      </c>
      <c r="C88">
        <v>125</v>
      </c>
      <c r="D88" t="s">
        <v>30</v>
      </c>
      <c r="E88">
        <v>2025</v>
      </c>
      <c r="F88" t="s">
        <v>35</v>
      </c>
      <c r="G88">
        <v>107</v>
      </c>
      <c r="H88">
        <v>61.6</v>
      </c>
      <c r="I88">
        <v>12.8</v>
      </c>
      <c r="J88">
        <v>71875</v>
      </c>
      <c r="K88">
        <v>28</v>
      </c>
      <c r="L88">
        <v>20125</v>
      </c>
      <c r="M88">
        <v>92000</v>
      </c>
      <c r="N88">
        <v>107420</v>
      </c>
      <c r="O88">
        <v>69</v>
      </c>
      <c r="P88">
        <v>14.7</v>
      </c>
      <c r="Q88" t="s">
        <v>37</v>
      </c>
      <c r="R88" t="s">
        <v>38</v>
      </c>
    </row>
    <row r="89" spans="1:18" x14ac:dyDescent="0.3">
      <c r="A89" t="s">
        <v>18</v>
      </c>
      <c r="B89" t="s">
        <v>61</v>
      </c>
      <c r="C89">
        <v>124</v>
      </c>
      <c r="D89" t="s">
        <v>30</v>
      </c>
      <c r="E89">
        <v>2023</v>
      </c>
      <c r="F89" t="s">
        <v>21</v>
      </c>
      <c r="G89">
        <v>106</v>
      </c>
      <c r="H89">
        <v>52.7</v>
      </c>
      <c r="I89">
        <v>10.6</v>
      </c>
      <c r="J89">
        <v>75781</v>
      </c>
      <c r="K89">
        <v>28</v>
      </c>
      <c r="L89">
        <v>21219</v>
      </c>
      <c r="M89">
        <v>97000</v>
      </c>
      <c r="N89">
        <v>114303</v>
      </c>
      <c r="O89">
        <v>70</v>
      </c>
      <c r="P89">
        <v>6</v>
      </c>
      <c r="Q89" t="s">
        <v>22</v>
      </c>
      <c r="R89" t="s">
        <v>23</v>
      </c>
    </row>
    <row r="90" spans="1:18" x14ac:dyDescent="0.3">
      <c r="A90" t="s">
        <v>55</v>
      </c>
      <c r="B90" t="s">
        <v>89</v>
      </c>
      <c r="C90">
        <v>155</v>
      </c>
      <c r="D90" t="s">
        <v>20</v>
      </c>
      <c r="E90">
        <v>2023</v>
      </c>
      <c r="F90" t="s">
        <v>35</v>
      </c>
      <c r="G90">
        <v>132</v>
      </c>
      <c r="H90">
        <v>37.799999999999997</v>
      </c>
      <c r="I90">
        <v>13.7</v>
      </c>
      <c r="J90">
        <v>103906</v>
      </c>
      <c r="K90">
        <v>28</v>
      </c>
      <c r="L90">
        <v>29094</v>
      </c>
      <c r="M90">
        <v>133000</v>
      </c>
      <c r="N90">
        <v>154453</v>
      </c>
      <c r="O90">
        <v>67</v>
      </c>
      <c r="P90">
        <v>10.6</v>
      </c>
      <c r="Q90" t="s">
        <v>37</v>
      </c>
      <c r="R90" t="s">
        <v>38</v>
      </c>
    </row>
    <row r="91" spans="1:18" x14ac:dyDescent="0.3">
      <c r="A91" t="s">
        <v>18</v>
      </c>
      <c r="B91" t="s">
        <v>62</v>
      </c>
      <c r="C91">
        <v>348</v>
      </c>
      <c r="D91" t="s">
        <v>34</v>
      </c>
      <c r="E91">
        <v>2025</v>
      </c>
      <c r="F91" t="s">
        <v>21</v>
      </c>
      <c r="G91">
        <v>165</v>
      </c>
      <c r="H91">
        <v>28.2</v>
      </c>
      <c r="I91">
        <v>16.8</v>
      </c>
      <c r="J91">
        <v>164844</v>
      </c>
      <c r="K91">
        <v>28</v>
      </c>
      <c r="L91">
        <v>46156</v>
      </c>
      <c r="M91">
        <v>211000</v>
      </c>
      <c r="N91">
        <v>246264</v>
      </c>
      <c r="O91">
        <v>79</v>
      </c>
      <c r="P91">
        <v>13.6</v>
      </c>
      <c r="Q91" t="s">
        <v>37</v>
      </c>
      <c r="R91" t="s">
        <v>38</v>
      </c>
    </row>
    <row r="92" spans="1:18" x14ac:dyDescent="0.3">
      <c r="A92" t="s">
        <v>28</v>
      </c>
      <c r="B92" t="s">
        <v>53</v>
      </c>
      <c r="C92">
        <v>440</v>
      </c>
      <c r="D92" t="s">
        <v>34</v>
      </c>
      <c r="E92">
        <v>2022</v>
      </c>
      <c r="F92" t="s">
        <v>21</v>
      </c>
      <c r="G92">
        <v>204</v>
      </c>
      <c r="H92">
        <v>24.4</v>
      </c>
      <c r="I92">
        <v>14.4</v>
      </c>
      <c r="J92">
        <v>170229</v>
      </c>
      <c r="K92">
        <v>31</v>
      </c>
      <c r="L92">
        <v>52771</v>
      </c>
      <c r="M92">
        <v>223000</v>
      </c>
      <c r="N92">
        <v>257850</v>
      </c>
      <c r="O92">
        <v>79</v>
      </c>
      <c r="P92">
        <v>7.4</v>
      </c>
      <c r="Q92" t="s">
        <v>22</v>
      </c>
      <c r="R92" t="s">
        <v>23</v>
      </c>
    </row>
    <row r="93" spans="1:18" x14ac:dyDescent="0.3">
      <c r="A93" t="s">
        <v>32</v>
      </c>
      <c r="B93" t="s">
        <v>90</v>
      </c>
      <c r="C93">
        <v>648</v>
      </c>
      <c r="D93" t="s">
        <v>34</v>
      </c>
      <c r="E93">
        <v>2025</v>
      </c>
      <c r="F93" t="s">
        <v>31</v>
      </c>
      <c r="G93">
        <v>204</v>
      </c>
      <c r="H93">
        <v>22.4</v>
      </c>
      <c r="I93">
        <v>15.8</v>
      </c>
      <c r="J93">
        <v>261832</v>
      </c>
      <c r="K93">
        <v>31</v>
      </c>
      <c r="L93">
        <v>81168</v>
      </c>
      <c r="M93">
        <v>343000</v>
      </c>
      <c r="N93">
        <v>388279</v>
      </c>
      <c r="O93">
        <v>67</v>
      </c>
      <c r="P93">
        <v>1.3</v>
      </c>
      <c r="Q93" t="s">
        <v>57</v>
      </c>
      <c r="R93" t="s">
        <v>58</v>
      </c>
    </row>
    <row r="94" spans="1:18" x14ac:dyDescent="0.3">
      <c r="A94" t="s">
        <v>28</v>
      </c>
      <c r="B94" t="s">
        <v>91</v>
      </c>
      <c r="C94">
        <v>97</v>
      </c>
      <c r="D94" t="s">
        <v>30</v>
      </c>
      <c r="E94">
        <v>2021</v>
      </c>
      <c r="F94" t="s">
        <v>31</v>
      </c>
      <c r="G94">
        <v>100</v>
      </c>
      <c r="H94">
        <v>76.900000000000006</v>
      </c>
      <c r="I94">
        <v>9.1999999999999993</v>
      </c>
      <c r="J94">
        <v>55469</v>
      </c>
      <c r="K94">
        <v>28</v>
      </c>
      <c r="L94">
        <v>15531</v>
      </c>
      <c r="M94">
        <v>71000</v>
      </c>
      <c r="N94">
        <v>84015</v>
      </c>
      <c r="O94">
        <v>60</v>
      </c>
      <c r="P94">
        <v>11.9</v>
      </c>
      <c r="Q94" t="s">
        <v>37</v>
      </c>
      <c r="R94" t="s">
        <v>38</v>
      </c>
    </row>
    <row r="95" spans="1:18" x14ac:dyDescent="0.3">
      <c r="A95" t="s">
        <v>32</v>
      </c>
      <c r="B95" t="s">
        <v>92</v>
      </c>
      <c r="C95">
        <v>452</v>
      </c>
      <c r="D95" t="s">
        <v>34</v>
      </c>
      <c r="E95">
        <v>2025</v>
      </c>
      <c r="F95" t="s">
        <v>21</v>
      </c>
      <c r="G95">
        <v>203</v>
      </c>
      <c r="H95">
        <v>23.4</v>
      </c>
      <c r="I95">
        <v>17.5</v>
      </c>
      <c r="J95">
        <v>207634</v>
      </c>
      <c r="K95">
        <v>31</v>
      </c>
      <c r="L95">
        <v>64366</v>
      </c>
      <c r="M95">
        <v>272000</v>
      </c>
      <c r="N95">
        <v>310304</v>
      </c>
      <c r="O95">
        <v>79</v>
      </c>
      <c r="P95">
        <v>9.8000000000000007</v>
      </c>
      <c r="Q95" t="s">
        <v>22</v>
      </c>
      <c r="R95" t="s">
        <v>23</v>
      </c>
    </row>
    <row r="96" spans="1:18" x14ac:dyDescent="0.3">
      <c r="A96" t="s">
        <v>39</v>
      </c>
      <c r="B96" t="s">
        <v>93</v>
      </c>
      <c r="C96">
        <v>225</v>
      </c>
      <c r="D96" t="s">
        <v>20</v>
      </c>
      <c r="E96">
        <v>2021</v>
      </c>
      <c r="F96" t="s">
        <v>21</v>
      </c>
      <c r="G96">
        <v>149</v>
      </c>
      <c r="H96">
        <v>28.9</v>
      </c>
      <c r="I96">
        <v>14.4</v>
      </c>
      <c r="J96">
        <v>135156</v>
      </c>
      <c r="K96">
        <v>28</v>
      </c>
      <c r="L96">
        <v>37844</v>
      </c>
      <c r="M96">
        <v>173000</v>
      </c>
      <c r="N96">
        <v>196061</v>
      </c>
      <c r="O96">
        <v>69</v>
      </c>
      <c r="P96">
        <v>11.5</v>
      </c>
      <c r="Q96" t="s">
        <v>37</v>
      </c>
      <c r="R96" t="s">
        <v>38</v>
      </c>
    </row>
    <row r="97" spans="1:18" x14ac:dyDescent="0.3">
      <c r="A97" t="s">
        <v>55</v>
      </c>
      <c r="B97" t="s">
        <v>76</v>
      </c>
      <c r="C97">
        <v>249</v>
      </c>
      <c r="D97" t="s">
        <v>20</v>
      </c>
      <c r="E97">
        <v>2022</v>
      </c>
      <c r="F97" t="s">
        <v>21</v>
      </c>
      <c r="G97">
        <v>148</v>
      </c>
      <c r="H97">
        <v>34.5</v>
      </c>
      <c r="I97">
        <v>18.2</v>
      </c>
      <c r="J97">
        <v>153125</v>
      </c>
      <c r="K97">
        <v>28</v>
      </c>
      <c r="L97">
        <v>42875</v>
      </c>
      <c r="M97">
        <v>196000</v>
      </c>
      <c r="N97">
        <v>225511</v>
      </c>
      <c r="O97">
        <v>70</v>
      </c>
      <c r="P97">
        <v>14.5</v>
      </c>
      <c r="Q97" t="s">
        <v>37</v>
      </c>
      <c r="R97" t="s">
        <v>38</v>
      </c>
    </row>
    <row r="98" spans="1:18" x14ac:dyDescent="0.3">
      <c r="A98" t="s">
        <v>32</v>
      </c>
      <c r="B98" t="s">
        <v>46</v>
      </c>
      <c r="C98">
        <v>349</v>
      </c>
      <c r="D98" t="s">
        <v>34</v>
      </c>
      <c r="E98">
        <v>2024</v>
      </c>
      <c r="F98" t="s">
        <v>35</v>
      </c>
      <c r="G98">
        <v>163</v>
      </c>
      <c r="H98">
        <v>34.799999999999997</v>
      </c>
      <c r="I98">
        <v>15.6</v>
      </c>
      <c r="J98">
        <v>135156</v>
      </c>
      <c r="K98">
        <v>28</v>
      </c>
      <c r="L98">
        <v>37844</v>
      </c>
      <c r="M98">
        <v>173000</v>
      </c>
      <c r="N98">
        <v>198455</v>
      </c>
      <c r="O98">
        <v>76</v>
      </c>
      <c r="P98">
        <v>14.7</v>
      </c>
      <c r="Q98" t="s">
        <v>37</v>
      </c>
      <c r="R98" t="s">
        <v>38</v>
      </c>
    </row>
    <row r="99" spans="1:18" x14ac:dyDescent="0.3">
      <c r="A99" t="s">
        <v>50</v>
      </c>
      <c r="B99" t="s">
        <v>94</v>
      </c>
      <c r="C99">
        <v>124</v>
      </c>
      <c r="D99" t="s">
        <v>20</v>
      </c>
      <c r="E99">
        <v>2025</v>
      </c>
      <c r="F99" t="s">
        <v>21</v>
      </c>
      <c r="G99">
        <v>113</v>
      </c>
      <c r="H99">
        <v>58.3</v>
      </c>
      <c r="I99">
        <v>13.8</v>
      </c>
      <c r="J99">
        <v>125781</v>
      </c>
      <c r="K99">
        <v>28</v>
      </c>
      <c r="L99">
        <v>35219</v>
      </c>
      <c r="M99">
        <v>161000</v>
      </c>
      <c r="N99">
        <v>188385</v>
      </c>
      <c r="O99">
        <v>79</v>
      </c>
      <c r="P99">
        <v>6.3</v>
      </c>
      <c r="Q99" t="s">
        <v>22</v>
      </c>
      <c r="R99" t="s">
        <v>23</v>
      </c>
    </row>
    <row r="100" spans="1:18" x14ac:dyDescent="0.3">
      <c r="A100" t="s">
        <v>18</v>
      </c>
      <c r="B100" t="s">
        <v>95</v>
      </c>
      <c r="C100">
        <v>160</v>
      </c>
      <c r="D100" t="s">
        <v>20</v>
      </c>
      <c r="E100">
        <v>2025</v>
      </c>
      <c r="F100" t="s">
        <v>35</v>
      </c>
      <c r="G100">
        <v>139</v>
      </c>
      <c r="H100">
        <v>40.299999999999997</v>
      </c>
      <c r="I100">
        <v>13.3</v>
      </c>
      <c r="J100">
        <v>92188</v>
      </c>
      <c r="K100">
        <v>28</v>
      </c>
      <c r="L100">
        <v>25812</v>
      </c>
      <c r="M100">
        <v>118000</v>
      </c>
      <c r="N100">
        <v>138967</v>
      </c>
      <c r="O100">
        <v>65</v>
      </c>
      <c r="P100">
        <v>10.1</v>
      </c>
      <c r="Q100" t="s">
        <v>37</v>
      </c>
      <c r="R100" t="s">
        <v>38</v>
      </c>
    </row>
    <row r="101" spans="1:18" x14ac:dyDescent="0.3">
      <c r="A101" t="s">
        <v>39</v>
      </c>
      <c r="B101" t="s">
        <v>47</v>
      </c>
      <c r="C101">
        <v>312</v>
      </c>
      <c r="D101" t="s">
        <v>34</v>
      </c>
      <c r="E101">
        <v>2024</v>
      </c>
      <c r="F101" t="s">
        <v>21</v>
      </c>
      <c r="G101">
        <v>155</v>
      </c>
      <c r="H101">
        <v>30.5</v>
      </c>
      <c r="I101">
        <v>13.9</v>
      </c>
      <c r="J101">
        <v>224219</v>
      </c>
      <c r="K101">
        <v>28</v>
      </c>
      <c r="L101">
        <v>62781</v>
      </c>
      <c r="M101">
        <v>287000</v>
      </c>
      <c r="N101">
        <v>322322</v>
      </c>
      <c r="O101">
        <v>70</v>
      </c>
      <c r="P101">
        <v>2.4</v>
      </c>
      <c r="Q101" t="s">
        <v>26</v>
      </c>
      <c r="R101" t="s">
        <v>27</v>
      </c>
    </row>
    <row r="102" spans="1:18" x14ac:dyDescent="0.3">
      <c r="A102" t="s">
        <v>42</v>
      </c>
      <c r="B102" t="s">
        <v>43</v>
      </c>
      <c r="C102">
        <v>149</v>
      </c>
      <c r="D102" t="s">
        <v>20</v>
      </c>
      <c r="E102">
        <v>2023</v>
      </c>
      <c r="F102" t="s">
        <v>35</v>
      </c>
      <c r="G102">
        <v>109</v>
      </c>
      <c r="H102">
        <v>53.9</v>
      </c>
      <c r="I102">
        <v>12.5</v>
      </c>
      <c r="J102">
        <v>99219</v>
      </c>
      <c r="K102">
        <v>28</v>
      </c>
      <c r="L102">
        <v>27781</v>
      </c>
      <c r="M102">
        <v>127000</v>
      </c>
      <c r="N102">
        <v>151774</v>
      </c>
      <c r="O102">
        <v>68</v>
      </c>
      <c r="P102">
        <v>10.199999999999999</v>
      </c>
      <c r="Q102" t="s">
        <v>37</v>
      </c>
      <c r="R102" t="s">
        <v>38</v>
      </c>
    </row>
    <row r="103" spans="1:18" x14ac:dyDescent="0.3">
      <c r="A103" t="s">
        <v>39</v>
      </c>
      <c r="B103" t="s">
        <v>64</v>
      </c>
      <c r="C103">
        <v>159</v>
      </c>
      <c r="D103" t="s">
        <v>20</v>
      </c>
      <c r="E103">
        <v>2025</v>
      </c>
      <c r="F103" t="s">
        <v>35</v>
      </c>
      <c r="G103">
        <v>123</v>
      </c>
      <c r="H103">
        <v>45.6</v>
      </c>
      <c r="I103">
        <v>11.4</v>
      </c>
      <c r="J103">
        <v>86719</v>
      </c>
      <c r="K103">
        <v>28</v>
      </c>
      <c r="L103">
        <v>24281</v>
      </c>
      <c r="M103">
        <v>111000</v>
      </c>
      <c r="N103">
        <v>128806</v>
      </c>
      <c r="O103">
        <v>75</v>
      </c>
      <c r="P103">
        <v>6.1</v>
      </c>
      <c r="Q103" t="s">
        <v>22</v>
      </c>
      <c r="R103" t="s">
        <v>23</v>
      </c>
    </row>
    <row r="104" spans="1:18" x14ac:dyDescent="0.3">
      <c r="A104" t="s">
        <v>50</v>
      </c>
      <c r="B104" t="s">
        <v>94</v>
      </c>
      <c r="C104">
        <v>124</v>
      </c>
      <c r="D104" t="s">
        <v>20</v>
      </c>
      <c r="E104">
        <v>2020</v>
      </c>
      <c r="F104" t="s">
        <v>21</v>
      </c>
      <c r="G104">
        <v>111</v>
      </c>
      <c r="H104">
        <v>49.6</v>
      </c>
      <c r="I104">
        <v>10.199999999999999</v>
      </c>
      <c r="J104">
        <v>132031</v>
      </c>
      <c r="K104">
        <v>28</v>
      </c>
      <c r="L104">
        <v>36969</v>
      </c>
      <c r="M104">
        <v>169000</v>
      </c>
      <c r="N104">
        <v>201205</v>
      </c>
      <c r="O104">
        <v>80</v>
      </c>
      <c r="P104">
        <v>10</v>
      </c>
      <c r="Q104" t="s">
        <v>22</v>
      </c>
      <c r="R104" t="s">
        <v>23</v>
      </c>
    </row>
    <row r="105" spans="1:18" x14ac:dyDescent="0.3">
      <c r="A105" t="s">
        <v>32</v>
      </c>
      <c r="B105" t="s">
        <v>85</v>
      </c>
      <c r="C105">
        <v>346</v>
      </c>
      <c r="D105" t="s">
        <v>34</v>
      </c>
      <c r="E105">
        <v>2021</v>
      </c>
      <c r="F105" t="s">
        <v>31</v>
      </c>
      <c r="G105">
        <v>157</v>
      </c>
      <c r="H105">
        <v>34.5</v>
      </c>
      <c r="I105">
        <v>15.3</v>
      </c>
      <c r="J105">
        <v>131250</v>
      </c>
      <c r="K105">
        <v>28</v>
      </c>
      <c r="L105">
        <v>36750</v>
      </c>
      <c r="M105">
        <v>168000</v>
      </c>
      <c r="N105">
        <v>191504</v>
      </c>
      <c r="O105">
        <v>62</v>
      </c>
      <c r="P105">
        <v>9.1999999999999993</v>
      </c>
      <c r="Q105" t="s">
        <v>37</v>
      </c>
      <c r="R105" t="s">
        <v>38</v>
      </c>
    </row>
    <row r="106" spans="1:18" x14ac:dyDescent="0.3">
      <c r="A106" t="s">
        <v>18</v>
      </c>
      <c r="B106" t="s">
        <v>62</v>
      </c>
      <c r="C106">
        <v>348</v>
      </c>
      <c r="D106" t="s">
        <v>34</v>
      </c>
      <c r="E106">
        <v>2020</v>
      </c>
      <c r="F106" t="s">
        <v>21</v>
      </c>
      <c r="G106">
        <v>157</v>
      </c>
      <c r="H106">
        <v>35.700000000000003</v>
      </c>
      <c r="I106">
        <v>17.600000000000001</v>
      </c>
      <c r="J106">
        <v>179688</v>
      </c>
      <c r="K106">
        <v>28</v>
      </c>
      <c r="L106">
        <v>50312</v>
      </c>
      <c r="M106">
        <v>230000</v>
      </c>
      <c r="N106">
        <v>264650</v>
      </c>
      <c r="O106">
        <v>82</v>
      </c>
      <c r="P106">
        <v>12.2</v>
      </c>
      <c r="Q106" t="s">
        <v>37</v>
      </c>
      <c r="R106" t="s">
        <v>38</v>
      </c>
    </row>
    <row r="107" spans="1:18" x14ac:dyDescent="0.3">
      <c r="A107" t="s">
        <v>28</v>
      </c>
      <c r="B107" t="s">
        <v>63</v>
      </c>
      <c r="C107">
        <v>125</v>
      </c>
      <c r="D107" t="s">
        <v>30</v>
      </c>
      <c r="E107">
        <v>2025</v>
      </c>
      <c r="F107" t="s">
        <v>35</v>
      </c>
      <c r="G107">
        <v>110</v>
      </c>
      <c r="H107">
        <v>52.7</v>
      </c>
      <c r="I107">
        <v>11.7</v>
      </c>
      <c r="J107">
        <v>69531</v>
      </c>
      <c r="K107">
        <v>28</v>
      </c>
      <c r="L107">
        <v>19469</v>
      </c>
      <c r="M107">
        <v>89000</v>
      </c>
      <c r="N107">
        <v>105880</v>
      </c>
      <c r="O107">
        <v>62</v>
      </c>
      <c r="P107">
        <v>1.7</v>
      </c>
      <c r="Q107" t="s">
        <v>57</v>
      </c>
      <c r="R107" t="s">
        <v>58</v>
      </c>
    </row>
    <row r="108" spans="1:18" x14ac:dyDescent="0.3">
      <c r="A108" t="s">
        <v>18</v>
      </c>
      <c r="B108" t="s">
        <v>19</v>
      </c>
      <c r="C108">
        <v>184</v>
      </c>
      <c r="D108" t="s">
        <v>20</v>
      </c>
      <c r="E108">
        <v>2024</v>
      </c>
      <c r="F108" t="s">
        <v>21</v>
      </c>
      <c r="G108">
        <v>134</v>
      </c>
      <c r="H108">
        <v>42.9</v>
      </c>
      <c r="I108">
        <v>10.199999999999999</v>
      </c>
      <c r="J108">
        <v>114062</v>
      </c>
      <c r="K108">
        <v>28</v>
      </c>
      <c r="L108">
        <v>31938</v>
      </c>
      <c r="M108">
        <v>146000</v>
      </c>
      <c r="N108">
        <v>171215</v>
      </c>
      <c r="O108">
        <v>77</v>
      </c>
      <c r="P108">
        <v>4.0999999999999996</v>
      </c>
      <c r="Q108" t="s">
        <v>26</v>
      </c>
      <c r="R108" t="s">
        <v>27</v>
      </c>
    </row>
    <row r="109" spans="1:18" x14ac:dyDescent="0.3">
      <c r="A109" t="s">
        <v>55</v>
      </c>
      <c r="B109" t="s">
        <v>96</v>
      </c>
      <c r="C109">
        <v>124</v>
      </c>
      <c r="D109" t="s">
        <v>30</v>
      </c>
      <c r="E109">
        <v>2025</v>
      </c>
      <c r="F109" t="s">
        <v>35</v>
      </c>
      <c r="G109">
        <v>118</v>
      </c>
      <c r="H109">
        <v>59.6</v>
      </c>
      <c r="I109">
        <v>13.6</v>
      </c>
      <c r="J109">
        <v>67969</v>
      </c>
      <c r="K109">
        <v>28</v>
      </c>
      <c r="L109">
        <v>19031</v>
      </c>
      <c r="M109">
        <v>87000</v>
      </c>
      <c r="N109">
        <v>102824</v>
      </c>
      <c r="O109">
        <v>65</v>
      </c>
      <c r="P109">
        <v>2.5</v>
      </c>
      <c r="Q109" t="s">
        <v>26</v>
      </c>
      <c r="R109" t="s">
        <v>27</v>
      </c>
    </row>
    <row r="110" spans="1:18" x14ac:dyDescent="0.3">
      <c r="A110" t="s">
        <v>28</v>
      </c>
      <c r="B110" t="s">
        <v>53</v>
      </c>
      <c r="C110">
        <v>440</v>
      </c>
      <c r="D110" t="s">
        <v>34</v>
      </c>
      <c r="E110">
        <v>2022</v>
      </c>
      <c r="F110" t="s">
        <v>21</v>
      </c>
      <c r="G110">
        <v>200</v>
      </c>
      <c r="H110">
        <v>20.8</v>
      </c>
      <c r="I110">
        <v>15.7</v>
      </c>
      <c r="J110">
        <v>182443</v>
      </c>
      <c r="K110">
        <v>31</v>
      </c>
      <c r="L110">
        <v>56557</v>
      </c>
      <c r="M110">
        <v>239000</v>
      </c>
      <c r="N110">
        <v>271594</v>
      </c>
      <c r="O110">
        <v>84</v>
      </c>
      <c r="P110">
        <v>8.6999999999999993</v>
      </c>
      <c r="Q110" t="s">
        <v>22</v>
      </c>
      <c r="R110" t="s">
        <v>23</v>
      </c>
    </row>
    <row r="111" spans="1:18" x14ac:dyDescent="0.3">
      <c r="A111" t="s">
        <v>55</v>
      </c>
      <c r="B111" t="s">
        <v>89</v>
      </c>
      <c r="C111">
        <v>155</v>
      </c>
      <c r="D111" t="s">
        <v>20</v>
      </c>
      <c r="E111">
        <v>2024</v>
      </c>
      <c r="F111" t="s">
        <v>35</v>
      </c>
      <c r="G111">
        <v>140</v>
      </c>
      <c r="H111">
        <v>38.1</v>
      </c>
      <c r="I111">
        <v>12.9</v>
      </c>
      <c r="J111">
        <v>102344</v>
      </c>
      <c r="K111">
        <v>28</v>
      </c>
      <c r="L111">
        <v>28656</v>
      </c>
      <c r="M111">
        <v>131000</v>
      </c>
      <c r="N111">
        <v>154060</v>
      </c>
      <c r="O111">
        <v>68</v>
      </c>
      <c r="P111">
        <v>13.3</v>
      </c>
      <c r="Q111" t="s">
        <v>37</v>
      </c>
      <c r="R111" t="s">
        <v>38</v>
      </c>
    </row>
    <row r="112" spans="1:18" x14ac:dyDescent="0.3">
      <c r="A112" t="s">
        <v>24</v>
      </c>
      <c r="B112" t="s">
        <v>25</v>
      </c>
      <c r="C112">
        <v>249</v>
      </c>
      <c r="D112" t="s">
        <v>20</v>
      </c>
      <c r="E112">
        <v>2022</v>
      </c>
      <c r="F112" t="s">
        <v>21</v>
      </c>
      <c r="G112">
        <v>163</v>
      </c>
      <c r="H112">
        <v>31.2</v>
      </c>
      <c r="I112">
        <v>17.7</v>
      </c>
      <c r="J112">
        <v>127344</v>
      </c>
      <c r="K112">
        <v>28</v>
      </c>
      <c r="L112">
        <v>35656</v>
      </c>
      <c r="M112">
        <v>163000</v>
      </c>
      <c r="N112">
        <v>191926</v>
      </c>
      <c r="O112">
        <v>66</v>
      </c>
      <c r="P112">
        <v>5.4</v>
      </c>
      <c r="Q112" t="s">
        <v>37</v>
      </c>
      <c r="R112" t="s">
        <v>38</v>
      </c>
    </row>
    <row r="113" spans="1:18" x14ac:dyDescent="0.3">
      <c r="A113" t="s">
        <v>32</v>
      </c>
      <c r="B113" t="s">
        <v>97</v>
      </c>
      <c r="C113">
        <v>452</v>
      </c>
      <c r="D113" t="s">
        <v>34</v>
      </c>
      <c r="E113">
        <v>2025</v>
      </c>
      <c r="F113" t="s">
        <v>21</v>
      </c>
      <c r="G113">
        <v>165</v>
      </c>
      <c r="H113">
        <v>23.8</v>
      </c>
      <c r="I113">
        <v>15.6</v>
      </c>
      <c r="J113">
        <v>237405</v>
      </c>
      <c r="K113">
        <v>31</v>
      </c>
      <c r="L113">
        <v>73595</v>
      </c>
      <c r="M113">
        <v>311000</v>
      </c>
      <c r="N113">
        <v>359077</v>
      </c>
      <c r="O113">
        <v>83</v>
      </c>
      <c r="P113">
        <v>2.4</v>
      </c>
      <c r="Q113" t="s">
        <v>26</v>
      </c>
      <c r="R113" t="s">
        <v>27</v>
      </c>
    </row>
    <row r="114" spans="1:18" x14ac:dyDescent="0.3">
      <c r="A114" t="s">
        <v>18</v>
      </c>
      <c r="B114" t="s">
        <v>79</v>
      </c>
      <c r="C114">
        <v>293</v>
      </c>
      <c r="D114" t="s">
        <v>34</v>
      </c>
      <c r="E114">
        <v>2023</v>
      </c>
      <c r="F114" t="s">
        <v>21</v>
      </c>
      <c r="G114">
        <v>153</v>
      </c>
      <c r="H114">
        <v>33.299999999999997</v>
      </c>
      <c r="I114">
        <v>19.100000000000001</v>
      </c>
      <c r="J114">
        <v>212500</v>
      </c>
      <c r="K114">
        <v>28</v>
      </c>
      <c r="L114">
        <v>59500</v>
      </c>
      <c r="M114">
        <v>272000</v>
      </c>
      <c r="N114">
        <v>314706</v>
      </c>
      <c r="O114">
        <v>77</v>
      </c>
      <c r="P114">
        <v>13.2</v>
      </c>
      <c r="Q114" t="s">
        <v>37</v>
      </c>
      <c r="R114" t="s">
        <v>38</v>
      </c>
    </row>
    <row r="115" spans="1:18" x14ac:dyDescent="0.3">
      <c r="A115" t="s">
        <v>28</v>
      </c>
      <c r="B115" t="s">
        <v>98</v>
      </c>
      <c r="C115">
        <v>163</v>
      </c>
      <c r="D115" t="s">
        <v>20</v>
      </c>
      <c r="E115">
        <v>2020</v>
      </c>
      <c r="F115" t="s">
        <v>21</v>
      </c>
      <c r="G115">
        <v>124</v>
      </c>
      <c r="H115">
        <v>42.1</v>
      </c>
      <c r="I115">
        <v>11.4</v>
      </c>
      <c r="J115">
        <v>113281</v>
      </c>
      <c r="K115">
        <v>28</v>
      </c>
      <c r="L115">
        <v>31719</v>
      </c>
      <c r="M115">
        <v>145000</v>
      </c>
      <c r="N115">
        <v>169819</v>
      </c>
      <c r="O115">
        <v>78</v>
      </c>
      <c r="P115">
        <v>7.8</v>
      </c>
      <c r="Q115" t="s">
        <v>22</v>
      </c>
      <c r="R115" t="s">
        <v>23</v>
      </c>
    </row>
    <row r="116" spans="1:18" x14ac:dyDescent="0.3">
      <c r="A116" t="s">
        <v>55</v>
      </c>
      <c r="B116" t="s">
        <v>56</v>
      </c>
      <c r="C116">
        <v>249</v>
      </c>
      <c r="D116" t="s">
        <v>34</v>
      </c>
      <c r="E116">
        <v>2025</v>
      </c>
      <c r="F116" t="s">
        <v>21</v>
      </c>
      <c r="G116">
        <v>164</v>
      </c>
      <c r="H116">
        <v>34.700000000000003</v>
      </c>
      <c r="I116">
        <v>16.899999999999999</v>
      </c>
      <c r="J116">
        <v>167969</v>
      </c>
      <c r="K116">
        <v>28</v>
      </c>
      <c r="L116">
        <v>47031</v>
      </c>
      <c r="M116">
        <v>215000</v>
      </c>
      <c r="N116">
        <v>251434</v>
      </c>
      <c r="O116">
        <v>77</v>
      </c>
      <c r="P116">
        <v>9.6</v>
      </c>
      <c r="Q116" t="s">
        <v>22</v>
      </c>
      <c r="R116" t="s">
        <v>23</v>
      </c>
    </row>
    <row r="117" spans="1:18" x14ac:dyDescent="0.3">
      <c r="A117" t="s">
        <v>39</v>
      </c>
      <c r="B117" t="s">
        <v>83</v>
      </c>
      <c r="C117">
        <v>124</v>
      </c>
      <c r="D117" t="s">
        <v>30</v>
      </c>
      <c r="E117">
        <v>2023</v>
      </c>
      <c r="F117" t="s">
        <v>21</v>
      </c>
      <c r="G117">
        <v>110</v>
      </c>
      <c r="H117">
        <v>53</v>
      </c>
      <c r="I117">
        <v>10.3</v>
      </c>
      <c r="J117">
        <v>68750</v>
      </c>
      <c r="K117">
        <v>28</v>
      </c>
      <c r="L117">
        <v>19250</v>
      </c>
      <c r="M117">
        <v>88000</v>
      </c>
      <c r="N117">
        <v>103375</v>
      </c>
      <c r="O117">
        <v>65</v>
      </c>
      <c r="P117">
        <v>8.9</v>
      </c>
      <c r="Q117" t="s">
        <v>37</v>
      </c>
      <c r="R117" t="s">
        <v>38</v>
      </c>
    </row>
    <row r="118" spans="1:18" x14ac:dyDescent="0.3">
      <c r="A118" t="s">
        <v>28</v>
      </c>
      <c r="B118" t="s">
        <v>63</v>
      </c>
      <c r="C118">
        <v>125</v>
      </c>
      <c r="D118" t="s">
        <v>30</v>
      </c>
      <c r="E118">
        <v>2024</v>
      </c>
      <c r="F118" t="s">
        <v>35</v>
      </c>
      <c r="G118">
        <v>116</v>
      </c>
      <c r="H118">
        <v>52.9</v>
      </c>
      <c r="I118">
        <v>12.4</v>
      </c>
      <c r="J118">
        <v>69531</v>
      </c>
      <c r="K118">
        <v>28</v>
      </c>
      <c r="L118">
        <v>19469</v>
      </c>
      <c r="M118">
        <v>89000</v>
      </c>
      <c r="N118">
        <v>105206</v>
      </c>
      <c r="O118">
        <v>62</v>
      </c>
      <c r="P118">
        <v>11.1</v>
      </c>
      <c r="Q118" t="s">
        <v>37</v>
      </c>
      <c r="R118" t="s">
        <v>38</v>
      </c>
    </row>
    <row r="119" spans="1:18" x14ac:dyDescent="0.3">
      <c r="A119" t="s">
        <v>28</v>
      </c>
      <c r="B119" t="s">
        <v>98</v>
      </c>
      <c r="C119">
        <v>163</v>
      </c>
      <c r="D119" t="s">
        <v>20</v>
      </c>
      <c r="E119">
        <v>2023</v>
      </c>
      <c r="F119" t="s">
        <v>21</v>
      </c>
      <c r="G119">
        <v>133</v>
      </c>
      <c r="H119">
        <v>39.700000000000003</v>
      </c>
      <c r="I119">
        <v>11.1</v>
      </c>
      <c r="J119">
        <v>100000</v>
      </c>
      <c r="K119">
        <v>28</v>
      </c>
      <c r="L119">
        <v>28000</v>
      </c>
      <c r="M119">
        <v>128000</v>
      </c>
      <c r="N119">
        <v>148404</v>
      </c>
      <c r="O119">
        <v>75</v>
      </c>
      <c r="P119">
        <v>9.5</v>
      </c>
      <c r="Q119" t="s">
        <v>22</v>
      </c>
      <c r="R119" t="s">
        <v>23</v>
      </c>
    </row>
    <row r="120" spans="1:18" x14ac:dyDescent="0.3">
      <c r="A120" t="s">
        <v>42</v>
      </c>
      <c r="B120" t="s">
        <v>87</v>
      </c>
      <c r="C120">
        <v>321</v>
      </c>
      <c r="D120" t="s">
        <v>34</v>
      </c>
      <c r="E120">
        <v>2021</v>
      </c>
      <c r="F120" t="s">
        <v>21</v>
      </c>
      <c r="G120">
        <v>156</v>
      </c>
      <c r="H120">
        <v>32.700000000000003</v>
      </c>
      <c r="I120">
        <v>15.8</v>
      </c>
      <c r="J120">
        <v>337500</v>
      </c>
      <c r="K120">
        <v>28</v>
      </c>
      <c r="L120">
        <v>94500</v>
      </c>
      <c r="M120">
        <v>432000</v>
      </c>
      <c r="N120">
        <v>494175</v>
      </c>
      <c r="O120">
        <v>80</v>
      </c>
      <c r="P120">
        <v>5.3</v>
      </c>
      <c r="Q120" t="s">
        <v>22</v>
      </c>
      <c r="R120" t="s">
        <v>23</v>
      </c>
    </row>
    <row r="121" spans="1:18" x14ac:dyDescent="0.3">
      <c r="A121" t="s">
        <v>28</v>
      </c>
      <c r="B121" t="s">
        <v>99</v>
      </c>
      <c r="C121">
        <v>199</v>
      </c>
      <c r="D121" t="s">
        <v>20</v>
      </c>
      <c r="E121">
        <v>2023</v>
      </c>
      <c r="F121" t="s">
        <v>21</v>
      </c>
      <c r="G121">
        <v>129</v>
      </c>
      <c r="H121">
        <v>44.7</v>
      </c>
      <c r="I121">
        <v>13</v>
      </c>
      <c r="J121">
        <v>104688</v>
      </c>
      <c r="K121">
        <v>28</v>
      </c>
      <c r="L121">
        <v>29312</v>
      </c>
      <c r="M121">
        <v>134000</v>
      </c>
      <c r="N121">
        <v>153484</v>
      </c>
      <c r="O121">
        <v>73</v>
      </c>
      <c r="P121">
        <v>2.7</v>
      </c>
      <c r="Q121" t="s">
        <v>26</v>
      </c>
      <c r="R121" t="s">
        <v>27</v>
      </c>
    </row>
    <row r="122" spans="1:18" x14ac:dyDescent="0.3">
      <c r="A122" t="s">
        <v>24</v>
      </c>
      <c r="B122" t="s">
        <v>100</v>
      </c>
      <c r="C122">
        <v>115</v>
      </c>
      <c r="D122" t="s">
        <v>30</v>
      </c>
      <c r="E122">
        <v>2025</v>
      </c>
      <c r="F122" t="s">
        <v>35</v>
      </c>
      <c r="G122">
        <v>116</v>
      </c>
      <c r="H122">
        <v>59.4</v>
      </c>
      <c r="I122">
        <v>10.199999999999999</v>
      </c>
      <c r="J122">
        <v>58594</v>
      </c>
      <c r="K122">
        <v>28</v>
      </c>
      <c r="L122">
        <v>16406</v>
      </c>
      <c r="M122">
        <v>75000</v>
      </c>
      <c r="N122">
        <v>89481</v>
      </c>
      <c r="O122">
        <v>58</v>
      </c>
      <c r="P122">
        <v>6.6</v>
      </c>
      <c r="Q122" t="s">
        <v>37</v>
      </c>
      <c r="R122" t="s">
        <v>38</v>
      </c>
    </row>
    <row r="123" spans="1:18" x14ac:dyDescent="0.3">
      <c r="A123" t="s">
        <v>28</v>
      </c>
      <c r="B123" t="s">
        <v>48</v>
      </c>
      <c r="C123">
        <v>110</v>
      </c>
      <c r="D123" t="s">
        <v>30</v>
      </c>
      <c r="E123">
        <v>2020</v>
      </c>
      <c r="F123" t="s">
        <v>35</v>
      </c>
      <c r="G123">
        <v>98</v>
      </c>
      <c r="H123">
        <v>71.2</v>
      </c>
      <c r="I123">
        <v>9.9</v>
      </c>
      <c r="J123">
        <v>61719</v>
      </c>
      <c r="K123">
        <v>28</v>
      </c>
      <c r="L123">
        <v>17281</v>
      </c>
      <c r="M123">
        <v>79000</v>
      </c>
      <c r="N123">
        <v>92189</v>
      </c>
      <c r="O123">
        <v>67</v>
      </c>
      <c r="P123">
        <v>2.6</v>
      </c>
      <c r="Q123" t="s">
        <v>26</v>
      </c>
      <c r="R123" t="s">
        <v>27</v>
      </c>
    </row>
    <row r="124" spans="1:18" x14ac:dyDescent="0.3">
      <c r="A124" t="s">
        <v>24</v>
      </c>
      <c r="B124" t="s">
        <v>101</v>
      </c>
      <c r="C124">
        <v>102</v>
      </c>
      <c r="D124" t="s">
        <v>30</v>
      </c>
      <c r="E124">
        <v>2023</v>
      </c>
      <c r="F124" t="s">
        <v>31</v>
      </c>
      <c r="G124">
        <v>88</v>
      </c>
      <c r="H124">
        <v>63.1</v>
      </c>
      <c r="I124">
        <v>9</v>
      </c>
      <c r="J124">
        <v>55469</v>
      </c>
      <c r="K124">
        <v>28</v>
      </c>
      <c r="L124">
        <v>15531</v>
      </c>
      <c r="M124">
        <v>71000</v>
      </c>
      <c r="N124">
        <v>85229</v>
      </c>
      <c r="O124">
        <v>58</v>
      </c>
      <c r="P124">
        <v>7.1</v>
      </c>
      <c r="Q124" t="s">
        <v>37</v>
      </c>
      <c r="R124" t="s">
        <v>38</v>
      </c>
    </row>
    <row r="125" spans="1:18" x14ac:dyDescent="0.3">
      <c r="A125" t="s">
        <v>50</v>
      </c>
      <c r="B125" t="s">
        <v>94</v>
      </c>
      <c r="C125">
        <v>124</v>
      </c>
      <c r="D125" t="s">
        <v>20</v>
      </c>
      <c r="E125">
        <v>2022</v>
      </c>
      <c r="F125" t="s">
        <v>21</v>
      </c>
      <c r="G125">
        <v>108</v>
      </c>
      <c r="H125">
        <v>49.4</v>
      </c>
      <c r="I125">
        <v>11.4</v>
      </c>
      <c r="J125">
        <v>144531</v>
      </c>
      <c r="K125">
        <v>28</v>
      </c>
      <c r="L125">
        <v>40469</v>
      </c>
      <c r="M125">
        <v>185000</v>
      </c>
      <c r="N125">
        <v>214377</v>
      </c>
      <c r="O125">
        <v>78</v>
      </c>
      <c r="P125">
        <v>8.1</v>
      </c>
      <c r="Q125" t="s">
        <v>22</v>
      </c>
      <c r="R125" t="s">
        <v>23</v>
      </c>
    </row>
    <row r="126" spans="1:18" x14ac:dyDescent="0.3">
      <c r="A126" t="s">
        <v>18</v>
      </c>
      <c r="B126" t="s">
        <v>62</v>
      </c>
      <c r="C126">
        <v>348</v>
      </c>
      <c r="D126" t="s">
        <v>34</v>
      </c>
      <c r="E126">
        <v>2025</v>
      </c>
      <c r="F126" t="s">
        <v>21</v>
      </c>
      <c r="G126">
        <v>164</v>
      </c>
      <c r="H126">
        <v>29.3</v>
      </c>
      <c r="I126">
        <v>16.5</v>
      </c>
      <c r="J126">
        <v>164844</v>
      </c>
      <c r="K126">
        <v>28</v>
      </c>
      <c r="L126">
        <v>46156</v>
      </c>
      <c r="M126">
        <v>211000</v>
      </c>
      <c r="N126">
        <v>240745</v>
      </c>
      <c r="O126">
        <v>82</v>
      </c>
      <c r="P126">
        <v>2.1</v>
      </c>
      <c r="Q126" t="s">
        <v>26</v>
      </c>
      <c r="R126" t="s">
        <v>27</v>
      </c>
    </row>
    <row r="127" spans="1:18" x14ac:dyDescent="0.3">
      <c r="A127" t="s">
        <v>42</v>
      </c>
      <c r="B127" t="s">
        <v>102</v>
      </c>
      <c r="C127">
        <v>113</v>
      </c>
      <c r="D127" t="s">
        <v>30</v>
      </c>
      <c r="E127">
        <v>2023</v>
      </c>
      <c r="F127" t="s">
        <v>31</v>
      </c>
      <c r="G127">
        <v>115</v>
      </c>
      <c r="H127">
        <v>52.7</v>
      </c>
      <c r="I127">
        <v>11.8</v>
      </c>
      <c r="J127">
        <v>60156</v>
      </c>
      <c r="K127">
        <v>28</v>
      </c>
      <c r="L127">
        <v>16844</v>
      </c>
      <c r="M127">
        <v>77000</v>
      </c>
      <c r="N127">
        <v>93735</v>
      </c>
      <c r="O127">
        <v>52</v>
      </c>
      <c r="P127">
        <v>7.2</v>
      </c>
      <c r="Q127" t="s">
        <v>37</v>
      </c>
      <c r="R127" t="s">
        <v>38</v>
      </c>
    </row>
    <row r="128" spans="1:18" x14ac:dyDescent="0.3">
      <c r="A128" t="s">
        <v>39</v>
      </c>
      <c r="B128" t="s">
        <v>47</v>
      </c>
      <c r="C128">
        <v>312</v>
      </c>
      <c r="D128" t="s">
        <v>34</v>
      </c>
      <c r="E128">
        <v>2022</v>
      </c>
      <c r="F128" t="s">
        <v>21</v>
      </c>
      <c r="G128">
        <v>154</v>
      </c>
      <c r="H128">
        <v>30.5</v>
      </c>
      <c r="I128">
        <v>13.5</v>
      </c>
      <c r="J128">
        <v>228906</v>
      </c>
      <c r="K128">
        <v>28</v>
      </c>
      <c r="L128">
        <v>64094</v>
      </c>
      <c r="M128">
        <v>293000</v>
      </c>
      <c r="N128">
        <v>336527</v>
      </c>
      <c r="O128">
        <v>69</v>
      </c>
      <c r="P128">
        <v>1.8</v>
      </c>
      <c r="Q128" t="s">
        <v>57</v>
      </c>
      <c r="R128" t="s">
        <v>58</v>
      </c>
    </row>
    <row r="129" spans="1:18" x14ac:dyDescent="0.3">
      <c r="A129" t="s">
        <v>18</v>
      </c>
      <c r="B129" t="s">
        <v>103</v>
      </c>
      <c r="C129">
        <v>124</v>
      </c>
      <c r="D129" t="s">
        <v>30</v>
      </c>
      <c r="E129">
        <v>2024</v>
      </c>
      <c r="F129" t="s">
        <v>35</v>
      </c>
      <c r="G129">
        <v>106</v>
      </c>
      <c r="H129">
        <v>61</v>
      </c>
      <c r="I129">
        <v>12.6</v>
      </c>
      <c r="J129">
        <v>71875</v>
      </c>
      <c r="K129">
        <v>28</v>
      </c>
      <c r="L129">
        <v>20125</v>
      </c>
      <c r="M129">
        <v>92000</v>
      </c>
      <c r="N129">
        <v>109107</v>
      </c>
      <c r="O129">
        <v>71</v>
      </c>
      <c r="P129">
        <v>13.7</v>
      </c>
      <c r="Q129" t="s">
        <v>37</v>
      </c>
      <c r="R129" t="s">
        <v>38</v>
      </c>
    </row>
    <row r="130" spans="1:18" x14ac:dyDescent="0.3">
      <c r="A130" t="s">
        <v>32</v>
      </c>
      <c r="B130" t="s">
        <v>88</v>
      </c>
      <c r="C130">
        <v>349</v>
      </c>
      <c r="D130" t="s">
        <v>34</v>
      </c>
      <c r="E130">
        <v>2021</v>
      </c>
      <c r="F130" t="s">
        <v>35</v>
      </c>
      <c r="G130">
        <v>150</v>
      </c>
      <c r="H130">
        <v>29</v>
      </c>
      <c r="I130">
        <v>13.3</v>
      </c>
      <c r="J130">
        <v>154688</v>
      </c>
      <c r="K130">
        <v>28</v>
      </c>
      <c r="L130">
        <v>43312</v>
      </c>
      <c r="M130">
        <v>198000</v>
      </c>
      <c r="N130">
        <v>231388</v>
      </c>
      <c r="O130">
        <v>67</v>
      </c>
      <c r="P130">
        <v>8.1</v>
      </c>
      <c r="Q130" t="s">
        <v>22</v>
      </c>
      <c r="R130" t="s">
        <v>23</v>
      </c>
    </row>
    <row r="131" spans="1:18" x14ac:dyDescent="0.3">
      <c r="A131" t="s">
        <v>50</v>
      </c>
      <c r="B131" t="s">
        <v>104</v>
      </c>
      <c r="C131">
        <v>373</v>
      </c>
      <c r="D131" t="s">
        <v>34</v>
      </c>
      <c r="E131">
        <v>2022</v>
      </c>
      <c r="F131" t="s">
        <v>21</v>
      </c>
      <c r="G131">
        <v>178</v>
      </c>
      <c r="H131">
        <v>21.3</v>
      </c>
      <c r="I131">
        <v>17.8</v>
      </c>
      <c r="J131">
        <v>296183</v>
      </c>
      <c r="K131">
        <v>31</v>
      </c>
      <c r="L131">
        <v>91817</v>
      </c>
      <c r="M131">
        <v>388000</v>
      </c>
      <c r="N131">
        <v>447036</v>
      </c>
      <c r="O131">
        <v>77</v>
      </c>
      <c r="P131">
        <v>6.7</v>
      </c>
      <c r="Q131" t="s">
        <v>22</v>
      </c>
      <c r="R131" t="s">
        <v>23</v>
      </c>
    </row>
    <row r="132" spans="1:18" x14ac:dyDescent="0.3">
      <c r="A132" t="s">
        <v>28</v>
      </c>
      <c r="B132" t="s">
        <v>98</v>
      </c>
      <c r="C132">
        <v>163</v>
      </c>
      <c r="D132" t="s">
        <v>20</v>
      </c>
      <c r="E132">
        <v>2025</v>
      </c>
      <c r="F132" t="s">
        <v>21</v>
      </c>
      <c r="G132">
        <v>132</v>
      </c>
      <c r="H132">
        <v>42.6</v>
      </c>
      <c r="I132">
        <v>13.9</v>
      </c>
      <c r="J132">
        <v>110156</v>
      </c>
      <c r="K132">
        <v>28</v>
      </c>
      <c r="L132">
        <v>30844</v>
      </c>
      <c r="M132">
        <v>141000</v>
      </c>
      <c r="N132">
        <v>162734</v>
      </c>
      <c r="O132">
        <v>72</v>
      </c>
      <c r="P132">
        <v>4.5</v>
      </c>
      <c r="Q132" t="s">
        <v>26</v>
      </c>
      <c r="R132" t="s">
        <v>27</v>
      </c>
    </row>
    <row r="133" spans="1:18" x14ac:dyDescent="0.3">
      <c r="A133" t="s">
        <v>18</v>
      </c>
      <c r="B133" t="s">
        <v>105</v>
      </c>
      <c r="C133">
        <v>471</v>
      </c>
      <c r="D133" t="s">
        <v>34</v>
      </c>
      <c r="E133">
        <v>2024</v>
      </c>
      <c r="F133" t="s">
        <v>21</v>
      </c>
      <c r="G133">
        <v>201</v>
      </c>
      <c r="H133">
        <v>21</v>
      </c>
      <c r="I133">
        <v>18</v>
      </c>
      <c r="J133">
        <v>431298</v>
      </c>
      <c r="K133">
        <v>31</v>
      </c>
      <c r="L133">
        <v>133702</v>
      </c>
      <c r="M133">
        <v>565000</v>
      </c>
      <c r="N133">
        <v>645350</v>
      </c>
      <c r="O133">
        <v>86</v>
      </c>
      <c r="P133">
        <v>6.5</v>
      </c>
      <c r="Q133" t="s">
        <v>22</v>
      </c>
      <c r="R133" t="s">
        <v>23</v>
      </c>
    </row>
    <row r="134" spans="1:18" x14ac:dyDescent="0.3">
      <c r="A134" t="s">
        <v>18</v>
      </c>
      <c r="B134" t="s">
        <v>68</v>
      </c>
      <c r="C134">
        <v>109</v>
      </c>
      <c r="D134" t="s">
        <v>30</v>
      </c>
      <c r="E134">
        <v>2024</v>
      </c>
      <c r="F134" t="s">
        <v>31</v>
      </c>
      <c r="G134">
        <v>87</v>
      </c>
      <c r="H134">
        <v>72.900000000000006</v>
      </c>
      <c r="I134">
        <v>8.6999999999999993</v>
      </c>
      <c r="J134">
        <v>59375</v>
      </c>
      <c r="K134">
        <v>28</v>
      </c>
      <c r="L134">
        <v>16625</v>
      </c>
      <c r="M134">
        <v>76000</v>
      </c>
      <c r="N134">
        <v>89231</v>
      </c>
      <c r="O134">
        <v>67</v>
      </c>
      <c r="P134">
        <v>10.4</v>
      </c>
      <c r="Q134" t="s">
        <v>37</v>
      </c>
      <c r="R134" t="s">
        <v>38</v>
      </c>
    </row>
    <row r="135" spans="1:18" x14ac:dyDescent="0.3">
      <c r="A135" t="s">
        <v>32</v>
      </c>
      <c r="B135" t="s">
        <v>36</v>
      </c>
      <c r="C135">
        <v>411</v>
      </c>
      <c r="D135" t="s">
        <v>34</v>
      </c>
      <c r="E135">
        <v>2020</v>
      </c>
      <c r="F135" t="s">
        <v>35</v>
      </c>
      <c r="G135">
        <v>168</v>
      </c>
      <c r="H135">
        <v>20.399999999999999</v>
      </c>
      <c r="I135">
        <v>16.600000000000001</v>
      </c>
      <c r="J135">
        <v>158779</v>
      </c>
      <c r="K135">
        <v>31</v>
      </c>
      <c r="L135">
        <v>49221</v>
      </c>
      <c r="M135">
        <v>208000</v>
      </c>
      <c r="N135">
        <v>244206</v>
      </c>
      <c r="O135">
        <v>72</v>
      </c>
      <c r="P135">
        <v>2.1</v>
      </c>
      <c r="Q135" t="s">
        <v>26</v>
      </c>
      <c r="R135" t="s">
        <v>27</v>
      </c>
    </row>
    <row r="136" spans="1:18" x14ac:dyDescent="0.3">
      <c r="A136" t="s">
        <v>55</v>
      </c>
      <c r="B136" t="s">
        <v>76</v>
      </c>
      <c r="C136">
        <v>249</v>
      </c>
      <c r="D136" t="s">
        <v>20</v>
      </c>
      <c r="E136">
        <v>2021</v>
      </c>
      <c r="F136" t="s">
        <v>21</v>
      </c>
      <c r="G136">
        <v>159</v>
      </c>
      <c r="H136">
        <v>34.9</v>
      </c>
      <c r="I136">
        <v>14.1</v>
      </c>
      <c r="J136">
        <v>152344</v>
      </c>
      <c r="K136">
        <v>28</v>
      </c>
      <c r="L136">
        <v>42656</v>
      </c>
      <c r="M136">
        <v>195000</v>
      </c>
      <c r="N136">
        <v>226869</v>
      </c>
      <c r="O136">
        <v>65</v>
      </c>
      <c r="P136">
        <v>9.4</v>
      </c>
      <c r="Q136" t="s">
        <v>37</v>
      </c>
      <c r="R136" t="s">
        <v>38</v>
      </c>
    </row>
    <row r="137" spans="1:18" x14ac:dyDescent="0.3">
      <c r="A137" t="s">
        <v>24</v>
      </c>
      <c r="B137" t="s">
        <v>101</v>
      </c>
      <c r="C137">
        <v>102</v>
      </c>
      <c r="D137" t="s">
        <v>30</v>
      </c>
      <c r="E137">
        <v>2025</v>
      </c>
      <c r="F137" t="s">
        <v>31</v>
      </c>
      <c r="G137">
        <v>99</v>
      </c>
      <c r="H137">
        <v>65.599999999999994</v>
      </c>
      <c r="I137">
        <v>9.6</v>
      </c>
      <c r="J137">
        <v>54688</v>
      </c>
      <c r="K137">
        <v>28</v>
      </c>
      <c r="L137">
        <v>15312</v>
      </c>
      <c r="M137">
        <v>70000</v>
      </c>
      <c r="N137">
        <v>83279</v>
      </c>
      <c r="O137">
        <v>64</v>
      </c>
      <c r="P137">
        <v>5</v>
      </c>
      <c r="Q137" t="s">
        <v>26</v>
      </c>
      <c r="R137" t="s">
        <v>27</v>
      </c>
    </row>
    <row r="138" spans="1:18" x14ac:dyDescent="0.3">
      <c r="A138" t="s">
        <v>24</v>
      </c>
      <c r="B138" t="s">
        <v>106</v>
      </c>
      <c r="C138">
        <v>373</v>
      </c>
      <c r="D138" t="s">
        <v>34</v>
      </c>
      <c r="E138">
        <v>2024</v>
      </c>
      <c r="F138" t="s">
        <v>21</v>
      </c>
      <c r="G138">
        <v>172</v>
      </c>
      <c r="H138">
        <v>24.1</v>
      </c>
      <c r="I138">
        <v>19.899999999999999</v>
      </c>
      <c r="J138">
        <v>183969</v>
      </c>
      <c r="K138">
        <v>31</v>
      </c>
      <c r="L138">
        <v>57031</v>
      </c>
      <c r="M138">
        <v>241000</v>
      </c>
      <c r="N138">
        <v>278312</v>
      </c>
      <c r="O138">
        <v>75</v>
      </c>
      <c r="P138">
        <v>10.5</v>
      </c>
      <c r="Q138" t="s">
        <v>37</v>
      </c>
      <c r="R138" t="s">
        <v>38</v>
      </c>
    </row>
    <row r="139" spans="1:18" x14ac:dyDescent="0.3">
      <c r="A139" t="s">
        <v>42</v>
      </c>
      <c r="B139" t="s">
        <v>45</v>
      </c>
      <c r="C139">
        <v>149</v>
      </c>
      <c r="D139" t="s">
        <v>20</v>
      </c>
      <c r="E139">
        <v>2022</v>
      </c>
      <c r="F139" t="s">
        <v>21</v>
      </c>
      <c r="G139">
        <v>111</v>
      </c>
      <c r="H139">
        <v>61.2</v>
      </c>
      <c r="I139">
        <v>10.199999999999999</v>
      </c>
      <c r="J139">
        <v>110156</v>
      </c>
      <c r="K139">
        <v>28</v>
      </c>
      <c r="L139">
        <v>30844</v>
      </c>
      <c r="M139">
        <v>141000</v>
      </c>
      <c r="N139">
        <v>166031</v>
      </c>
      <c r="O139">
        <v>83</v>
      </c>
      <c r="P139">
        <v>2.9</v>
      </c>
      <c r="Q139" t="s">
        <v>26</v>
      </c>
      <c r="R139" t="s">
        <v>27</v>
      </c>
    </row>
    <row r="140" spans="1:18" x14ac:dyDescent="0.3">
      <c r="A140" t="s">
        <v>42</v>
      </c>
      <c r="B140" t="s">
        <v>59</v>
      </c>
      <c r="C140">
        <v>155</v>
      </c>
      <c r="D140" t="s">
        <v>20</v>
      </c>
      <c r="E140">
        <v>2022</v>
      </c>
      <c r="F140" t="s">
        <v>21</v>
      </c>
      <c r="G140">
        <v>129</v>
      </c>
      <c r="H140">
        <v>45.5</v>
      </c>
      <c r="I140">
        <v>11.8</v>
      </c>
      <c r="J140">
        <v>140625</v>
      </c>
      <c r="K140">
        <v>28</v>
      </c>
      <c r="L140">
        <v>39375</v>
      </c>
      <c r="M140">
        <v>180000</v>
      </c>
      <c r="N140">
        <v>208275</v>
      </c>
      <c r="O140">
        <v>74</v>
      </c>
      <c r="P140">
        <v>11.7</v>
      </c>
      <c r="Q140" t="s">
        <v>37</v>
      </c>
      <c r="R140" t="s">
        <v>38</v>
      </c>
    </row>
    <row r="141" spans="1:18" x14ac:dyDescent="0.3">
      <c r="A141" t="s">
        <v>42</v>
      </c>
      <c r="B141" t="s">
        <v>87</v>
      </c>
      <c r="C141">
        <v>321</v>
      </c>
      <c r="D141" t="s">
        <v>34</v>
      </c>
      <c r="E141">
        <v>2023</v>
      </c>
      <c r="F141" t="s">
        <v>21</v>
      </c>
      <c r="G141">
        <v>151</v>
      </c>
      <c r="H141">
        <v>34.4</v>
      </c>
      <c r="I141">
        <v>16.5</v>
      </c>
      <c r="J141">
        <v>339062</v>
      </c>
      <c r="K141">
        <v>28</v>
      </c>
      <c r="L141">
        <v>94938</v>
      </c>
      <c r="M141">
        <v>434000</v>
      </c>
      <c r="N141">
        <v>500458</v>
      </c>
      <c r="O141">
        <v>70</v>
      </c>
      <c r="P141">
        <v>6.8</v>
      </c>
      <c r="Q141" t="s">
        <v>22</v>
      </c>
      <c r="R141" t="s">
        <v>23</v>
      </c>
    </row>
    <row r="142" spans="1:18" x14ac:dyDescent="0.3">
      <c r="A142" t="s">
        <v>39</v>
      </c>
      <c r="B142" t="s">
        <v>82</v>
      </c>
      <c r="C142">
        <v>99</v>
      </c>
      <c r="D142" t="s">
        <v>30</v>
      </c>
      <c r="E142">
        <v>2022</v>
      </c>
      <c r="F142" t="s">
        <v>31</v>
      </c>
      <c r="G142">
        <v>95</v>
      </c>
      <c r="H142">
        <v>77.2</v>
      </c>
      <c r="I142">
        <v>9.8000000000000007</v>
      </c>
      <c r="J142">
        <v>52344</v>
      </c>
      <c r="K142">
        <v>28</v>
      </c>
      <c r="L142">
        <v>14656</v>
      </c>
      <c r="M142">
        <v>67000</v>
      </c>
      <c r="N142">
        <v>78195</v>
      </c>
      <c r="O142">
        <v>56</v>
      </c>
      <c r="P142">
        <v>2.9</v>
      </c>
      <c r="Q142" t="s">
        <v>26</v>
      </c>
      <c r="R142" t="s">
        <v>27</v>
      </c>
    </row>
    <row r="143" spans="1:18" x14ac:dyDescent="0.3">
      <c r="A143" t="s">
        <v>42</v>
      </c>
      <c r="B143" t="s">
        <v>70</v>
      </c>
      <c r="C143">
        <v>249</v>
      </c>
      <c r="D143" t="s">
        <v>20</v>
      </c>
      <c r="E143">
        <v>2021</v>
      </c>
      <c r="F143" t="s">
        <v>21</v>
      </c>
      <c r="G143">
        <v>142</v>
      </c>
      <c r="H143">
        <v>32.9</v>
      </c>
      <c r="I143">
        <v>16.8</v>
      </c>
      <c r="J143">
        <v>132812</v>
      </c>
      <c r="K143">
        <v>28</v>
      </c>
      <c r="L143">
        <v>37188</v>
      </c>
      <c r="M143">
        <v>170000</v>
      </c>
      <c r="N143">
        <v>195880</v>
      </c>
      <c r="O143">
        <v>65</v>
      </c>
      <c r="P143">
        <v>4.5999999999999996</v>
      </c>
      <c r="Q143" t="s">
        <v>26</v>
      </c>
      <c r="R143" t="s">
        <v>27</v>
      </c>
    </row>
    <row r="144" spans="1:18" x14ac:dyDescent="0.3">
      <c r="A144" t="s">
        <v>55</v>
      </c>
      <c r="B144" t="s">
        <v>89</v>
      </c>
      <c r="C144">
        <v>155</v>
      </c>
      <c r="D144" t="s">
        <v>20</v>
      </c>
      <c r="E144">
        <v>2023</v>
      </c>
      <c r="F144" t="s">
        <v>35</v>
      </c>
      <c r="G144">
        <v>133</v>
      </c>
      <c r="H144">
        <v>37.4</v>
      </c>
      <c r="I144">
        <v>10.3</v>
      </c>
      <c r="J144">
        <v>103906</v>
      </c>
      <c r="K144">
        <v>28</v>
      </c>
      <c r="L144">
        <v>29094</v>
      </c>
      <c r="M144">
        <v>133000</v>
      </c>
      <c r="N144">
        <v>154890</v>
      </c>
      <c r="O144">
        <v>68</v>
      </c>
      <c r="P144">
        <v>12.1</v>
      </c>
      <c r="Q144" t="s">
        <v>37</v>
      </c>
      <c r="R144" t="s">
        <v>38</v>
      </c>
    </row>
    <row r="145" spans="1:18" x14ac:dyDescent="0.3">
      <c r="A145" t="s">
        <v>42</v>
      </c>
      <c r="B145" t="s">
        <v>86</v>
      </c>
      <c r="C145">
        <v>155</v>
      </c>
      <c r="D145" t="s">
        <v>20</v>
      </c>
      <c r="E145">
        <v>2022</v>
      </c>
      <c r="F145" t="s">
        <v>21</v>
      </c>
      <c r="G145">
        <v>129</v>
      </c>
      <c r="H145">
        <v>44.2</v>
      </c>
      <c r="I145">
        <v>11</v>
      </c>
      <c r="J145">
        <v>158594</v>
      </c>
      <c r="K145">
        <v>28</v>
      </c>
      <c r="L145">
        <v>44406</v>
      </c>
      <c r="M145">
        <v>203000</v>
      </c>
      <c r="N145">
        <v>230546</v>
      </c>
      <c r="O145">
        <v>73</v>
      </c>
      <c r="P145">
        <v>1</v>
      </c>
      <c r="Q145" t="s">
        <v>57</v>
      </c>
      <c r="R145" t="s">
        <v>58</v>
      </c>
    </row>
    <row r="146" spans="1:18" x14ac:dyDescent="0.3">
      <c r="A146" t="s">
        <v>50</v>
      </c>
      <c r="B146" t="s">
        <v>72</v>
      </c>
      <c r="C146">
        <v>373</v>
      </c>
      <c r="D146" t="s">
        <v>34</v>
      </c>
      <c r="E146">
        <v>2024</v>
      </c>
      <c r="F146" t="s">
        <v>21</v>
      </c>
      <c r="G146">
        <v>193</v>
      </c>
      <c r="H146">
        <v>19.7</v>
      </c>
      <c r="I146">
        <v>16.899999999999999</v>
      </c>
      <c r="J146">
        <v>224427</v>
      </c>
      <c r="K146">
        <v>31</v>
      </c>
      <c r="L146">
        <v>69573</v>
      </c>
      <c r="M146">
        <v>294000</v>
      </c>
      <c r="N146">
        <v>340753</v>
      </c>
      <c r="O146">
        <v>79</v>
      </c>
      <c r="P146">
        <v>8.1</v>
      </c>
      <c r="Q146" t="s">
        <v>22</v>
      </c>
      <c r="R146" t="s">
        <v>23</v>
      </c>
    </row>
    <row r="147" spans="1:18" x14ac:dyDescent="0.3">
      <c r="A147" t="s">
        <v>32</v>
      </c>
      <c r="B147" t="s">
        <v>90</v>
      </c>
      <c r="C147">
        <v>648</v>
      </c>
      <c r="D147" t="s">
        <v>34</v>
      </c>
      <c r="E147">
        <v>2022</v>
      </c>
      <c r="F147" t="s">
        <v>31</v>
      </c>
      <c r="G147">
        <v>161</v>
      </c>
      <c r="H147">
        <v>20.7</v>
      </c>
      <c r="I147">
        <v>14.7</v>
      </c>
      <c r="J147">
        <v>262595</v>
      </c>
      <c r="K147">
        <v>31</v>
      </c>
      <c r="L147">
        <v>81405</v>
      </c>
      <c r="M147">
        <v>344000</v>
      </c>
      <c r="N147">
        <v>388630</v>
      </c>
      <c r="O147">
        <v>68</v>
      </c>
      <c r="P147">
        <v>12</v>
      </c>
      <c r="Q147" t="s">
        <v>37</v>
      </c>
      <c r="R147" t="s">
        <v>38</v>
      </c>
    </row>
    <row r="148" spans="1:18" x14ac:dyDescent="0.3">
      <c r="A148" t="s">
        <v>18</v>
      </c>
      <c r="B148" t="s">
        <v>95</v>
      </c>
      <c r="C148">
        <v>160</v>
      </c>
      <c r="D148" t="s">
        <v>20</v>
      </c>
      <c r="E148">
        <v>2025</v>
      </c>
      <c r="F148" t="s">
        <v>35</v>
      </c>
      <c r="G148">
        <v>130</v>
      </c>
      <c r="H148">
        <v>40.5</v>
      </c>
      <c r="I148">
        <v>11.9</v>
      </c>
      <c r="J148">
        <v>93750</v>
      </c>
      <c r="K148">
        <v>28</v>
      </c>
      <c r="L148">
        <v>26250</v>
      </c>
      <c r="M148">
        <v>120000</v>
      </c>
      <c r="N148">
        <v>139708</v>
      </c>
      <c r="O148">
        <v>72</v>
      </c>
      <c r="P148">
        <v>3.5</v>
      </c>
      <c r="Q148" t="s">
        <v>26</v>
      </c>
      <c r="R148" t="s">
        <v>27</v>
      </c>
    </row>
    <row r="149" spans="1:18" x14ac:dyDescent="0.3">
      <c r="A149" t="s">
        <v>42</v>
      </c>
      <c r="B149" t="s">
        <v>59</v>
      </c>
      <c r="C149">
        <v>155</v>
      </c>
      <c r="D149" t="s">
        <v>20</v>
      </c>
      <c r="E149">
        <v>2020</v>
      </c>
      <c r="F149" t="s">
        <v>21</v>
      </c>
      <c r="G149">
        <v>126</v>
      </c>
      <c r="H149">
        <v>37.299999999999997</v>
      </c>
      <c r="I149">
        <v>11.3</v>
      </c>
      <c r="J149">
        <v>135938</v>
      </c>
      <c r="K149">
        <v>28</v>
      </c>
      <c r="L149">
        <v>38062</v>
      </c>
      <c r="M149">
        <v>174000</v>
      </c>
      <c r="N149">
        <v>202882</v>
      </c>
      <c r="O149">
        <v>67</v>
      </c>
      <c r="P149">
        <v>12.1</v>
      </c>
      <c r="Q149" t="s">
        <v>37</v>
      </c>
      <c r="R149" t="s">
        <v>38</v>
      </c>
    </row>
    <row r="150" spans="1:18" x14ac:dyDescent="0.3">
      <c r="A150" t="s">
        <v>39</v>
      </c>
      <c r="B150" t="s">
        <v>93</v>
      </c>
      <c r="C150">
        <v>225</v>
      </c>
      <c r="D150" t="s">
        <v>20</v>
      </c>
      <c r="E150">
        <v>2020</v>
      </c>
      <c r="F150" t="s">
        <v>21</v>
      </c>
      <c r="G150">
        <v>160</v>
      </c>
      <c r="H150">
        <v>28.4</v>
      </c>
      <c r="I150">
        <v>19.100000000000001</v>
      </c>
      <c r="J150">
        <v>128906</v>
      </c>
      <c r="K150">
        <v>28</v>
      </c>
      <c r="L150">
        <v>36094</v>
      </c>
      <c r="M150">
        <v>165000</v>
      </c>
      <c r="N150">
        <v>194507</v>
      </c>
      <c r="O150">
        <v>67</v>
      </c>
      <c r="P150">
        <v>5</v>
      </c>
      <c r="Q150" t="s">
        <v>26</v>
      </c>
      <c r="R150" t="s">
        <v>27</v>
      </c>
    </row>
    <row r="151" spans="1:18" x14ac:dyDescent="0.3">
      <c r="A151" t="s">
        <v>32</v>
      </c>
      <c r="B151" t="s">
        <v>85</v>
      </c>
      <c r="C151">
        <v>346</v>
      </c>
      <c r="D151" t="s">
        <v>34</v>
      </c>
      <c r="E151">
        <v>2023</v>
      </c>
      <c r="F151" t="s">
        <v>31</v>
      </c>
      <c r="G151">
        <v>152</v>
      </c>
      <c r="H151">
        <v>33.9</v>
      </c>
      <c r="I151">
        <v>17.8</v>
      </c>
      <c r="J151">
        <v>132031</v>
      </c>
      <c r="K151">
        <v>28</v>
      </c>
      <c r="L151">
        <v>36969</v>
      </c>
      <c r="M151">
        <v>169000</v>
      </c>
      <c r="N151">
        <v>198108</v>
      </c>
      <c r="O151">
        <v>64</v>
      </c>
      <c r="P151">
        <v>14.6</v>
      </c>
      <c r="Q151" t="s">
        <v>37</v>
      </c>
      <c r="R151" t="s">
        <v>38</v>
      </c>
    </row>
    <row r="152" spans="1:18" x14ac:dyDescent="0.3">
      <c r="A152" t="s">
        <v>32</v>
      </c>
      <c r="B152" t="s">
        <v>97</v>
      </c>
      <c r="C152">
        <v>452</v>
      </c>
      <c r="D152" t="s">
        <v>34</v>
      </c>
      <c r="E152">
        <v>2021</v>
      </c>
      <c r="F152" t="s">
        <v>21</v>
      </c>
      <c r="G152">
        <v>187</v>
      </c>
      <c r="H152">
        <v>21.6</v>
      </c>
      <c r="I152">
        <v>16.8</v>
      </c>
      <c r="J152">
        <v>236641</v>
      </c>
      <c r="K152">
        <v>31</v>
      </c>
      <c r="L152">
        <v>73359</v>
      </c>
      <c r="M152">
        <v>310000</v>
      </c>
      <c r="N152">
        <v>360484</v>
      </c>
      <c r="O152">
        <v>86</v>
      </c>
      <c r="P152">
        <v>14.9</v>
      </c>
      <c r="Q152" t="s">
        <v>37</v>
      </c>
      <c r="R152" t="s">
        <v>38</v>
      </c>
    </row>
    <row r="153" spans="1:18" x14ac:dyDescent="0.3">
      <c r="A153" t="s">
        <v>32</v>
      </c>
      <c r="B153" t="s">
        <v>88</v>
      </c>
      <c r="C153">
        <v>349</v>
      </c>
      <c r="D153" t="s">
        <v>34</v>
      </c>
      <c r="E153">
        <v>2022</v>
      </c>
      <c r="F153" t="s">
        <v>35</v>
      </c>
      <c r="G153">
        <v>153</v>
      </c>
      <c r="H153">
        <v>32.799999999999997</v>
      </c>
      <c r="I153">
        <v>16.100000000000001</v>
      </c>
      <c r="J153">
        <v>142969</v>
      </c>
      <c r="K153">
        <v>28</v>
      </c>
      <c r="L153">
        <v>40031</v>
      </c>
      <c r="M153">
        <v>183000</v>
      </c>
      <c r="N153">
        <v>210438</v>
      </c>
      <c r="O153">
        <v>68</v>
      </c>
      <c r="P153">
        <v>10.7</v>
      </c>
      <c r="Q153" t="s">
        <v>37</v>
      </c>
      <c r="R153" t="s">
        <v>38</v>
      </c>
    </row>
    <row r="154" spans="1:18" x14ac:dyDescent="0.3">
      <c r="A154" t="s">
        <v>32</v>
      </c>
      <c r="B154" t="s">
        <v>92</v>
      </c>
      <c r="C154">
        <v>452</v>
      </c>
      <c r="D154" t="s">
        <v>34</v>
      </c>
      <c r="E154">
        <v>2025</v>
      </c>
      <c r="F154" t="s">
        <v>21</v>
      </c>
      <c r="G154">
        <v>200</v>
      </c>
      <c r="H154">
        <v>19.8</v>
      </c>
      <c r="I154">
        <v>17.8</v>
      </c>
      <c r="J154">
        <v>221374</v>
      </c>
      <c r="K154">
        <v>31</v>
      </c>
      <c r="L154">
        <v>68626</v>
      </c>
      <c r="M154">
        <v>290000</v>
      </c>
      <c r="N154">
        <v>332888</v>
      </c>
      <c r="O154">
        <v>83</v>
      </c>
      <c r="P154">
        <v>6.1</v>
      </c>
      <c r="Q154" t="s">
        <v>22</v>
      </c>
      <c r="R154" t="s">
        <v>23</v>
      </c>
    </row>
    <row r="155" spans="1:18" x14ac:dyDescent="0.3">
      <c r="A155" t="s">
        <v>28</v>
      </c>
      <c r="B155" t="s">
        <v>63</v>
      </c>
      <c r="C155">
        <v>125</v>
      </c>
      <c r="D155" t="s">
        <v>30</v>
      </c>
      <c r="E155">
        <v>2023</v>
      </c>
      <c r="F155" t="s">
        <v>35</v>
      </c>
      <c r="G155">
        <v>112</v>
      </c>
      <c r="H155">
        <v>50.1</v>
      </c>
      <c r="I155">
        <v>13.8</v>
      </c>
      <c r="J155">
        <v>70312</v>
      </c>
      <c r="K155">
        <v>28</v>
      </c>
      <c r="L155">
        <v>19688</v>
      </c>
      <c r="M155">
        <v>90000</v>
      </c>
      <c r="N155">
        <v>105636</v>
      </c>
      <c r="O155">
        <v>68</v>
      </c>
      <c r="P155">
        <v>6.1</v>
      </c>
      <c r="Q155" t="s">
        <v>22</v>
      </c>
      <c r="R155" t="s">
        <v>23</v>
      </c>
    </row>
    <row r="156" spans="1:18" x14ac:dyDescent="0.3">
      <c r="A156" t="s">
        <v>28</v>
      </c>
      <c r="B156" t="s">
        <v>41</v>
      </c>
      <c r="C156">
        <v>125</v>
      </c>
      <c r="D156" t="s">
        <v>30</v>
      </c>
      <c r="E156">
        <v>2022</v>
      </c>
      <c r="F156" t="s">
        <v>35</v>
      </c>
      <c r="G156">
        <v>107</v>
      </c>
      <c r="H156">
        <v>54.3</v>
      </c>
      <c r="I156">
        <v>11.6</v>
      </c>
      <c r="J156">
        <v>71875</v>
      </c>
      <c r="K156">
        <v>28</v>
      </c>
      <c r="L156">
        <v>20125</v>
      </c>
      <c r="M156">
        <v>92000</v>
      </c>
      <c r="N156">
        <v>109888</v>
      </c>
      <c r="O156">
        <v>67</v>
      </c>
      <c r="P156">
        <v>2.9</v>
      </c>
      <c r="Q156" t="s">
        <v>26</v>
      </c>
      <c r="R156" t="s">
        <v>27</v>
      </c>
    </row>
    <row r="157" spans="1:18" x14ac:dyDescent="0.3">
      <c r="A157" t="s">
        <v>39</v>
      </c>
      <c r="B157" t="s">
        <v>64</v>
      </c>
      <c r="C157">
        <v>159</v>
      </c>
      <c r="D157" t="s">
        <v>20</v>
      </c>
      <c r="E157">
        <v>2022</v>
      </c>
      <c r="F157" t="s">
        <v>35</v>
      </c>
      <c r="G157">
        <v>137</v>
      </c>
      <c r="H157">
        <v>42.2</v>
      </c>
      <c r="I157">
        <v>12.8</v>
      </c>
      <c r="J157">
        <v>89844</v>
      </c>
      <c r="K157">
        <v>28</v>
      </c>
      <c r="L157">
        <v>25156</v>
      </c>
      <c r="M157">
        <v>115000</v>
      </c>
      <c r="N157">
        <v>133908</v>
      </c>
      <c r="O157">
        <v>60</v>
      </c>
      <c r="P157">
        <v>4.7</v>
      </c>
      <c r="Q157" t="s">
        <v>26</v>
      </c>
      <c r="R157" t="s">
        <v>27</v>
      </c>
    </row>
    <row r="158" spans="1:18" x14ac:dyDescent="0.3">
      <c r="A158" t="s">
        <v>24</v>
      </c>
      <c r="B158" t="s">
        <v>25</v>
      </c>
      <c r="C158">
        <v>249</v>
      </c>
      <c r="D158" t="s">
        <v>20</v>
      </c>
      <c r="E158">
        <v>2025</v>
      </c>
      <c r="F158" t="s">
        <v>21</v>
      </c>
      <c r="G158">
        <v>144</v>
      </c>
      <c r="H158">
        <v>29.7</v>
      </c>
      <c r="I158">
        <v>16.100000000000001</v>
      </c>
      <c r="J158">
        <v>139062</v>
      </c>
      <c r="K158">
        <v>28</v>
      </c>
      <c r="L158">
        <v>38938</v>
      </c>
      <c r="M158">
        <v>178000</v>
      </c>
      <c r="N158">
        <v>206887</v>
      </c>
      <c r="O158">
        <v>66</v>
      </c>
      <c r="P158">
        <v>7.3</v>
      </c>
      <c r="Q158" t="s">
        <v>37</v>
      </c>
      <c r="R158" t="s">
        <v>38</v>
      </c>
    </row>
    <row r="159" spans="1:18" x14ac:dyDescent="0.3">
      <c r="A159" t="s">
        <v>18</v>
      </c>
      <c r="B159" t="s">
        <v>103</v>
      </c>
      <c r="C159">
        <v>124</v>
      </c>
      <c r="D159" t="s">
        <v>30</v>
      </c>
      <c r="E159">
        <v>2022</v>
      </c>
      <c r="F159" t="s">
        <v>35</v>
      </c>
      <c r="G159">
        <v>107</v>
      </c>
      <c r="H159">
        <v>53</v>
      </c>
      <c r="I159">
        <v>13.4</v>
      </c>
      <c r="J159">
        <v>73438</v>
      </c>
      <c r="K159">
        <v>28</v>
      </c>
      <c r="L159">
        <v>20562</v>
      </c>
      <c r="M159">
        <v>94000</v>
      </c>
      <c r="N159">
        <v>114568</v>
      </c>
      <c r="O159">
        <v>67</v>
      </c>
      <c r="P159">
        <v>8.6</v>
      </c>
      <c r="Q159" t="s">
        <v>22</v>
      </c>
      <c r="R159" t="s">
        <v>23</v>
      </c>
    </row>
    <row r="160" spans="1:18" x14ac:dyDescent="0.3">
      <c r="A160" t="s">
        <v>24</v>
      </c>
      <c r="B160" t="s">
        <v>100</v>
      </c>
      <c r="C160">
        <v>115</v>
      </c>
      <c r="D160" t="s">
        <v>30</v>
      </c>
      <c r="E160">
        <v>2024</v>
      </c>
      <c r="F160" t="s">
        <v>35</v>
      </c>
      <c r="G160">
        <v>112</v>
      </c>
      <c r="H160">
        <v>58.9</v>
      </c>
      <c r="I160">
        <v>12.3</v>
      </c>
      <c r="J160">
        <v>65625</v>
      </c>
      <c r="K160">
        <v>28</v>
      </c>
      <c r="L160">
        <v>18375</v>
      </c>
      <c r="M160">
        <v>84000</v>
      </c>
      <c r="N160">
        <v>97976</v>
      </c>
      <c r="O160">
        <v>64</v>
      </c>
      <c r="P160">
        <v>1.4</v>
      </c>
      <c r="Q160" t="s">
        <v>57</v>
      </c>
      <c r="R160" t="s">
        <v>58</v>
      </c>
    </row>
    <row r="161" spans="1:18" x14ac:dyDescent="0.3">
      <c r="A161" t="s">
        <v>42</v>
      </c>
      <c r="B161" t="s">
        <v>45</v>
      </c>
      <c r="C161">
        <v>149</v>
      </c>
      <c r="D161" t="s">
        <v>20</v>
      </c>
      <c r="E161">
        <v>2023</v>
      </c>
      <c r="F161" t="s">
        <v>21</v>
      </c>
      <c r="G161">
        <v>117</v>
      </c>
      <c r="H161">
        <v>49.3</v>
      </c>
      <c r="I161">
        <v>13.3</v>
      </c>
      <c r="J161">
        <v>110938</v>
      </c>
      <c r="K161">
        <v>28</v>
      </c>
      <c r="L161">
        <v>31062</v>
      </c>
      <c r="M161">
        <v>142000</v>
      </c>
      <c r="N161">
        <v>164844</v>
      </c>
      <c r="O161">
        <v>76</v>
      </c>
      <c r="P161">
        <v>8.4</v>
      </c>
      <c r="Q161" t="s">
        <v>22</v>
      </c>
      <c r="R161" t="s">
        <v>23</v>
      </c>
    </row>
    <row r="162" spans="1:18" x14ac:dyDescent="0.3">
      <c r="A162" t="s">
        <v>28</v>
      </c>
      <c r="B162" t="s">
        <v>53</v>
      </c>
      <c r="C162">
        <v>440</v>
      </c>
      <c r="D162" t="s">
        <v>34</v>
      </c>
      <c r="E162">
        <v>2024</v>
      </c>
      <c r="F162" t="s">
        <v>21</v>
      </c>
      <c r="G162">
        <v>182</v>
      </c>
      <c r="H162">
        <v>23</v>
      </c>
      <c r="I162">
        <v>17.5</v>
      </c>
      <c r="J162">
        <v>161832</v>
      </c>
      <c r="K162">
        <v>31</v>
      </c>
      <c r="L162">
        <v>50168</v>
      </c>
      <c r="M162">
        <v>212000</v>
      </c>
      <c r="N162">
        <v>242231</v>
      </c>
      <c r="O162">
        <v>77</v>
      </c>
      <c r="P162">
        <v>13.3</v>
      </c>
      <c r="Q162" t="s">
        <v>37</v>
      </c>
      <c r="R162" t="s">
        <v>38</v>
      </c>
    </row>
    <row r="163" spans="1:18" x14ac:dyDescent="0.3">
      <c r="A163" t="s">
        <v>24</v>
      </c>
      <c r="B163" t="s">
        <v>84</v>
      </c>
      <c r="C163">
        <v>124</v>
      </c>
      <c r="D163" t="s">
        <v>30</v>
      </c>
      <c r="E163">
        <v>2022</v>
      </c>
      <c r="F163" t="s">
        <v>35</v>
      </c>
      <c r="G163">
        <v>109</v>
      </c>
      <c r="H163">
        <v>59.4</v>
      </c>
      <c r="I163">
        <v>13.7</v>
      </c>
      <c r="J163">
        <v>77344</v>
      </c>
      <c r="K163">
        <v>28</v>
      </c>
      <c r="L163">
        <v>21656</v>
      </c>
      <c r="M163">
        <v>99000</v>
      </c>
      <c r="N163">
        <v>113623</v>
      </c>
      <c r="O163">
        <v>61</v>
      </c>
      <c r="P163">
        <v>3.3</v>
      </c>
      <c r="Q163" t="s">
        <v>26</v>
      </c>
      <c r="R163" t="s">
        <v>27</v>
      </c>
    </row>
    <row r="164" spans="1:18" x14ac:dyDescent="0.3">
      <c r="A164" t="s">
        <v>24</v>
      </c>
      <c r="B164" t="s">
        <v>74</v>
      </c>
      <c r="C164">
        <v>199</v>
      </c>
      <c r="D164" t="s">
        <v>20</v>
      </c>
      <c r="E164">
        <v>2025</v>
      </c>
      <c r="F164" t="s">
        <v>21</v>
      </c>
      <c r="G164">
        <v>140</v>
      </c>
      <c r="H164">
        <v>39.5</v>
      </c>
      <c r="I164">
        <v>11.2</v>
      </c>
      <c r="J164">
        <v>133594</v>
      </c>
      <c r="K164">
        <v>28</v>
      </c>
      <c r="L164">
        <v>37406</v>
      </c>
      <c r="M164">
        <v>171000</v>
      </c>
      <c r="N164">
        <v>201629</v>
      </c>
      <c r="O164">
        <v>75</v>
      </c>
      <c r="P164">
        <v>4.8</v>
      </c>
      <c r="Q164" t="s">
        <v>26</v>
      </c>
      <c r="R164" t="s">
        <v>27</v>
      </c>
    </row>
    <row r="165" spans="1:18" x14ac:dyDescent="0.3">
      <c r="A165" t="s">
        <v>55</v>
      </c>
      <c r="B165" t="s">
        <v>75</v>
      </c>
      <c r="C165">
        <v>155</v>
      </c>
      <c r="D165" t="s">
        <v>20</v>
      </c>
      <c r="E165">
        <v>2024</v>
      </c>
      <c r="F165" t="s">
        <v>35</v>
      </c>
      <c r="G165">
        <v>139</v>
      </c>
      <c r="H165">
        <v>38.5</v>
      </c>
      <c r="I165">
        <v>10.199999999999999</v>
      </c>
      <c r="J165">
        <v>106250</v>
      </c>
      <c r="K165">
        <v>28</v>
      </c>
      <c r="L165">
        <v>29750</v>
      </c>
      <c r="M165">
        <v>136000</v>
      </c>
      <c r="N165">
        <v>160435</v>
      </c>
      <c r="O165">
        <v>67</v>
      </c>
      <c r="P165">
        <v>5.7</v>
      </c>
      <c r="Q165" t="s">
        <v>22</v>
      </c>
      <c r="R165" t="s">
        <v>23</v>
      </c>
    </row>
    <row r="166" spans="1:18" x14ac:dyDescent="0.3">
      <c r="A166" t="s">
        <v>28</v>
      </c>
      <c r="B166" t="s">
        <v>63</v>
      </c>
      <c r="C166">
        <v>125</v>
      </c>
      <c r="D166" t="s">
        <v>30</v>
      </c>
      <c r="E166">
        <v>2023</v>
      </c>
      <c r="F166" t="s">
        <v>35</v>
      </c>
      <c r="G166">
        <v>118</v>
      </c>
      <c r="H166">
        <v>57</v>
      </c>
      <c r="I166">
        <v>13.6</v>
      </c>
      <c r="J166">
        <v>69531</v>
      </c>
      <c r="K166">
        <v>28</v>
      </c>
      <c r="L166">
        <v>19469</v>
      </c>
      <c r="M166">
        <v>89000</v>
      </c>
      <c r="N166">
        <v>106623</v>
      </c>
      <c r="O166">
        <v>67</v>
      </c>
      <c r="P166">
        <v>9.9</v>
      </c>
      <c r="Q166" t="s">
        <v>22</v>
      </c>
      <c r="R166" t="s">
        <v>23</v>
      </c>
    </row>
    <row r="167" spans="1:18" x14ac:dyDescent="0.3">
      <c r="A167" t="s">
        <v>55</v>
      </c>
      <c r="B167" t="s">
        <v>76</v>
      </c>
      <c r="C167">
        <v>249</v>
      </c>
      <c r="D167" t="s">
        <v>20</v>
      </c>
      <c r="E167">
        <v>2021</v>
      </c>
      <c r="F167" t="s">
        <v>21</v>
      </c>
      <c r="G167">
        <v>154</v>
      </c>
      <c r="H167">
        <v>31.3</v>
      </c>
      <c r="I167">
        <v>16.100000000000001</v>
      </c>
      <c r="J167">
        <v>139844</v>
      </c>
      <c r="K167">
        <v>28</v>
      </c>
      <c r="L167">
        <v>39156</v>
      </c>
      <c r="M167">
        <v>179000</v>
      </c>
      <c r="N167">
        <v>212074</v>
      </c>
      <c r="O167">
        <v>64</v>
      </c>
      <c r="P167">
        <v>10.6</v>
      </c>
      <c r="Q167" t="s">
        <v>37</v>
      </c>
      <c r="R167" t="s">
        <v>38</v>
      </c>
    </row>
    <row r="168" spans="1:18" x14ac:dyDescent="0.3">
      <c r="A168" t="s">
        <v>42</v>
      </c>
      <c r="B168" t="s">
        <v>59</v>
      </c>
      <c r="C168">
        <v>155</v>
      </c>
      <c r="D168" t="s">
        <v>20</v>
      </c>
      <c r="E168">
        <v>2022</v>
      </c>
      <c r="F168" t="s">
        <v>21</v>
      </c>
      <c r="G168">
        <v>131</v>
      </c>
      <c r="H168">
        <v>40.200000000000003</v>
      </c>
      <c r="I168">
        <v>12.1</v>
      </c>
      <c r="J168">
        <v>132031</v>
      </c>
      <c r="K168">
        <v>28</v>
      </c>
      <c r="L168">
        <v>36969</v>
      </c>
      <c r="M168">
        <v>169000</v>
      </c>
      <c r="N168">
        <v>195317</v>
      </c>
      <c r="O168">
        <v>73</v>
      </c>
      <c r="P168">
        <v>2.8</v>
      </c>
      <c r="Q168" t="s">
        <v>26</v>
      </c>
      <c r="R168" t="s">
        <v>27</v>
      </c>
    </row>
    <row r="169" spans="1:18" x14ac:dyDescent="0.3">
      <c r="A169" t="s">
        <v>18</v>
      </c>
      <c r="B169" t="s">
        <v>95</v>
      </c>
      <c r="C169">
        <v>160</v>
      </c>
      <c r="D169" t="s">
        <v>20</v>
      </c>
      <c r="E169">
        <v>2024</v>
      </c>
      <c r="F169" t="s">
        <v>35</v>
      </c>
      <c r="G169">
        <v>121</v>
      </c>
      <c r="H169">
        <v>38.4</v>
      </c>
      <c r="I169">
        <v>11.7</v>
      </c>
      <c r="J169">
        <v>87500</v>
      </c>
      <c r="K169">
        <v>28</v>
      </c>
      <c r="L169">
        <v>24500</v>
      </c>
      <c r="M169">
        <v>112000</v>
      </c>
      <c r="N169">
        <v>130024</v>
      </c>
      <c r="O169">
        <v>66</v>
      </c>
      <c r="P169">
        <v>14.2</v>
      </c>
      <c r="Q169" t="s">
        <v>37</v>
      </c>
      <c r="R169" t="s">
        <v>38</v>
      </c>
    </row>
    <row r="170" spans="1:18" x14ac:dyDescent="0.3">
      <c r="A170" t="s">
        <v>24</v>
      </c>
      <c r="B170" t="s">
        <v>107</v>
      </c>
      <c r="C170">
        <v>102</v>
      </c>
      <c r="D170" t="s">
        <v>30</v>
      </c>
      <c r="E170">
        <v>2022</v>
      </c>
      <c r="F170" t="s">
        <v>31</v>
      </c>
      <c r="G170">
        <v>100</v>
      </c>
      <c r="H170">
        <v>74.400000000000006</v>
      </c>
      <c r="I170">
        <v>9</v>
      </c>
      <c r="J170">
        <v>49219</v>
      </c>
      <c r="K170">
        <v>28</v>
      </c>
      <c r="L170">
        <v>13781</v>
      </c>
      <c r="M170">
        <v>63000</v>
      </c>
      <c r="N170">
        <v>75969</v>
      </c>
      <c r="O170">
        <v>63</v>
      </c>
      <c r="P170">
        <v>7.5</v>
      </c>
      <c r="Q170" t="s">
        <v>37</v>
      </c>
      <c r="R170" t="s">
        <v>38</v>
      </c>
    </row>
    <row r="171" spans="1:18" x14ac:dyDescent="0.3">
      <c r="A171" t="s">
        <v>18</v>
      </c>
      <c r="B171" t="s">
        <v>103</v>
      </c>
      <c r="C171">
        <v>124</v>
      </c>
      <c r="D171" t="s">
        <v>30</v>
      </c>
      <c r="E171">
        <v>2024</v>
      </c>
      <c r="F171" t="s">
        <v>35</v>
      </c>
      <c r="G171">
        <v>106</v>
      </c>
      <c r="H171">
        <v>56.1</v>
      </c>
      <c r="I171">
        <v>13.5</v>
      </c>
      <c r="J171">
        <v>75000</v>
      </c>
      <c r="K171">
        <v>28</v>
      </c>
      <c r="L171">
        <v>21000</v>
      </c>
      <c r="M171">
        <v>96000</v>
      </c>
      <c r="N171">
        <v>113238</v>
      </c>
      <c r="O171">
        <v>59</v>
      </c>
      <c r="P171">
        <v>4.9000000000000004</v>
      </c>
      <c r="Q171" t="s">
        <v>26</v>
      </c>
      <c r="R171" t="s">
        <v>27</v>
      </c>
    </row>
    <row r="172" spans="1:18" x14ac:dyDescent="0.3">
      <c r="A172" t="s">
        <v>42</v>
      </c>
      <c r="B172" t="s">
        <v>70</v>
      </c>
      <c r="C172">
        <v>249</v>
      </c>
      <c r="D172" t="s">
        <v>20</v>
      </c>
      <c r="E172">
        <v>2022</v>
      </c>
      <c r="F172" t="s">
        <v>21</v>
      </c>
      <c r="G172">
        <v>163</v>
      </c>
      <c r="H172">
        <v>34.9</v>
      </c>
      <c r="I172">
        <v>13.3</v>
      </c>
      <c r="J172">
        <v>124219</v>
      </c>
      <c r="K172">
        <v>28</v>
      </c>
      <c r="L172">
        <v>34781</v>
      </c>
      <c r="M172">
        <v>159000</v>
      </c>
      <c r="N172">
        <v>179432</v>
      </c>
      <c r="O172">
        <v>70</v>
      </c>
      <c r="P172">
        <v>11.7</v>
      </c>
      <c r="Q172" t="s">
        <v>37</v>
      </c>
      <c r="R172" t="s">
        <v>38</v>
      </c>
    </row>
    <row r="173" spans="1:18" x14ac:dyDescent="0.3">
      <c r="A173" t="s">
        <v>28</v>
      </c>
      <c r="B173" t="s">
        <v>98</v>
      </c>
      <c r="C173">
        <v>163</v>
      </c>
      <c r="D173" t="s">
        <v>20</v>
      </c>
      <c r="E173">
        <v>2024</v>
      </c>
      <c r="F173" t="s">
        <v>21</v>
      </c>
      <c r="G173">
        <v>134</v>
      </c>
      <c r="H173">
        <v>40.9</v>
      </c>
      <c r="I173">
        <v>12.7</v>
      </c>
      <c r="J173">
        <v>107031</v>
      </c>
      <c r="K173">
        <v>28</v>
      </c>
      <c r="L173">
        <v>29969</v>
      </c>
      <c r="M173">
        <v>137000</v>
      </c>
      <c r="N173">
        <v>156954</v>
      </c>
      <c r="O173">
        <v>76</v>
      </c>
      <c r="P173">
        <v>4.9000000000000004</v>
      </c>
      <c r="Q173" t="s">
        <v>26</v>
      </c>
      <c r="R173" t="s">
        <v>27</v>
      </c>
    </row>
    <row r="174" spans="1:18" x14ac:dyDescent="0.3">
      <c r="A174" t="s">
        <v>18</v>
      </c>
      <c r="B174" t="s">
        <v>78</v>
      </c>
      <c r="C174">
        <v>184</v>
      </c>
      <c r="D174" t="s">
        <v>20</v>
      </c>
      <c r="E174">
        <v>2024</v>
      </c>
      <c r="F174" t="s">
        <v>21</v>
      </c>
      <c r="G174">
        <v>131</v>
      </c>
      <c r="H174">
        <v>42.6</v>
      </c>
      <c r="I174">
        <v>11.6</v>
      </c>
      <c r="J174">
        <v>110156</v>
      </c>
      <c r="K174">
        <v>28</v>
      </c>
      <c r="L174">
        <v>30844</v>
      </c>
      <c r="M174">
        <v>141000</v>
      </c>
      <c r="N174">
        <v>161496</v>
      </c>
      <c r="O174">
        <v>71</v>
      </c>
      <c r="P174">
        <v>3.8</v>
      </c>
      <c r="Q174" t="s">
        <v>26</v>
      </c>
      <c r="R174" t="s">
        <v>27</v>
      </c>
    </row>
    <row r="175" spans="1:18" x14ac:dyDescent="0.3">
      <c r="A175" t="s">
        <v>28</v>
      </c>
      <c r="B175" t="s">
        <v>69</v>
      </c>
      <c r="C175">
        <v>125</v>
      </c>
      <c r="D175" t="s">
        <v>30</v>
      </c>
      <c r="E175">
        <v>2021</v>
      </c>
      <c r="F175" t="s">
        <v>21</v>
      </c>
      <c r="G175">
        <v>109</v>
      </c>
      <c r="H175">
        <v>55.3</v>
      </c>
      <c r="I175">
        <v>11.3</v>
      </c>
      <c r="J175">
        <v>75781</v>
      </c>
      <c r="K175">
        <v>28</v>
      </c>
      <c r="L175">
        <v>21219</v>
      </c>
      <c r="M175">
        <v>97000</v>
      </c>
      <c r="N175">
        <v>112788</v>
      </c>
      <c r="O175">
        <v>74</v>
      </c>
      <c r="P175">
        <v>13.5</v>
      </c>
      <c r="Q175" t="s">
        <v>37</v>
      </c>
      <c r="R175" t="s">
        <v>38</v>
      </c>
    </row>
    <row r="176" spans="1:18" x14ac:dyDescent="0.3">
      <c r="A176" t="s">
        <v>32</v>
      </c>
      <c r="B176" t="s">
        <v>66</v>
      </c>
      <c r="C176">
        <v>349</v>
      </c>
      <c r="D176" t="s">
        <v>34</v>
      </c>
      <c r="E176">
        <v>2025</v>
      </c>
      <c r="F176" t="s">
        <v>35</v>
      </c>
      <c r="G176">
        <v>156</v>
      </c>
      <c r="H176">
        <v>32.700000000000003</v>
      </c>
      <c r="I176">
        <v>16.899999999999999</v>
      </c>
      <c r="J176">
        <v>155469</v>
      </c>
      <c r="K176">
        <v>28</v>
      </c>
      <c r="L176">
        <v>43531</v>
      </c>
      <c r="M176">
        <v>199000</v>
      </c>
      <c r="N176">
        <v>234943</v>
      </c>
      <c r="O176">
        <v>74</v>
      </c>
      <c r="P176">
        <v>8.5</v>
      </c>
      <c r="Q176" t="s">
        <v>22</v>
      </c>
      <c r="R176" t="s">
        <v>23</v>
      </c>
    </row>
    <row r="177" spans="1:18" x14ac:dyDescent="0.3">
      <c r="A177" t="s">
        <v>42</v>
      </c>
      <c r="B177" t="s">
        <v>70</v>
      </c>
      <c r="C177">
        <v>249</v>
      </c>
      <c r="D177" t="s">
        <v>20</v>
      </c>
      <c r="E177">
        <v>2023</v>
      </c>
      <c r="F177" t="s">
        <v>21</v>
      </c>
      <c r="G177">
        <v>165</v>
      </c>
      <c r="H177">
        <v>32.6</v>
      </c>
      <c r="I177">
        <v>14.9</v>
      </c>
      <c r="J177">
        <v>135156</v>
      </c>
      <c r="K177">
        <v>28</v>
      </c>
      <c r="L177">
        <v>37844</v>
      </c>
      <c r="M177">
        <v>173000</v>
      </c>
      <c r="N177">
        <v>200616</v>
      </c>
      <c r="O177">
        <v>75</v>
      </c>
      <c r="P177">
        <v>1.4</v>
      </c>
      <c r="Q177" t="s">
        <v>57</v>
      </c>
      <c r="R177" t="s">
        <v>58</v>
      </c>
    </row>
    <row r="178" spans="1:18" x14ac:dyDescent="0.3">
      <c r="A178" t="s">
        <v>24</v>
      </c>
      <c r="B178" t="s">
        <v>106</v>
      </c>
      <c r="C178">
        <v>373</v>
      </c>
      <c r="D178" t="s">
        <v>34</v>
      </c>
      <c r="E178">
        <v>2025</v>
      </c>
      <c r="F178" t="s">
        <v>21</v>
      </c>
      <c r="G178">
        <v>209</v>
      </c>
      <c r="H178">
        <v>23.2</v>
      </c>
      <c r="I178">
        <v>14.7</v>
      </c>
      <c r="J178">
        <v>190076</v>
      </c>
      <c r="K178">
        <v>31</v>
      </c>
      <c r="L178">
        <v>58924</v>
      </c>
      <c r="M178">
        <v>249000</v>
      </c>
      <c r="N178">
        <v>287627</v>
      </c>
      <c r="O178">
        <v>76</v>
      </c>
      <c r="P178">
        <v>3.1</v>
      </c>
      <c r="Q178" t="s">
        <v>26</v>
      </c>
      <c r="R178" t="s">
        <v>27</v>
      </c>
    </row>
    <row r="179" spans="1:18" x14ac:dyDescent="0.3">
      <c r="A179" t="s">
        <v>18</v>
      </c>
      <c r="B179" t="s">
        <v>19</v>
      </c>
      <c r="C179">
        <v>184</v>
      </c>
      <c r="D179" t="s">
        <v>20</v>
      </c>
      <c r="E179">
        <v>2023</v>
      </c>
      <c r="F179" t="s">
        <v>21</v>
      </c>
      <c r="G179">
        <v>133</v>
      </c>
      <c r="H179">
        <v>43.9</v>
      </c>
      <c r="I179">
        <v>13.5</v>
      </c>
      <c r="J179">
        <v>103906</v>
      </c>
      <c r="K179">
        <v>28</v>
      </c>
      <c r="L179">
        <v>29094</v>
      </c>
      <c r="M179">
        <v>133000</v>
      </c>
      <c r="N179">
        <v>154781</v>
      </c>
      <c r="O179">
        <v>77</v>
      </c>
      <c r="P179">
        <v>11.8</v>
      </c>
      <c r="Q179" t="s">
        <v>37</v>
      </c>
      <c r="R179" t="s">
        <v>38</v>
      </c>
    </row>
    <row r="180" spans="1:18" x14ac:dyDescent="0.3">
      <c r="A180" t="s">
        <v>28</v>
      </c>
      <c r="B180" t="s">
        <v>99</v>
      </c>
      <c r="C180">
        <v>199</v>
      </c>
      <c r="D180" t="s">
        <v>20</v>
      </c>
      <c r="E180">
        <v>2023</v>
      </c>
      <c r="F180" t="s">
        <v>21</v>
      </c>
      <c r="G180">
        <v>132</v>
      </c>
      <c r="H180">
        <v>41.8</v>
      </c>
      <c r="I180">
        <v>13.6</v>
      </c>
      <c r="J180">
        <v>117188</v>
      </c>
      <c r="K180">
        <v>28</v>
      </c>
      <c r="L180">
        <v>32812</v>
      </c>
      <c r="M180">
        <v>150000</v>
      </c>
      <c r="N180">
        <v>176007</v>
      </c>
      <c r="O180">
        <v>73</v>
      </c>
      <c r="P180">
        <v>14.4</v>
      </c>
      <c r="Q180" t="s">
        <v>37</v>
      </c>
      <c r="R180" t="s">
        <v>38</v>
      </c>
    </row>
    <row r="181" spans="1:18" x14ac:dyDescent="0.3">
      <c r="A181" t="s">
        <v>32</v>
      </c>
      <c r="B181" t="s">
        <v>46</v>
      </c>
      <c r="C181">
        <v>349</v>
      </c>
      <c r="D181" t="s">
        <v>34</v>
      </c>
      <c r="E181">
        <v>2021</v>
      </c>
      <c r="F181" t="s">
        <v>35</v>
      </c>
      <c r="G181">
        <v>162</v>
      </c>
      <c r="H181">
        <v>33.1</v>
      </c>
      <c r="I181">
        <v>19.7</v>
      </c>
      <c r="J181">
        <v>129688</v>
      </c>
      <c r="K181">
        <v>28</v>
      </c>
      <c r="L181">
        <v>36312</v>
      </c>
      <c r="M181">
        <v>166000</v>
      </c>
      <c r="N181">
        <v>196416</v>
      </c>
      <c r="O181">
        <v>70</v>
      </c>
      <c r="P181">
        <v>9.5</v>
      </c>
      <c r="Q181" t="s">
        <v>22</v>
      </c>
      <c r="R181" t="s">
        <v>23</v>
      </c>
    </row>
    <row r="182" spans="1:18" x14ac:dyDescent="0.3">
      <c r="A182" t="s">
        <v>39</v>
      </c>
      <c r="B182" t="s">
        <v>64</v>
      </c>
      <c r="C182">
        <v>159</v>
      </c>
      <c r="D182" t="s">
        <v>20</v>
      </c>
      <c r="E182">
        <v>2022</v>
      </c>
      <c r="F182" t="s">
        <v>35</v>
      </c>
      <c r="G182">
        <v>126</v>
      </c>
      <c r="H182">
        <v>44.7</v>
      </c>
      <c r="I182">
        <v>12.2</v>
      </c>
      <c r="J182">
        <v>94531</v>
      </c>
      <c r="K182">
        <v>28</v>
      </c>
      <c r="L182">
        <v>26469</v>
      </c>
      <c r="M182">
        <v>121000</v>
      </c>
      <c r="N182">
        <v>140972</v>
      </c>
      <c r="O182">
        <v>66</v>
      </c>
      <c r="P182">
        <v>5.4</v>
      </c>
      <c r="Q182" t="s">
        <v>37</v>
      </c>
      <c r="R182" t="s">
        <v>38</v>
      </c>
    </row>
    <row r="183" spans="1:18" x14ac:dyDescent="0.3">
      <c r="A183" t="s">
        <v>39</v>
      </c>
      <c r="B183" t="s">
        <v>64</v>
      </c>
      <c r="C183">
        <v>159</v>
      </c>
      <c r="D183" t="s">
        <v>20</v>
      </c>
      <c r="E183">
        <v>2025</v>
      </c>
      <c r="F183" t="s">
        <v>35</v>
      </c>
      <c r="G183">
        <v>124</v>
      </c>
      <c r="H183">
        <v>45.2</v>
      </c>
      <c r="I183">
        <v>10.3</v>
      </c>
      <c r="J183">
        <v>90625</v>
      </c>
      <c r="K183">
        <v>28</v>
      </c>
      <c r="L183">
        <v>25375</v>
      </c>
      <c r="M183">
        <v>116000</v>
      </c>
      <c r="N183">
        <v>136297</v>
      </c>
      <c r="O183">
        <v>69</v>
      </c>
      <c r="P183">
        <v>1.6</v>
      </c>
      <c r="Q183" t="s">
        <v>57</v>
      </c>
      <c r="R183" t="s">
        <v>58</v>
      </c>
    </row>
    <row r="184" spans="1:18" x14ac:dyDescent="0.3">
      <c r="A184" t="s">
        <v>50</v>
      </c>
      <c r="B184" t="s">
        <v>104</v>
      </c>
      <c r="C184">
        <v>373</v>
      </c>
      <c r="D184" t="s">
        <v>34</v>
      </c>
      <c r="E184">
        <v>2024</v>
      </c>
      <c r="F184" t="s">
        <v>21</v>
      </c>
      <c r="G184">
        <v>195</v>
      </c>
      <c r="H184">
        <v>20.8</v>
      </c>
      <c r="I184">
        <v>18.2</v>
      </c>
      <c r="J184">
        <v>281679</v>
      </c>
      <c r="K184">
        <v>31</v>
      </c>
      <c r="L184">
        <v>87321</v>
      </c>
      <c r="M184">
        <v>369000</v>
      </c>
      <c r="N184">
        <v>426406</v>
      </c>
      <c r="O184">
        <v>75</v>
      </c>
      <c r="P184">
        <v>2.9</v>
      </c>
      <c r="Q184" t="s">
        <v>26</v>
      </c>
      <c r="R184" t="s">
        <v>27</v>
      </c>
    </row>
    <row r="185" spans="1:18" x14ac:dyDescent="0.3">
      <c r="A185" t="s">
        <v>39</v>
      </c>
      <c r="B185" t="s">
        <v>82</v>
      </c>
      <c r="C185">
        <v>99</v>
      </c>
      <c r="D185" t="s">
        <v>30</v>
      </c>
      <c r="E185">
        <v>2023</v>
      </c>
      <c r="F185" t="s">
        <v>31</v>
      </c>
      <c r="G185">
        <v>88</v>
      </c>
      <c r="H185">
        <v>65.5</v>
      </c>
      <c r="I185">
        <v>8.1999999999999993</v>
      </c>
      <c r="J185">
        <v>50781</v>
      </c>
      <c r="K185">
        <v>28</v>
      </c>
      <c r="L185">
        <v>14219</v>
      </c>
      <c r="M185">
        <v>65000</v>
      </c>
      <c r="N185">
        <v>79195</v>
      </c>
      <c r="O185">
        <v>60</v>
      </c>
      <c r="P185">
        <v>5.6</v>
      </c>
      <c r="Q185" t="s">
        <v>37</v>
      </c>
      <c r="R185" t="s">
        <v>38</v>
      </c>
    </row>
    <row r="186" spans="1:18" x14ac:dyDescent="0.3">
      <c r="A186" t="s">
        <v>18</v>
      </c>
      <c r="B186" t="s">
        <v>44</v>
      </c>
      <c r="C186">
        <v>348</v>
      </c>
      <c r="D186" t="s">
        <v>34</v>
      </c>
      <c r="E186">
        <v>2022</v>
      </c>
      <c r="F186" t="s">
        <v>21</v>
      </c>
      <c r="G186">
        <v>155</v>
      </c>
      <c r="H186">
        <v>33.200000000000003</v>
      </c>
      <c r="I186">
        <v>15.2</v>
      </c>
      <c r="J186">
        <v>150781</v>
      </c>
      <c r="K186">
        <v>28</v>
      </c>
      <c r="L186">
        <v>42219</v>
      </c>
      <c r="M186">
        <v>193000</v>
      </c>
      <c r="N186">
        <v>225731</v>
      </c>
      <c r="O186">
        <v>79</v>
      </c>
      <c r="P186">
        <v>10.1</v>
      </c>
      <c r="Q186" t="s">
        <v>37</v>
      </c>
      <c r="R186" t="s">
        <v>38</v>
      </c>
    </row>
    <row r="187" spans="1:18" x14ac:dyDescent="0.3">
      <c r="A187" t="s">
        <v>28</v>
      </c>
      <c r="B187" t="s">
        <v>99</v>
      </c>
      <c r="C187">
        <v>199</v>
      </c>
      <c r="D187" t="s">
        <v>20</v>
      </c>
      <c r="E187">
        <v>2021</v>
      </c>
      <c r="F187" t="s">
        <v>21</v>
      </c>
      <c r="G187">
        <v>121</v>
      </c>
      <c r="H187">
        <v>44.4</v>
      </c>
      <c r="I187">
        <v>13.7</v>
      </c>
      <c r="J187">
        <v>120312</v>
      </c>
      <c r="K187">
        <v>28</v>
      </c>
      <c r="L187">
        <v>33688</v>
      </c>
      <c r="M187">
        <v>154000</v>
      </c>
      <c r="N187">
        <v>177450</v>
      </c>
      <c r="O187">
        <v>70</v>
      </c>
      <c r="P187">
        <v>6.9</v>
      </c>
      <c r="Q187" t="s">
        <v>22</v>
      </c>
      <c r="R187" t="s">
        <v>23</v>
      </c>
    </row>
    <row r="188" spans="1:18" x14ac:dyDescent="0.3">
      <c r="A188" t="s">
        <v>28</v>
      </c>
      <c r="B188" t="s">
        <v>41</v>
      </c>
      <c r="C188">
        <v>125</v>
      </c>
      <c r="D188" t="s">
        <v>30</v>
      </c>
      <c r="E188">
        <v>2020</v>
      </c>
      <c r="F188" t="s">
        <v>35</v>
      </c>
      <c r="G188">
        <v>105</v>
      </c>
      <c r="H188">
        <v>60</v>
      </c>
      <c r="I188">
        <v>13.7</v>
      </c>
      <c r="J188">
        <v>75781</v>
      </c>
      <c r="K188">
        <v>28</v>
      </c>
      <c r="L188">
        <v>21219</v>
      </c>
      <c r="M188">
        <v>97000</v>
      </c>
      <c r="N188">
        <v>113356</v>
      </c>
      <c r="O188">
        <v>67</v>
      </c>
      <c r="P188">
        <v>9</v>
      </c>
      <c r="Q188" t="s">
        <v>22</v>
      </c>
      <c r="R188" t="s">
        <v>23</v>
      </c>
    </row>
    <row r="189" spans="1:18" x14ac:dyDescent="0.3">
      <c r="A189" t="s">
        <v>32</v>
      </c>
      <c r="B189" t="s">
        <v>85</v>
      </c>
      <c r="C189">
        <v>346</v>
      </c>
      <c r="D189" t="s">
        <v>34</v>
      </c>
      <c r="E189">
        <v>2021</v>
      </c>
      <c r="F189" t="s">
        <v>31</v>
      </c>
      <c r="G189">
        <v>144</v>
      </c>
      <c r="H189">
        <v>35</v>
      </c>
      <c r="I189">
        <v>18.7</v>
      </c>
      <c r="J189">
        <v>132031</v>
      </c>
      <c r="K189">
        <v>28</v>
      </c>
      <c r="L189">
        <v>36969</v>
      </c>
      <c r="M189">
        <v>169000</v>
      </c>
      <c r="N189">
        <v>200136</v>
      </c>
      <c r="O189">
        <v>73</v>
      </c>
      <c r="P189">
        <v>7.6</v>
      </c>
      <c r="Q189" t="s">
        <v>22</v>
      </c>
      <c r="R189" t="s">
        <v>23</v>
      </c>
    </row>
    <row r="190" spans="1:18" x14ac:dyDescent="0.3">
      <c r="A190" t="s">
        <v>32</v>
      </c>
      <c r="B190" t="s">
        <v>85</v>
      </c>
      <c r="C190">
        <v>346</v>
      </c>
      <c r="D190" t="s">
        <v>34</v>
      </c>
      <c r="E190">
        <v>2021</v>
      </c>
      <c r="F190" t="s">
        <v>31</v>
      </c>
      <c r="G190">
        <v>150</v>
      </c>
      <c r="H190">
        <v>28.3</v>
      </c>
      <c r="I190">
        <v>14.2</v>
      </c>
      <c r="J190">
        <v>129688</v>
      </c>
      <c r="K190">
        <v>28</v>
      </c>
      <c r="L190">
        <v>36312</v>
      </c>
      <c r="M190">
        <v>166000</v>
      </c>
      <c r="N190">
        <v>190923</v>
      </c>
      <c r="O190">
        <v>63</v>
      </c>
      <c r="P190">
        <v>8.9</v>
      </c>
      <c r="Q190" t="s">
        <v>37</v>
      </c>
      <c r="R190" t="s">
        <v>38</v>
      </c>
    </row>
    <row r="191" spans="1:18" x14ac:dyDescent="0.3">
      <c r="A191" t="s">
        <v>50</v>
      </c>
      <c r="B191" t="s">
        <v>52</v>
      </c>
      <c r="C191">
        <v>199</v>
      </c>
      <c r="D191" t="s">
        <v>20</v>
      </c>
      <c r="E191">
        <v>2021</v>
      </c>
      <c r="F191" t="s">
        <v>21</v>
      </c>
      <c r="G191">
        <v>124</v>
      </c>
      <c r="H191">
        <v>37.9</v>
      </c>
      <c r="I191">
        <v>10</v>
      </c>
      <c r="J191">
        <v>164062</v>
      </c>
      <c r="K191">
        <v>28</v>
      </c>
      <c r="L191">
        <v>45938</v>
      </c>
      <c r="M191">
        <v>210000</v>
      </c>
      <c r="N191">
        <v>242534</v>
      </c>
      <c r="O191">
        <v>75</v>
      </c>
      <c r="P191">
        <v>5.5</v>
      </c>
      <c r="Q191" t="s">
        <v>22</v>
      </c>
      <c r="R191" t="s">
        <v>23</v>
      </c>
    </row>
    <row r="192" spans="1:18" x14ac:dyDescent="0.3">
      <c r="A192" t="s">
        <v>32</v>
      </c>
      <c r="B192" t="s">
        <v>90</v>
      </c>
      <c r="C192">
        <v>648</v>
      </c>
      <c r="D192" t="s">
        <v>34</v>
      </c>
      <c r="E192">
        <v>2022</v>
      </c>
      <c r="F192" t="s">
        <v>31</v>
      </c>
      <c r="G192">
        <v>196</v>
      </c>
      <c r="H192">
        <v>22.4</v>
      </c>
      <c r="I192">
        <v>17.8</v>
      </c>
      <c r="J192">
        <v>237405</v>
      </c>
      <c r="K192">
        <v>31</v>
      </c>
      <c r="L192">
        <v>73595</v>
      </c>
      <c r="M192">
        <v>311000</v>
      </c>
      <c r="N192">
        <v>363757</v>
      </c>
      <c r="O192">
        <v>63</v>
      </c>
      <c r="P192">
        <v>4.7</v>
      </c>
      <c r="Q192" t="s">
        <v>26</v>
      </c>
      <c r="R192" t="s">
        <v>27</v>
      </c>
    </row>
    <row r="193" spans="1:18" x14ac:dyDescent="0.3">
      <c r="A193" t="s">
        <v>28</v>
      </c>
      <c r="B193" t="s">
        <v>99</v>
      </c>
      <c r="C193">
        <v>199</v>
      </c>
      <c r="D193" t="s">
        <v>20</v>
      </c>
      <c r="E193">
        <v>2022</v>
      </c>
      <c r="F193" t="s">
        <v>21</v>
      </c>
      <c r="G193">
        <v>129</v>
      </c>
      <c r="H193">
        <v>42</v>
      </c>
      <c r="I193">
        <v>11.5</v>
      </c>
      <c r="J193">
        <v>116406</v>
      </c>
      <c r="K193">
        <v>28</v>
      </c>
      <c r="L193">
        <v>32594</v>
      </c>
      <c r="M193">
        <v>149000</v>
      </c>
      <c r="N193">
        <v>173450</v>
      </c>
      <c r="O193">
        <v>69</v>
      </c>
      <c r="P193">
        <v>9.9</v>
      </c>
      <c r="Q193" t="s">
        <v>22</v>
      </c>
      <c r="R193" t="s">
        <v>23</v>
      </c>
    </row>
    <row r="194" spans="1:18" x14ac:dyDescent="0.3">
      <c r="A194" t="s">
        <v>24</v>
      </c>
      <c r="B194" t="s">
        <v>74</v>
      </c>
      <c r="C194">
        <v>199</v>
      </c>
      <c r="D194" t="s">
        <v>20</v>
      </c>
      <c r="E194">
        <v>2025</v>
      </c>
      <c r="F194" t="s">
        <v>21</v>
      </c>
      <c r="G194">
        <v>137</v>
      </c>
      <c r="H194">
        <v>40.700000000000003</v>
      </c>
      <c r="I194">
        <v>13.3</v>
      </c>
      <c r="J194">
        <v>130469</v>
      </c>
      <c r="K194">
        <v>28</v>
      </c>
      <c r="L194">
        <v>36531</v>
      </c>
      <c r="M194">
        <v>167000</v>
      </c>
      <c r="N194">
        <v>191255</v>
      </c>
      <c r="O194">
        <v>74</v>
      </c>
      <c r="P194">
        <v>11.6</v>
      </c>
      <c r="Q194" t="s">
        <v>37</v>
      </c>
      <c r="R194" t="s">
        <v>38</v>
      </c>
    </row>
    <row r="195" spans="1:18" x14ac:dyDescent="0.3">
      <c r="A195" t="s">
        <v>39</v>
      </c>
      <c r="B195" t="s">
        <v>40</v>
      </c>
      <c r="C195">
        <v>109</v>
      </c>
      <c r="D195" t="s">
        <v>30</v>
      </c>
      <c r="E195">
        <v>2020</v>
      </c>
      <c r="F195" t="s">
        <v>35</v>
      </c>
      <c r="G195">
        <v>96</v>
      </c>
      <c r="H195">
        <v>69.099999999999994</v>
      </c>
      <c r="I195">
        <v>8.1</v>
      </c>
      <c r="J195">
        <v>65625</v>
      </c>
      <c r="K195">
        <v>28</v>
      </c>
      <c r="L195">
        <v>18375</v>
      </c>
      <c r="M195">
        <v>84000</v>
      </c>
      <c r="N195">
        <v>100717</v>
      </c>
      <c r="O195">
        <v>62</v>
      </c>
      <c r="P195">
        <v>13.8</v>
      </c>
      <c r="Q195" t="s">
        <v>37</v>
      </c>
      <c r="R195" t="s">
        <v>38</v>
      </c>
    </row>
    <row r="196" spans="1:18" x14ac:dyDescent="0.3">
      <c r="A196" t="s">
        <v>55</v>
      </c>
      <c r="B196" t="s">
        <v>108</v>
      </c>
      <c r="C196">
        <v>249</v>
      </c>
      <c r="D196" t="s">
        <v>20</v>
      </c>
      <c r="E196">
        <v>2021</v>
      </c>
      <c r="F196" t="s">
        <v>21</v>
      </c>
      <c r="G196">
        <v>156</v>
      </c>
      <c r="H196">
        <v>30.7</v>
      </c>
      <c r="I196">
        <v>18</v>
      </c>
      <c r="J196">
        <v>162500</v>
      </c>
      <c r="K196">
        <v>28</v>
      </c>
      <c r="L196">
        <v>45500</v>
      </c>
      <c r="M196">
        <v>208000</v>
      </c>
      <c r="N196">
        <v>237467</v>
      </c>
      <c r="O196">
        <v>70</v>
      </c>
      <c r="P196">
        <v>2.6</v>
      </c>
      <c r="Q196" t="s">
        <v>26</v>
      </c>
      <c r="R196" t="s">
        <v>27</v>
      </c>
    </row>
    <row r="197" spans="1:18" x14ac:dyDescent="0.3">
      <c r="A197" t="s">
        <v>42</v>
      </c>
      <c r="B197" t="s">
        <v>54</v>
      </c>
      <c r="C197">
        <v>155</v>
      </c>
      <c r="D197" t="s">
        <v>20</v>
      </c>
      <c r="E197">
        <v>2024</v>
      </c>
      <c r="F197" t="s">
        <v>21</v>
      </c>
      <c r="G197">
        <v>133</v>
      </c>
      <c r="H197">
        <v>38.299999999999997</v>
      </c>
      <c r="I197">
        <v>11.8</v>
      </c>
      <c r="J197">
        <v>131250</v>
      </c>
      <c r="K197">
        <v>28</v>
      </c>
      <c r="L197">
        <v>36750</v>
      </c>
      <c r="M197">
        <v>168000</v>
      </c>
      <c r="N197">
        <v>196484</v>
      </c>
      <c r="O197">
        <v>74</v>
      </c>
      <c r="P197">
        <v>8.9</v>
      </c>
      <c r="Q197" t="s">
        <v>22</v>
      </c>
      <c r="R197" t="s">
        <v>23</v>
      </c>
    </row>
    <row r="198" spans="1:18" x14ac:dyDescent="0.3">
      <c r="A198" t="s">
        <v>39</v>
      </c>
      <c r="B198" t="s">
        <v>93</v>
      </c>
      <c r="C198">
        <v>225</v>
      </c>
      <c r="D198" t="s">
        <v>20</v>
      </c>
      <c r="E198">
        <v>2020</v>
      </c>
      <c r="F198" t="s">
        <v>21</v>
      </c>
      <c r="G198">
        <v>141</v>
      </c>
      <c r="H198">
        <v>32.6</v>
      </c>
      <c r="I198">
        <v>16.8</v>
      </c>
      <c r="J198">
        <v>133594</v>
      </c>
      <c r="K198">
        <v>28</v>
      </c>
      <c r="L198">
        <v>37406</v>
      </c>
      <c r="M198">
        <v>171000</v>
      </c>
      <c r="N198">
        <v>198203</v>
      </c>
      <c r="O198">
        <v>70</v>
      </c>
      <c r="P198">
        <v>5.8</v>
      </c>
      <c r="Q198" t="s">
        <v>22</v>
      </c>
      <c r="R198" t="s">
        <v>23</v>
      </c>
    </row>
    <row r="199" spans="1:18" x14ac:dyDescent="0.3">
      <c r="A199" t="s">
        <v>28</v>
      </c>
      <c r="B199" t="s">
        <v>99</v>
      </c>
      <c r="C199">
        <v>199</v>
      </c>
      <c r="D199" t="s">
        <v>20</v>
      </c>
      <c r="E199">
        <v>2025</v>
      </c>
      <c r="F199" t="s">
        <v>21</v>
      </c>
      <c r="G199">
        <v>125</v>
      </c>
      <c r="H199">
        <v>39.9</v>
      </c>
      <c r="I199">
        <v>12.6</v>
      </c>
      <c r="J199">
        <v>121094</v>
      </c>
      <c r="K199">
        <v>28</v>
      </c>
      <c r="L199">
        <v>33906</v>
      </c>
      <c r="M199">
        <v>155000</v>
      </c>
      <c r="N199">
        <v>177502</v>
      </c>
      <c r="O199">
        <v>70</v>
      </c>
      <c r="P199">
        <v>11.7</v>
      </c>
      <c r="Q199" t="s">
        <v>37</v>
      </c>
      <c r="R199" t="s">
        <v>38</v>
      </c>
    </row>
    <row r="200" spans="1:18" x14ac:dyDescent="0.3">
      <c r="A200" t="s">
        <v>50</v>
      </c>
      <c r="B200" t="s">
        <v>72</v>
      </c>
      <c r="C200">
        <v>373</v>
      </c>
      <c r="D200" t="s">
        <v>34</v>
      </c>
      <c r="E200">
        <v>2021</v>
      </c>
      <c r="F200" t="s">
        <v>21</v>
      </c>
      <c r="G200">
        <v>203</v>
      </c>
      <c r="H200">
        <v>21.3</v>
      </c>
      <c r="I200">
        <v>17.600000000000001</v>
      </c>
      <c r="J200">
        <v>232061</v>
      </c>
      <c r="K200">
        <v>31</v>
      </c>
      <c r="L200">
        <v>71939</v>
      </c>
      <c r="M200">
        <v>304000</v>
      </c>
      <c r="N200">
        <v>354552</v>
      </c>
      <c r="O200">
        <v>81</v>
      </c>
      <c r="P200">
        <v>13.2</v>
      </c>
      <c r="Q200" t="s">
        <v>37</v>
      </c>
      <c r="R200" t="s">
        <v>38</v>
      </c>
    </row>
    <row r="201" spans="1:18" x14ac:dyDescent="0.3">
      <c r="A201" t="s">
        <v>32</v>
      </c>
      <c r="B201" t="s">
        <v>33</v>
      </c>
      <c r="C201">
        <v>346</v>
      </c>
      <c r="D201" t="s">
        <v>34</v>
      </c>
      <c r="E201">
        <v>2022</v>
      </c>
      <c r="F201" t="s">
        <v>35</v>
      </c>
      <c r="G201">
        <v>147</v>
      </c>
      <c r="H201">
        <v>33.700000000000003</v>
      </c>
      <c r="I201">
        <v>16.2</v>
      </c>
      <c r="J201">
        <v>135938</v>
      </c>
      <c r="K201">
        <v>28</v>
      </c>
      <c r="L201">
        <v>38062</v>
      </c>
      <c r="M201">
        <v>174000</v>
      </c>
      <c r="N201">
        <v>203939</v>
      </c>
      <c r="O201">
        <v>66</v>
      </c>
      <c r="P201">
        <v>11.6</v>
      </c>
      <c r="Q201" t="s">
        <v>37</v>
      </c>
      <c r="R201" t="s">
        <v>38</v>
      </c>
    </row>
    <row r="202" spans="1:18" x14ac:dyDescent="0.3">
      <c r="A202" t="s">
        <v>55</v>
      </c>
      <c r="B202" t="s">
        <v>76</v>
      </c>
      <c r="C202">
        <v>249</v>
      </c>
      <c r="D202" t="s">
        <v>20</v>
      </c>
      <c r="E202">
        <v>2025</v>
      </c>
      <c r="F202" t="s">
        <v>21</v>
      </c>
      <c r="G202">
        <v>148</v>
      </c>
      <c r="H202">
        <v>30.8</v>
      </c>
      <c r="I202">
        <v>18.399999999999999</v>
      </c>
      <c r="J202">
        <v>142969</v>
      </c>
      <c r="K202">
        <v>28</v>
      </c>
      <c r="L202">
        <v>40031</v>
      </c>
      <c r="M202">
        <v>183000</v>
      </c>
      <c r="N202">
        <v>210633</v>
      </c>
      <c r="O202">
        <v>66</v>
      </c>
      <c r="P202">
        <v>14.1</v>
      </c>
      <c r="Q202" t="s">
        <v>37</v>
      </c>
      <c r="R202" t="s">
        <v>38</v>
      </c>
    </row>
    <row r="203" spans="1:18" x14ac:dyDescent="0.3">
      <c r="A203" t="s">
        <v>28</v>
      </c>
      <c r="B203" t="s">
        <v>41</v>
      </c>
      <c r="C203">
        <v>125</v>
      </c>
      <c r="D203" t="s">
        <v>30</v>
      </c>
      <c r="E203">
        <v>2023</v>
      </c>
      <c r="F203" t="s">
        <v>35</v>
      </c>
      <c r="G203">
        <v>107</v>
      </c>
      <c r="H203">
        <v>51.6</v>
      </c>
      <c r="I203">
        <v>12.4</v>
      </c>
      <c r="J203">
        <v>73438</v>
      </c>
      <c r="K203">
        <v>28</v>
      </c>
      <c r="L203">
        <v>20562</v>
      </c>
      <c r="M203">
        <v>94000</v>
      </c>
      <c r="N203">
        <v>109421</v>
      </c>
      <c r="O203">
        <v>59</v>
      </c>
      <c r="P203">
        <v>9.3000000000000007</v>
      </c>
      <c r="Q203" t="s">
        <v>37</v>
      </c>
      <c r="R203" t="s">
        <v>38</v>
      </c>
    </row>
    <row r="204" spans="1:18" x14ac:dyDescent="0.3">
      <c r="A204" t="s">
        <v>28</v>
      </c>
      <c r="B204" t="s">
        <v>98</v>
      </c>
      <c r="C204">
        <v>163</v>
      </c>
      <c r="D204" t="s">
        <v>20</v>
      </c>
      <c r="E204">
        <v>2022</v>
      </c>
      <c r="F204" t="s">
        <v>21</v>
      </c>
      <c r="G204">
        <v>121</v>
      </c>
      <c r="H204">
        <v>39.200000000000003</v>
      </c>
      <c r="I204">
        <v>10.9</v>
      </c>
      <c r="J204">
        <v>100781</v>
      </c>
      <c r="K204">
        <v>28</v>
      </c>
      <c r="L204">
        <v>28219</v>
      </c>
      <c r="M204">
        <v>129000</v>
      </c>
      <c r="N204">
        <v>148761</v>
      </c>
      <c r="O204">
        <v>70</v>
      </c>
      <c r="P204">
        <v>8.1</v>
      </c>
      <c r="Q204" t="s">
        <v>22</v>
      </c>
      <c r="R204" t="s">
        <v>23</v>
      </c>
    </row>
    <row r="205" spans="1:18" x14ac:dyDescent="0.3">
      <c r="A205" t="s">
        <v>32</v>
      </c>
      <c r="B205" t="s">
        <v>66</v>
      </c>
      <c r="C205">
        <v>349</v>
      </c>
      <c r="D205" t="s">
        <v>34</v>
      </c>
      <c r="E205">
        <v>2023</v>
      </c>
      <c r="F205" t="s">
        <v>35</v>
      </c>
      <c r="G205">
        <v>144</v>
      </c>
      <c r="H205">
        <v>30.5</v>
      </c>
      <c r="I205">
        <v>15.1</v>
      </c>
      <c r="J205">
        <v>166406</v>
      </c>
      <c r="K205">
        <v>28</v>
      </c>
      <c r="L205">
        <v>46594</v>
      </c>
      <c r="M205">
        <v>213000</v>
      </c>
      <c r="N205">
        <v>249468</v>
      </c>
      <c r="O205">
        <v>76</v>
      </c>
      <c r="P205">
        <v>8.3000000000000007</v>
      </c>
      <c r="Q205" t="s">
        <v>22</v>
      </c>
      <c r="R205" t="s">
        <v>23</v>
      </c>
    </row>
    <row r="206" spans="1:18" x14ac:dyDescent="0.3">
      <c r="A206" t="s">
        <v>28</v>
      </c>
      <c r="B206" t="s">
        <v>99</v>
      </c>
      <c r="C206">
        <v>199</v>
      </c>
      <c r="D206" t="s">
        <v>20</v>
      </c>
      <c r="E206">
        <v>2022</v>
      </c>
      <c r="F206" t="s">
        <v>21</v>
      </c>
      <c r="G206">
        <v>133</v>
      </c>
      <c r="H206">
        <v>43.3</v>
      </c>
      <c r="I206">
        <v>13.8</v>
      </c>
      <c r="J206">
        <v>114062</v>
      </c>
      <c r="K206">
        <v>28</v>
      </c>
      <c r="L206">
        <v>31938</v>
      </c>
      <c r="M206">
        <v>146000</v>
      </c>
      <c r="N206">
        <v>170379</v>
      </c>
      <c r="O206">
        <v>76</v>
      </c>
      <c r="P206">
        <v>7.9</v>
      </c>
      <c r="Q206" t="s">
        <v>22</v>
      </c>
      <c r="R206" t="s">
        <v>23</v>
      </c>
    </row>
    <row r="207" spans="1:18" x14ac:dyDescent="0.3">
      <c r="A207" t="s">
        <v>32</v>
      </c>
      <c r="B207" t="s">
        <v>73</v>
      </c>
      <c r="C207">
        <v>648</v>
      </c>
      <c r="D207" t="s">
        <v>34</v>
      </c>
      <c r="E207">
        <v>2021</v>
      </c>
      <c r="F207" t="s">
        <v>31</v>
      </c>
      <c r="G207">
        <v>171</v>
      </c>
      <c r="H207">
        <v>20.9</v>
      </c>
      <c r="I207">
        <v>15.1</v>
      </c>
      <c r="J207">
        <v>271756</v>
      </c>
      <c r="K207">
        <v>31</v>
      </c>
      <c r="L207">
        <v>84244</v>
      </c>
      <c r="M207">
        <v>356000</v>
      </c>
      <c r="N207">
        <v>405274</v>
      </c>
      <c r="O207">
        <v>71</v>
      </c>
      <c r="P207">
        <v>7.6</v>
      </c>
      <c r="Q207" t="s">
        <v>22</v>
      </c>
      <c r="R207" t="s">
        <v>23</v>
      </c>
    </row>
    <row r="208" spans="1:18" x14ac:dyDescent="0.3">
      <c r="A208" t="s">
        <v>18</v>
      </c>
      <c r="B208" t="s">
        <v>62</v>
      </c>
      <c r="C208">
        <v>348</v>
      </c>
      <c r="D208" t="s">
        <v>34</v>
      </c>
      <c r="E208">
        <v>2021</v>
      </c>
      <c r="F208" t="s">
        <v>21</v>
      </c>
      <c r="G208">
        <v>144</v>
      </c>
      <c r="H208">
        <v>32.4</v>
      </c>
      <c r="I208">
        <v>15.3</v>
      </c>
      <c r="J208">
        <v>180469</v>
      </c>
      <c r="K208">
        <v>28</v>
      </c>
      <c r="L208">
        <v>50531</v>
      </c>
      <c r="M208">
        <v>231000</v>
      </c>
      <c r="N208">
        <v>271166</v>
      </c>
      <c r="O208">
        <v>78</v>
      </c>
      <c r="P208">
        <v>4.4000000000000004</v>
      </c>
      <c r="Q208" t="s">
        <v>26</v>
      </c>
      <c r="R208" t="s">
        <v>27</v>
      </c>
    </row>
    <row r="209" spans="1:18" x14ac:dyDescent="0.3">
      <c r="A209" t="s">
        <v>18</v>
      </c>
      <c r="B209" t="s">
        <v>68</v>
      </c>
      <c r="C209">
        <v>109</v>
      </c>
      <c r="D209" t="s">
        <v>30</v>
      </c>
      <c r="E209">
        <v>2024</v>
      </c>
      <c r="F209" t="s">
        <v>31</v>
      </c>
      <c r="G209">
        <v>86</v>
      </c>
      <c r="H209">
        <v>75.5</v>
      </c>
      <c r="I209">
        <v>9.1999999999999993</v>
      </c>
      <c r="J209">
        <v>64844</v>
      </c>
      <c r="K209">
        <v>28</v>
      </c>
      <c r="L209">
        <v>18156</v>
      </c>
      <c r="M209">
        <v>83000</v>
      </c>
      <c r="N209">
        <v>100063</v>
      </c>
      <c r="O209">
        <v>61</v>
      </c>
      <c r="P209">
        <v>6.3</v>
      </c>
      <c r="Q209" t="s">
        <v>37</v>
      </c>
      <c r="R209" t="s">
        <v>38</v>
      </c>
    </row>
    <row r="210" spans="1:18" x14ac:dyDescent="0.3">
      <c r="A210" t="s">
        <v>28</v>
      </c>
      <c r="B210" t="s">
        <v>53</v>
      </c>
      <c r="C210">
        <v>440</v>
      </c>
      <c r="D210" t="s">
        <v>34</v>
      </c>
      <c r="E210">
        <v>2020</v>
      </c>
      <c r="F210" t="s">
        <v>21</v>
      </c>
      <c r="G210">
        <v>173</v>
      </c>
      <c r="H210">
        <v>20.5</v>
      </c>
      <c r="I210">
        <v>14.5</v>
      </c>
      <c r="J210">
        <v>163359</v>
      </c>
      <c r="K210">
        <v>31</v>
      </c>
      <c r="L210">
        <v>50641</v>
      </c>
      <c r="M210">
        <v>214000</v>
      </c>
      <c r="N210">
        <v>251449</v>
      </c>
      <c r="O210">
        <v>80</v>
      </c>
      <c r="P210">
        <v>5.2</v>
      </c>
      <c r="Q210" t="s">
        <v>22</v>
      </c>
      <c r="R210" t="s">
        <v>23</v>
      </c>
    </row>
    <row r="211" spans="1:18" x14ac:dyDescent="0.3">
      <c r="A211" t="s">
        <v>24</v>
      </c>
      <c r="B211" t="s">
        <v>65</v>
      </c>
      <c r="C211">
        <v>149</v>
      </c>
      <c r="D211" t="s">
        <v>20</v>
      </c>
      <c r="E211">
        <v>2024</v>
      </c>
      <c r="F211" t="s">
        <v>35</v>
      </c>
      <c r="G211">
        <v>111</v>
      </c>
      <c r="H211">
        <v>60.5</v>
      </c>
      <c r="I211">
        <v>11.3</v>
      </c>
      <c r="J211">
        <v>96875</v>
      </c>
      <c r="K211">
        <v>28</v>
      </c>
      <c r="L211">
        <v>27125</v>
      </c>
      <c r="M211">
        <v>124000</v>
      </c>
      <c r="N211">
        <v>144662</v>
      </c>
      <c r="O211">
        <v>73</v>
      </c>
      <c r="P211">
        <v>13.8</v>
      </c>
      <c r="Q211" t="s">
        <v>37</v>
      </c>
      <c r="R211" t="s">
        <v>38</v>
      </c>
    </row>
    <row r="212" spans="1:18" x14ac:dyDescent="0.3">
      <c r="A212" t="s">
        <v>39</v>
      </c>
      <c r="B212" t="s">
        <v>71</v>
      </c>
      <c r="C212">
        <v>159</v>
      </c>
      <c r="D212" t="s">
        <v>20</v>
      </c>
      <c r="E212">
        <v>2025</v>
      </c>
      <c r="F212" t="s">
        <v>21</v>
      </c>
      <c r="G212">
        <v>135</v>
      </c>
      <c r="H212">
        <v>40.6</v>
      </c>
      <c r="I212">
        <v>11.9</v>
      </c>
      <c r="J212">
        <v>103125</v>
      </c>
      <c r="K212">
        <v>28</v>
      </c>
      <c r="L212">
        <v>28875</v>
      </c>
      <c r="M212">
        <v>132000</v>
      </c>
      <c r="N212">
        <v>153357</v>
      </c>
      <c r="O212">
        <v>73</v>
      </c>
      <c r="P212">
        <v>2.4</v>
      </c>
      <c r="Q212" t="s">
        <v>26</v>
      </c>
      <c r="R212" t="s">
        <v>27</v>
      </c>
    </row>
    <row r="213" spans="1:18" x14ac:dyDescent="0.3">
      <c r="A213" t="s">
        <v>32</v>
      </c>
      <c r="B213" t="s">
        <v>66</v>
      </c>
      <c r="C213">
        <v>349</v>
      </c>
      <c r="D213" t="s">
        <v>34</v>
      </c>
      <c r="E213">
        <v>2024</v>
      </c>
      <c r="F213" t="s">
        <v>35</v>
      </c>
      <c r="G213">
        <v>163</v>
      </c>
      <c r="H213">
        <v>34.799999999999997</v>
      </c>
      <c r="I213">
        <v>19.5</v>
      </c>
      <c r="J213">
        <v>175000</v>
      </c>
      <c r="K213">
        <v>28</v>
      </c>
      <c r="L213">
        <v>49000</v>
      </c>
      <c r="M213">
        <v>224000</v>
      </c>
      <c r="N213">
        <v>258120</v>
      </c>
      <c r="O213">
        <v>68</v>
      </c>
      <c r="P213">
        <v>1.2</v>
      </c>
      <c r="Q213" t="s">
        <v>57</v>
      </c>
      <c r="R213" t="s">
        <v>58</v>
      </c>
    </row>
    <row r="214" spans="1:18" x14ac:dyDescent="0.3">
      <c r="A214" t="s">
        <v>50</v>
      </c>
      <c r="B214" t="s">
        <v>72</v>
      </c>
      <c r="C214">
        <v>373</v>
      </c>
      <c r="D214" t="s">
        <v>34</v>
      </c>
      <c r="E214">
        <v>2025</v>
      </c>
      <c r="F214" t="s">
        <v>21</v>
      </c>
      <c r="G214">
        <v>191</v>
      </c>
      <c r="H214">
        <v>23.8</v>
      </c>
      <c r="I214">
        <v>15.4</v>
      </c>
      <c r="J214">
        <v>229008</v>
      </c>
      <c r="K214">
        <v>31</v>
      </c>
      <c r="L214">
        <v>70992</v>
      </c>
      <c r="M214">
        <v>300000</v>
      </c>
      <c r="N214">
        <v>341067</v>
      </c>
      <c r="O214">
        <v>79</v>
      </c>
      <c r="P214">
        <v>10.199999999999999</v>
      </c>
      <c r="Q214" t="s">
        <v>37</v>
      </c>
      <c r="R214" t="s">
        <v>38</v>
      </c>
    </row>
    <row r="215" spans="1:18" x14ac:dyDescent="0.3">
      <c r="A215" t="s">
        <v>42</v>
      </c>
      <c r="B215" t="s">
        <v>54</v>
      </c>
      <c r="C215">
        <v>155</v>
      </c>
      <c r="D215" t="s">
        <v>20</v>
      </c>
      <c r="E215">
        <v>2024</v>
      </c>
      <c r="F215" t="s">
        <v>21</v>
      </c>
      <c r="G215">
        <v>131</v>
      </c>
      <c r="H215">
        <v>44.3</v>
      </c>
      <c r="I215">
        <v>12</v>
      </c>
      <c r="J215">
        <v>150781</v>
      </c>
      <c r="K215">
        <v>28</v>
      </c>
      <c r="L215">
        <v>42219</v>
      </c>
      <c r="M215">
        <v>193000</v>
      </c>
      <c r="N215">
        <v>223767</v>
      </c>
      <c r="O215">
        <v>69</v>
      </c>
      <c r="P215">
        <v>3</v>
      </c>
      <c r="Q215" t="s">
        <v>26</v>
      </c>
      <c r="R215" t="s">
        <v>27</v>
      </c>
    </row>
    <row r="216" spans="1:18" x14ac:dyDescent="0.3">
      <c r="A216" t="s">
        <v>55</v>
      </c>
      <c r="B216" t="s">
        <v>76</v>
      </c>
      <c r="C216">
        <v>249</v>
      </c>
      <c r="D216" t="s">
        <v>20</v>
      </c>
      <c r="E216">
        <v>2023</v>
      </c>
      <c r="F216" t="s">
        <v>21</v>
      </c>
      <c r="G216">
        <v>161</v>
      </c>
      <c r="H216">
        <v>35.4</v>
      </c>
      <c r="I216">
        <v>14</v>
      </c>
      <c r="J216">
        <v>156250</v>
      </c>
      <c r="K216">
        <v>28</v>
      </c>
      <c r="L216">
        <v>43750</v>
      </c>
      <c r="M216">
        <v>200000</v>
      </c>
      <c r="N216">
        <v>234058</v>
      </c>
      <c r="O216">
        <v>69</v>
      </c>
      <c r="P216">
        <v>11.7</v>
      </c>
      <c r="Q216" t="s">
        <v>37</v>
      </c>
      <c r="R216" t="s">
        <v>38</v>
      </c>
    </row>
    <row r="217" spans="1:18" x14ac:dyDescent="0.3">
      <c r="A217" t="s">
        <v>24</v>
      </c>
      <c r="B217" t="s">
        <v>106</v>
      </c>
      <c r="C217">
        <v>373</v>
      </c>
      <c r="D217" t="s">
        <v>34</v>
      </c>
      <c r="E217">
        <v>2024</v>
      </c>
      <c r="F217" t="s">
        <v>21</v>
      </c>
      <c r="G217">
        <v>199</v>
      </c>
      <c r="H217">
        <v>21.3</v>
      </c>
      <c r="I217">
        <v>19.399999999999999</v>
      </c>
      <c r="J217">
        <v>170229</v>
      </c>
      <c r="K217">
        <v>31</v>
      </c>
      <c r="L217">
        <v>52771</v>
      </c>
      <c r="M217">
        <v>223000</v>
      </c>
      <c r="N217">
        <v>253720</v>
      </c>
      <c r="O217">
        <v>80</v>
      </c>
      <c r="P217">
        <v>10.3</v>
      </c>
      <c r="Q217" t="s">
        <v>37</v>
      </c>
      <c r="R217" t="s">
        <v>38</v>
      </c>
    </row>
    <row r="218" spans="1:18" x14ac:dyDescent="0.3">
      <c r="A218" t="s">
        <v>42</v>
      </c>
      <c r="B218" t="s">
        <v>54</v>
      </c>
      <c r="C218">
        <v>155</v>
      </c>
      <c r="D218" t="s">
        <v>20</v>
      </c>
      <c r="E218">
        <v>2020</v>
      </c>
      <c r="F218" t="s">
        <v>21</v>
      </c>
      <c r="G218">
        <v>128</v>
      </c>
      <c r="H218">
        <v>42.3</v>
      </c>
      <c r="I218">
        <v>12</v>
      </c>
      <c r="J218">
        <v>129688</v>
      </c>
      <c r="K218">
        <v>28</v>
      </c>
      <c r="L218">
        <v>36312</v>
      </c>
      <c r="M218">
        <v>166000</v>
      </c>
      <c r="N218">
        <v>191228</v>
      </c>
      <c r="O218">
        <v>75</v>
      </c>
      <c r="P218">
        <v>14.7</v>
      </c>
      <c r="Q218" t="s">
        <v>37</v>
      </c>
      <c r="R218" t="s">
        <v>38</v>
      </c>
    </row>
    <row r="219" spans="1:18" x14ac:dyDescent="0.3">
      <c r="A219" t="s">
        <v>50</v>
      </c>
      <c r="B219" t="s">
        <v>109</v>
      </c>
      <c r="C219">
        <v>373</v>
      </c>
      <c r="D219" t="s">
        <v>34</v>
      </c>
      <c r="E219">
        <v>2022</v>
      </c>
      <c r="F219" t="s">
        <v>21</v>
      </c>
      <c r="G219">
        <v>175</v>
      </c>
      <c r="H219">
        <v>22.1</v>
      </c>
      <c r="I219">
        <v>18.7</v>
      </c>
      <c r="J219">
        <v>267939</v>
      </c>
      <c r="K219">
        <v>31</v>
      </c>
      <c r="L219">
        <v>83061</v>
      </c>
      <c r="M219">
        <v>351000</v>
      </c>
      <c r="N219">
        <v>405528</v>
      </c>
      <c r="O219">
        <v>74</v>
      </c>
      <c r="P219">
        <v>9.6999999999999993</v>
      </c>
      <c r="Q219" t="s">
        <v>22</v>
      </c>
      <c r="R219" t="s">
        <v>23</v>
      </c>
    </row>
    <row r="220" spans="1:18" x14ac:dyDescent="0.3">
      <c r="A220" t="s">
        <v>39</v>
      </c>
      <c r="B220" t="s">
        <v>83</v>
      </c>
      <c r="C220">
        <v>124</v>
      </c>
      <c r="D220" t="s">
        <v>30</v>
      </c>
      <c r="E220">
        <v>2020</v>
      </c>
      <c r="F220" t="s">
        <v>21</v>
      </c>
      <c r="G220">
        <v>112</v>
      </c>
      <c r="H220">
        <v>55.9</v>
      </c>
      <c r="I220">
        <v>12.6</v>
      </c>
      <c r="J220">
        <v>77344</v>
      </c>
      <c r="K220">
        <v>28</v>
      </c>
      <c r="L220">
        <v>21656</v>
      </c>
      <c r="M220">
        <v>99000</v>
      </c>
      <c r="N220">
        <v>115982</v>
      </c>
      <c r="O220">
        <v>67</v>
      </c>
      <c r="P220">
        <v>10.6</v>
      </c>
      <c r="Q220" t="s">
        <v>37</v>
      </c>
      <c r="R220" t="s">
        <v>38</v>
      </c>
    </row>
    <row r="221" spans="1:18" x14ac:dyDescent="0.3">
      <c r="A221" t="s">
        <v>28</v>
      </c>
      <c r="B221" t="s">
        <v>41</v>
      </c>
      <c r="C221">
        <v>125</v>
      </c>
      <c r="D221" t="s">
        <v>30</v>
      </c>
      <c r="E221">
        <v>2023</v>
      </c>
      <c r="F221" t="s">
        <v>35</v>
      </c>
      <c r="G221">
        <v>110</v>
      </c>
      <c r="H221">
        <v>56.8</v>
      </c>
      <c r="I221">
        <v>12.6</v>
      </c>
      <c r="J221">
        <v>65625</v>
      </c>
      <c r="K221">
        <v>28</v>
      </c>
      <c r="L221">
        <v>18375</v>
      </c>
      <c r="M221">
        <v>84000</v>
      </c>
      <c r="N221">
        <v>97672</v>
      </c>
      <c r="O221">
        <v>59</v>
      </c>
      <c r="P221">
        <v>8</v>
      </c>
      <c r="Q221" t="s">
        <v>37</v>
      </c>
      <c r="R221" t="s">
        <v>38</v>
      </c>
    </row>
    <row r="222" spans="1:18" x14ac:dyDescent="0.3">
      <c r="A222" t="s">
        <v>32</v>
      </c>
      <c r="B222" t="s">
        <v>85</v>
      </c>
      <c r="C222">
        <v>346</v>
      </c>
      <c r="D222" t="s">
        <v>34</v>
      </c>
      <c r="E222">
        <v>2025</v>
      </c>
      <c r="F222" t="s">
        <v>31</v>
      </c>
      <c r="G222">
        <v>147</v>
      </c>
      <c r="H222">
        <v>35.200000000000003</v>
      </c>
      <c r="I222">
        <v>19.2</v>
      </c>
      <c r="J222">
        <v>138281</v>
      </c>
      <c r="K222">
        <v>28</v>
      </c>
      <c r="L222">
        <v>38719</v>
      </c>
      <c r="M222">
        <v>177000</v>
      </c>
      <c r="N222">
        <v>207045</v>
      </c>
      <c r="O222">
        <v>68</v>
      </c>
      <c r="P222">
        <v>13.6</v>
      </c>
      <c r="Q222" t="s">
        <v>37</v>
      </c>
      <c r="R222" t="s">
        <v>38</v>
      </c>
    </row>
    <row r="223" spans="1:18" x14ac:dyDescent="0.3">
      <c r="A223" t="s">
        <v>42</v>
      </c>
      <c r="B223" t="s">
        <v>70</v>
      </c>
      <c r="C223">
        <v>249</v>
      </c>
      <c r="D223" t="s">
        <v>20</v>
      </c>
      <c r="E223">
        <v>2022</v>
      </c>
      <c r="F223" t="s">
        <v>21</v>
      </c>
      <c r="G223">
        <v>158</v>
      </c>
      <c r="H223">
        <v>35.1</v>
      </c>
      <c r="I223">
        <v>13.1</v>
      </c>
      <c r="J223">
        <v>124219</v>
      </c>
      <c r="K223">
        <v>28</v>
      </c>
      <c r="L223">
        <v>34781</v>
      </c>
      <c r="M223">
        <v>159000</v>
      </c>
      <c r="N223">
        <v>187692</v>
      </c>
      <c r="O223">
        <v>81</v>
      </c>
      <c r="P223">
        <v>1.5</v>
      </c>
      <c r="Q223" t="s">
        <v>57</v>
      </c>
      <c r="R223" t="s">
        <v>58</v>
      </c>
    </row>
    <row r="224" spans="1:18" x14ac:dyDescent="0.3">
      <c r="A224" t="s">
        <v>24</v>
      </c>
      <c r="B224" t="s">
        <v>67</v>
      </c>
      <c r="C224">
        <v>199</v>
      </c>
      <c r="D224" t="s">
        <v>20</v>
      </c>
      <c r="E224">
        <v>2024</v>
      </c>
      <c r="F224" t="s">
        <v>21</v>
      </c>
      <c r="G224">
        <v>129</v>
      </c>
      <c r="H224">
        <v>46.3</v>
      </c>
      <c r="I224">
        <v>13.3</v>
      </c>
      <c r="J224">
        <v>118750</v>
      </c>
      <c r="K224">
        <v>28</v>
      </c>
      <c r="L224">
        <v>33250</v>
      </c>
      <c r="M224">
        <v>152000</v>
      </c>
      <c r="N224">
        <v>179091</v>
      </c>
      <c r="O224">
        <v>75</v>
      </c>
      <c r="P224">
        <v>8.9</v>
      </c>
      <c r="Q224" t="s">
        <v>22</v>
      </c>
      <c r="R224" t="s">
        <v>23</v>
      </c>
    </row>
    <row r="225" spans="1:18" x14ac:dyDescent="0.3">
      <c r="A225" t="s">
        <v>32</v>
      </c>
      <c r="B225" t="s">
        <v>90</v>
      </c>
      <c r="C225">
        <v>648</v>
      </c>
      <c r="D225" t="s">
        <v>34</v>
      </c>
      <c r="E225">
        <v>2022</v>
      </c>
      <c r="F225" t="s">
        <v>31</v>
      </c>
      <c r="G225">
        <v>204</v>
      </c>
      <c r="H225">
        <v>23.5</v>
      </c>
      <c r="I225">
        <v>13.4</v>
      </c>
      <c r="J225">
        <v>254962</v>
      </c>
      <c r="K225">
        <v>31</v>
      </c>
      <c r="L225">
        <v>79038</v>
      </c>
      <c r="M225">
        <v>334000</v>
      </c>
      <c r="N225">
        <v>383099</v>
      </c>
      <c r="O225">
        <v>64</v>
      </c>
      <c r="P225">
        <v>8</v>
      </c>
      <c r="Q225" t="s">
        <v>37</v>
      </c>
      <c r="R225" t="s">
        <v>38</v>
      </c>
    </row>
    <row r="226" spans="1:18" x14ac:dyDescent="0.3">
      <c r="A226" t="s">
        <v>50</v>
      </c>
      <c r="B226" t="s">
        <v>109</v>
      </c>
      <c r="C226">
        <v>373</v>
      </c>
      <c r="D226" t="s">
        <v>34</v>
      </c>
      <c r="E226">
        <v>2022</v>
      </c>
      <c r="F226" t="s">
        <v>21</v>
      </c>
      <c r="G226">
        <v>185</v>
      </c>
      <c r="H226">
        <v>24.4</v>
      </c>
      <c r="I226">
        <v>18.5</v>
      </c>
      <c r="J226">
        <v>245038</v>
      </c>
      <c r="K226">
        <v>31</v>
      </c>
      <c r="L226">
        <v>75962</v>
      </c>
      <c r="M226">
        <v>321000</v>
      </c>
      <c r="N226">
        <v>365685</v>
      </c>
      <c r="O226">
        <v>76</v>
      </c>
      <c r="P226">
        <v>1.4</v>
      </c>
      <c r="Q226" t="s">
        <v>57</v>
      </c>
      <c r="R226" t="s">
        <v>58</v>
      </c>
    </row>
    <row r="227" spans="1:18" x14ac:dyDescent="0.3">
      <c r="A227" t="s">
        <v>42</v>
      </c>
      <c r="B227" t="s">
        <v>102</v>
      </c>
      <c r="C227">
        <v>113</v>
      </c>
      <c r="D227" t="s">
        <v>30</v>
      </c>
      <c r="E227">
        <v>2022</v>
      </c>
      <c r="F227" t="s">
        <v>31</v>
      </c>
      <c r="G227">
        <v>117</v>
      </c>
      <c r="H227">
        <v>50.9</v>
      </c>
      <c r="I227">
        <v>13.2</v>
      </c>
      <c r="J227">
        <v>58594</v>
      </c>
      <c r="K227">
        <v>28</v>
      </c>
      <c r="L227">
        <v>16406</v>
      </c>
      <c r="M227">
        <v>75000</v>
      </c>
      <c r="N227">
        <v>89497</v>
      </c>
      <c r="O227">
        <v>51</v>
      </c>
      <c r="P227">
        <v>11.8</v>
      </c>
      <c r="Q227" t="s">
        <v>37</v>
      </c>
      <c r="R227" t="s">
        <v>38</v>
      </c>
    </row>
    <row r="228" spans="1:18" x14ac:dyDescent="0.3">
      <c r="A228" t="s">
        <v>28</v>
      </c>
      <c r="B228" t="s">
        <v>53</v>
      </c>
      <c r="C228">
        <v>440</v>
      </c>
      <c r="D228" t="s">
        <v>34</v>
      </c>
      <c r="E228">
        <v>2020</v>
      </c>
      <c r="F228" t="s">
        <v>21</v>
      </c>
      <c r="G228">
        <v>184</v>
      </c>
      <c r="H228">
        <v>20.2</v>
      </c>
      <c r="I228">
        <v>13</v>
      </c>
      <c r="J228">
        <v>160305</v>
      </c>
      <c r="K228">
        <v>31</v>
      </c>
      <c r="L228">
        <v>49695</v>
      </c>
      <c r="M228">
        <v>210000</v>
      </c>
      <c r="N228">
        <v>241981</v>
      </c>
      <c r="O228">
        <v>80</v>
      </c>
      <c r="P228">
        <v>6</v>
      </c>
      <c r="Q228" t="s">
        <v>22</v>
      </c>
      <c r="R228" t="s">
        <v>23</v>
      </c>
    </row>
    <row r="229" spans="1:18" x14ac:dyDescent="0.3">
      <c r="A229" t="s">
        <v>39</v>
      </c>
      <c r="B229" t="s">
        <v>93</v>
      </c>
      <c r="C229">
        <v>225</v>
      </c>
      <c r="D229" t="s">
        <v>20</v>
      </c>
      <c r="E229">
        <v>2023</v>
      </c>
      <c r="F229" t="s">
        <v>21</v>
      </c>
      <c r="G229">
        <v>154</v>
      </c>
      <c r="H229">
        <v>29.6</v>
      </c>
      <c r="I229">
        <v>13.7</v>
      </c>
      <c r="J229">
        <v>128125</v>
      </c>
      <c r="K229">
        <v>28</v>
      </c>
      <c r="L229">
        <v>35875</v>
      </c>
      <c r="M229">
        <v>164000</v>
      </c>
      <c r="N229">
        <v>189727</v>
      </c>
      <c r="O229">
        <v>72</v>
      </c>
      <c r="P229">
        <v>8.8000000000000007</v>
      </c>
      <c r="Q229" t="s">
        <v>22</v>
      </c>
      <c r="R229" t="s">
        <v>23</v>
      </c>
    </row>
    <row r="230" spans="1:18" x14ac:dyDescent="0.3">
      <c r="A230" t="s">
        <v>18</v>
      </c>
      <c r="B230" t="s">
        <v>103</v>
      </c>
      <c r="C230">
        <v>124</v>
      </c>
      <c r="D230" t="s">
        <v>30</v>
      </c>
      <c r="E230">
        <v>2020</v>
      </c>
      <c r="F230" t="s">
        <v>35</v>
      </c>
      <c r="G230">
        <v>105</v>
      </c>
      <c r="H230">
        <v>59.8</v>
      </c>
      <c r="I230">
        <v>12.9</v>
      </c>
      <c r="J230">
        <v>68750</v>
      </c>
      <c r="K230">
        <v>28</v>
      </c>
      <c r="L230">
        <v>19250</v>
      </c>
      <c r="M230">
        <v>88000</v>
      </c>
      <c r="N230">
        <v>102388</v>
      </c>
      <c r="O230">
        <v>63</v>
      </c>
      <c r="P230">
        <v>6.8</v>
      </c>
      <c r="Q230" t="s">
        <v>37</v>
      </c>
      <c r="R230" t="s">
        <v>38</v>
      </c>
    </row>
    <row r="231" spans="1:18" x14ac:dyDescent="0.3">
      <c r="A231" t="s">
        <v>55</v>
      </c>
      <c r="B231" t="s">
        <v>56</v>
      </c>
      <c r="C231">
        <v>249</v>
      </c>
      <c r="D231" t="s">
        <v>34</v>
      </c>
      <c r="E231">
        <v>2022</v>
      </c>
      <c r="F231" t="s">
        <v>21</v>
      </c>
      <c r="G231">
        <v>145</v>
      </c>
      <c r="H231">
        <v>33.4</v>
      </c>
      <c r="I231">
        <v>16.5</v>
      </c>
      <c r="J231">
        <v>182812</v>
      </c>
      <c r="K231">
        <v>28</v>
      </c>
      <c r="L231">
        <v>51188</v>
      </c>
      <c r="M231">
        <v>234000</v>
      </c>
      <c r="N231">
        <v>274266</v>
      </c>
      <c r="O231">
        <v>70</v>
      </c>
      <c r="P231">
        <v>4.8</v>
      </c>
      <c r="Q231" t="s">
        <v>26</v>
      </c>
      <c r="R231" t="s">
        <v>27</v>
      </c>
    </row>
    <row r="232" spans="1:18" x14ac:dyDescent="0.3">
      <c r="A232" t="s">
        <v>28</v>
      </c>
      <c r="B232" t="s">
        <v>49</v>
      </c>
      <c r="C232">
        <v>199</v>
      </c>
      <c r="D232" t="s">
        <v>20</v>
      </c>
      <c r="E232">
        <v>2024</v>
      </c>
      <c r="F232" t="s">
        <v>21</v>
      </c>
      <c r="G232">
        <v>127</v>
      </c>
      <c r="H232">
        <v>40.6</v>
      </c>
      <c r="I232">
        <v>10.8</v>
      </c>
      <c r="J232">
        <v>114844</v>
      </c>
      <c r="K232">
        <v>28</v>
      </c>
      <c r="L232">
        <v>32156</v>
      </c>
      <c r="M232">
        <v>147000</v>
      </c>
      <c r="N232">
        <v>167989</v>
      </c>
      <c r="O232">
        <v>78</v>
      </c>
      <c r="P232">
        <v>7.9</v>
      </c>
      <c r="Q232" t="s">
        <v>22</v>
      </c>
      <c r="R232" t="s">
        <v>23</v>
      </c>
    </row>
    <row r="233" spans="1:18" x14ac:dyDescent="0.3">
      <c r="A233" t="s">
        <v>18</v>
      </c>
      <c r="B233" t="s">
        <v>95</v>
      </c>
      <c r="C233">
        <v>160</v>
      </c>
      <c r="D233" t="s">
        <v>20</v>
      </c>
      <c r="E233">
        <v>2025</v>
      </c>
      <c r="F233" t="s">
        <v>35</v>
      </c>
      <c r="G233">
        <v>130</v>
      </c>
      <c r="H233">
        <v>40.799999999999997</v>
      </c>
      <c r="I233">
        <v>13.9</v>
      </c>
      <c r="J233">
        <v>84375</v>
      </c>
      <c r="K233">
        <v>28</v>
      </c>
      <c r="L233">
        <v>23625</v>
      </c>
      <c r="M233">
        <v>108000</v>
      </c>
      <c r="N233">
        <v>125304</v>
      </c>
      <c r="O233">
        <v>69</v>
      </c>
      <c r="P233">
        <v>5.7</v>
      </c>
      <c r="Q233" t="s">
        <v>22</v>
      </c>
      <c r="R233" t="s">
        <v>23</v>
      </c>
    </row>
    <row r="234" spans="1:18" x14ac:dyDescent="0.3">
      <c r="A234" t="s">
        <v>18</v>
      </c>
      <c r="B234" t="s">
        <v>44</v>
      </c>
      <c r="C234">
        <v>348</v>
      </c>
      <c r="D234" t="s">
        <v>34</v>
      </c>
      <c r="E234">
        <v>2025</v>
      </c>
      <c r="F234" t="s">
        <v>21</v>
      </c>
      <c r="G234">
        <v>152</v>
      </c>
      <c r="H234">
        <v>30.6</v>
      </c>
      <c r="I234">
        <v>17.399999999999999</v>
      </c>
      <c r="J234">
        <v>158594</v>
      </c>
      <c r="K234">
        <v>28</v>
      </c>
      <c r="L234">
        <v>44406</v>
      </c>
      <c r="M234">
        <v>203000</v>
      </c>
      <c r="N234">
        <v>237013</v>
      </c>
      <c r="O234">
        <v>77</v>
      </c>
      <c r="P234">
        <v>5.0999999999999996</v>
      </c>
      <c r="Q234" t="s">
        <v>22</v>
      </c>
      <c r="R234" t="s">
        <v>23</v>
      </c>
    </row>
    <row r="235" spans="1:18" x14ac:dyDescent="0.3">
      <c r="A235" t="s">
        <v>39</v>
      </c>
      <c r="B235" t="s">
        <v>40</v>
      </c>
      <c r="C235">
        <v>109</v>
      </c>
      <c r="D235" t="s">
        <v>30</v>
      </c>
      <c r="E235">
        <v>2021</v>
      </c>
      <c r="F235" t="s">
        <v>35</v>
      </c>
      <c r="G235">
        <v>91</v>
      </c>
      <c r="H235">
        <v>63.5</v>
      </c>
      <c r="I235">
        <v>9.4</v>
      </c>
      <c r="J235">
        <v>62500</v>
      </c>
      <c r="K235">
        <v>28</v>
      </c>
      <c r="L235">
        <v>17500</v>
      </c>
      <c r="M235">
        <v>80000</v>
      </c>
      <c r="N235">
        <v>94449</v>
      </c>
      <c r="O235">
        <v>70</v>
      </c>
      <c r="P235">
        <v>15</v>
      </c>
      <c r="Q235" t="s">
        <v>37</v>
      </c>
      <c r="R235" t="s">
        <v>38</v>
      </c>
    </row>
    <row r="236" spans="1:18" x14ac:dyDescent="0.3">
      <c r="A236" t="s">
        <v>55</v>
      </c>
      <c r="B236" t="s">
        <v>108</v>
      </c>
      <c r="C236">
        <v>249</v>
      </c>
      <c r="D236" t="s">
        <v>20</v>
      </c>
      <c r="E236">
        <v>2023</v>
      </c>
      <c r="F236" t="s">
        <v>21</v>
      </c>
      <c r="G236">
        <v>149</v>
      </c>
      <c r="H236">
        <v>31.5</v>
      </c>
      <c r="I236">
        <v>17.7</v>
      </c>
      <c r="J236">
        <v>140625</v>
      </c>
      <c r="K236">
        <v>28</v>
      </c>
      <c r="L236">
        <v>39375</v>
      </c>
      <c r="M236">
        <v>180000</v>
      </c>
      <c r="N236">
        <v>211289</v>
      </c>
      <c r="O236">
        <v>64</v>
      </c>
      <c r="P236">
        <v>12.5</v>
      </c>
      <c r="Q236" t="s">
        <v>37</v>
      </c>
      <c r="R236" t="s">
        <v>38</v>
      </c>
    </row>
    <row r="237" spans="1:18" x14ac:dyDescent="0.3">
      <c r="A237" t="s">
        <v>18</v>
      </c>
      <c r="B237" t="s">
        <v>44</v>
      </c>
      <c r="C237">
        <v>348</v>
      </c>
      <c r="D237" t="s">
        <v>34</v>
      </c>
      <c r="E237">
        <v>2024</v>
      </c>
      <c r="F237" t="s">
        <v>21</v>
      </c>
      <c r="G237">
        <v>152</v>
      </c>
      <c r="H237">
        <v>31.4</v>
      </c>
      <c r="I237">
        <v>16.399999999999999</v>
      </c>
      <c r="J237">
        <v>167188</v>
      </c>
      <c r="K237">
        <v>28</v>
      </c>
      <c r="L237">
        <v>46812</v>
      </c>
      <c r="M237">
        <v>214000</v>
      </c>
      <c r="N237">
        <v>247360</v>
      </c>
      <c r="O237">
        <v>73</v>
      </c>
      <c r="P237">
        <v>7.3</v>
      </c>
      <c r="Q237" t="s">
        <v>22</v>
      </c>
      <c r="R237" t="s">
        <v>23</v>
      </c>
    </row>
    <row r="238" spans="1:18" x14ac:dyDescent="0.3">
      <c r="A238" t="s">
        <v>50</v>
      </c>
      <c r="B238" t="s">
        <v>52</v>
      </c>
      <c r="C238">
        <v>199</v>
      </c>
      <c r="D238" t="s">
        <v>20</v>
      </c>
      <c r="E238">
        <v>2020</v>
      </c>
      <c r="F238" t="s">
        <v>21</v>
      </c>
      <c r="G238">
        <v>131</v>
      </c>
      <c r="H238">
        <v>42.4</v>
      </c>
      <c r="I238">
        <v>10.4</v>
      </c>
      <c r="J238">
        <v>157031</v>
      </c>
      <c r="K238">
        <v>28</v>
      </c>
      <c r="L238">
        <v>43969</v>
      </c>
      <c r="M238">
        <v>201000</v>
      </c>
      <c r="N238">
        <v>237744</v>
      </c>
      <c r="O238">
        <v>76</v>
      </c>
      <c r="P238">
        <v>9.3000000000000007</v>
      </c>
      <c r="Q238" t="s">
        <v>22</v>
      </c>
      <c r="R238" t="s">
        <v>23</v>
      </c>
    </row>
    <row r="239" spans="1:18" x14ac:dyDescent="0.3">
      <c r="A239" t="s">
        <v>39</v>
      </c>
      <c r="B239" t="s">
        <v>40</v>
      </c>
      <c r="C239">
        <v>109</v>
      </c>
      <c r="D239" t="s">
        <v>30</v>
      </c>
      <c r="E239">
        <v>2023</v>
      </c>
      <c r="F239" t="s">
        <v>35</v>
      </c>
      <c r="G239">
        <v>97</v>
      </c>
      <c r="H239">
        <v>71.099999999999994</v>
      </c>
      <c r="I239">
        <v>8.1999999999999993</v>
      </c>
      <c r="J239">
        <v>65625</v>
      </c>
      <c r="K239">
        <v>28</v>
      </c>
      <c r="L239">
        <v>18375</v>
      </c>
      <c r="M239">
        <v>84000</v>
      </c>
      <c r="N239">
        <v>97701</v>
      </c>
      <c r="O239">
        <v>66</v>
      </c>
      <c r="P239">
        <v>14.5</v>
      </c>
      <c r="Q239" t="s">
        <v>37</v>
      </c>
      <c r="R239" t="s">
        <v>38</v>
      </c>
    </row>
    <row r="240" spans="1:18" x14ac:dyDescent="0.3">
      <c r="A240" t="s">
        <v>18</v>
      </c>
      <c r="B240" t="s">
        <v>61</v>
      </c>
      <c r="C240">
        <v>124</v>
      </c>
      <c r="D240" t="s">
        <v>30</v>
      </c>
      <c r="E240">
        <v>2023</v>
      </c>
      <c r="F240" t="s">
        <v>21</v>
      </c>
      <c r="G240">
        <v>112</v>
      </c>
      <c r="H240">
        <v>57.5</v>
      </c>
      <c r="I240">
        <v>13.1</v>
      </c>
      <c r="J240">
        <v>73438</v>
      </c>
      <c r="K240">
        <v>28</v>
      </c>
      <c r="L240">
        <v>20562</v>
      </c>
      <c r="M240">
        <v>94000</v>
      </c>
      <c r="N240">
        <v>111612</v>
      </c>
      <c r="O240">
        <v>73</v>
      </c>
      <c r="P240">
        <v>6.2</v>
      </c>
      <c r="Q240" t="s">
        <v>22</v>
      </c>
      <c r="R240" t="s">
        <v>23</v>
      </c>
    </row>
    <row r="241" spans="1:18" x14ac:dyDescent="0.3">
      <c r="A241" t="s">
        <v>42</v>
      </c>
      <c r="B241" t="s">
        <v>110</v>
      </c>
      <c r="C241">
        <v>321</v>
      </c>
      <c r="D241" t="s">
        <v>34</v>
      </c>
      <c r="E241">
        <v>2025</v>
      </c>
      <c r="F241" t="s">
        <v>21</v>
      </c>
      <c r="G241">
        <v>142</v>
      </c>
      <c r="H241">
        <v>31.4</v>
      </c>
      <c r="I241">
        <v>14</v>
      </c>
      <c r="J241">
        <v>332031</v>
      </c>
      <c r="K241">
        <v>28</v>
      </c>
      <c r="L241">
        <v>92969</v>
      </c>
      <c r="M241">
        <v>425000</v>
      </c>
      <c r="N241">
        <v>496025</v>
      </c>
      <c r="O241">
        <v>71</v>
      </c>
      <c r="P241">
        <v>12.6</v>
      </c>
      <c r="Q241" t="s">
        <v>37</v>
      </c>
      <c r="R241" t="s">
        <v>38</v>
      </c>
    </row>
    <row r="242" spans="1:18" x14ac:dyDescent="0.3">
      <c r="A242" t="s">
        <v>39</v>
      </c>
      <c r="B242" t="s">
        <v>93</v>
      </c>
      <c r="C242">
        <v>225</v>
      </c>
      <c r="D242" t="s">
        <v>20</v>
      </c>
      <c r="E242">
        <v>2022</v>
      </c>
      <c r="F242" t="s">
        <v>21</v>
      </c>
      <c r="G242">
        <v>154</v>
      </c>
      <c r="H242">
        <v>31.8</v>
      </c>
      <c r="I242">
        <v>13.3</v>
      </c>
      <c r="J242">
        <v>125781</v>
      </c>
      <c r="K242">
        <v>28</v>
      </c>
      <c r="L242">
        <v>35219</v>
      </c>
      <c r="M242">
        <v>161000</v>
      </c>
      <c r="N242">
        <v>188865</v>
      </c>
      <c r="O242">
        <v>71</v>
      </c>
      <c r="P242">
        <v>5.5</v>
      </c>
      <c r="Q242" t="s">
        <v>22</v>
      </c>
      <c r="R242" t="s">
        <v>23</v>
      </c>
    </row>
    <row r="243" spans="1:18" x14ac:dyDescent="0.3">
      <c r="A243" t="s">
        <v>18</v>
      </c>
      <c r="B243" t="s">
        <v>19</v>
      </c>
      <c r="C243">
        <v>184</v>
      </c>
      <c r="D243" t="s">
        <v>20</v>
      </c>
      <c r="E243">
        <v>2021</v>
      </c>
      <c r="F243" t="s">
        <v>21</v>
      </c>
      <c r="G243">
        <v>127</v>
      </c>
      <c r="H243">
        <v>46.3</v>
      </c>
      <c r="I243">
        <v>11.3</v>
      </c>
      <c r="J243">
        <v>100781</v>
      </c>
      <c r="K243">
        <v>28</v>
      </c>
      <c r="L243">
        <v>28219</v>
      </c>
      <c r="M243">
        <v>129000</v>
      </c>
      <c r="N243">
        <v>147915</v>
      </c>
      <c r="O243">
        <v>83</v>
      </c>
      <c r="P243">
        <v>3.4</v>
      </c>
      <c r="Q243" t="s">
        <v>26</v>
      </c>
      <c r="R243" t="s">
        <v>27</v>
      </c>
    </row>
    <row r="244" spans="1:18" x14ac:dyDescent="0.3">
      <c r="A244" t="s">
        <v>50</v>
      </c>
      <c r="B244" t="s">
        <v>81</v>
      </c>
      <c r="C244">
        <v>199</v>
      </c>
      <c r="D244" t="s">
        <v>20</v>
      </c>
      <c r="E244">
        <v>2024</v>
      </c>
      <c r="F244" t="s">
        <v>21</v>
      </c>
      <c r="G244">
        <v>133</v>
      </c>
      <c r="H244">
        <v>38.799999999999997</v>
      </c>
      <c r="I244">
        <v>13.5</v>
      </c>
      <c r="J244">
        <v>180469</v>
      </c>
      <c r="K244">
        <v>28</v>
      </c>
      <c r="L244">
        <v>50531</v>
      </c>
      <c r="M244">
        <v>231000</v>
      </c>
      <c r="N244">
        <v>263179</v>
      </c>
      <c r="O244">
        <v>74</v>
      </c>
      <c r="P244">
        <v>1.4</v>
      </c>
      <c r="Q244" t="s">
        <v>57</v>
      </c>
      <c r="R244" t="s">
        <v>58</v>
      </c>
    </row>
    <row r="245" spans="1:18" x14ac:dyDescent="0.3">
      <c r="A245" t="s">
        <v>42</v>
      </c>
      <c r="B245" t="s">
        <v>102</v>
      </c>
      <c r="C245">
        <v>113</v>
      </c>
      <c r="D245" t="s">
        <v>30</v>
      </c>
      <c r="E245">
        <v>2024</v>
      </c>
      <c r="F245" t="s">
        <v>31</v>
      </c>
      <c r="G245">
        <v>107</v>
      </c>
      <c r="H245">
        <v>52.1</v>
      </c>
      <c r="I245">
        <v>10.7</v>
      </c>
      <c r="J245">
        <v>59375</v>
      </c>
      <c r="K245">
        <v>28</v>
      </c>
      <c r="L245">
        <v>16625</v>
      </c>
      <c r="M245">
        <v>76000</v>
      </c>
      <c r="N245">
        <v>89455</v>
      </c>
      <c r="O245">
        <v>59</v>
      </c>
      <c r="P245">
        <v>2.4</v>
      </c>
      <c r="Q245" t="s">
        <v>26</v>
      </c>
      <c r="R245" t="s">
        <v>27</v>
      </c>
    </row>
    <row r="246" spans="1:18" x14ac:dyDescent="0.3">
      <c r="A246" t="s">
        <v>32</v>
      </c>
      <c r="B246" t="s">
        <v>88</v>
      </c>
      <c r="C246">
        <v>349</v>
      </c>
      <c r="D246" t="s">
        <v>34</v>
      </c>
      <c r="E246">
        <v>2024</v>
      </c>
      <c r="F246" t="s">
        <v>35</v>
      </c>
      <c r="G246">
        <v>160</v>
      </c>
      <c r="H246">
        <v>32.200000000000003</v>
      </c>
      <c r="I246">
        <v>15.7</v>
      </c>
      <c r="J246">
        <v>145312</v>
      </c>
      <c r="K246">
        <v>28</v>
      </c>
      <c r="L246">
        <v>40688</v>
      </c>
      <c r="M246">
        <v>186000</v>
      </c>
      <c r="N246">
        <v>213807</v>
      </c>
      <c r="O246">
        <v>71</v>
      </c>
      <c r="P246">
        <v>9.4</v>
      </c>
      <c r="Q246" t="s">
        <v>22</v>
      </c>
      <c r="R246" t="s">
        <v>23</v>
      </c>
    </row>
    <row r="247" spans="1:18" x14ac:dyDescent="0.3">
      <c r="A247" t="s">
        <v>18</v>
      </c>
      <c r="B247" t="s">
        <v>19</v>
      </c>
      <c r="C247">
        <v>184</v>
      </c>
      <c r="D247" t="s">
        <v>20</v>
      </c>
      <c r="E247">
        <v>2025</v>
      </c>
      <c r="F247" t="s">
        <v>21</v>
      </c>
      <c r="G247">
        <v>129</v>
      </c>
      <c r="H247">
        <v>44.1</v>
      </c>
      <c r="I247">
        <v>10.5</v>
      </c>
      <c r="J247">
        <v>107031</v>
      </c>
      <c r="K247">
        <v>28</v>
      </c>
      <c r="L247">
        <v>29969</v>
      </c>
      <c r="M247">
        <v>137000</v>
      </c>
      <c r="N247">
        <v>163154</v>
      </c>
      <c r="O247">
        <v>78</v>
      </c>
      <c r="P247">
        <v>9.3000000000000007</v>
      </c>
      <c r="Q247" t="s">
        <v>22</v>
      </c>
      <c r="R247" t="s">
        <v>23</v>
      </c>
    </row>
    <row r="248" spans="1:18" x14ac:dyDescent="0.3">
      <c r="A248" t="s">
        <v>18</v>
      </c>
      <c r="B248" t="s">
        <v>78</v>
      </c>
      <c r="C248">
        <v>184</v>
      </c>
      <c r="D248" t="s">
        <v>20</v>
      </c>
      <c r="E248">
        <v>2023</v>
      </c>
      <c r="F248" t="s">
        <v>21</v>
      </c>
      <c r="G248">
        <v>133</v>
      </c>
      <c r="H248">
        <v>42.1</v>
      </c>
      <c r="I248">
        <v>11.7</v>
      </c>
      <c r="J248">
        <v>112500</v>
      </c>
      <c r="K248">
        <v>28</v>
      </c>
      <c r="L248">
        <v>31500</v>
      </c>
      <c r="M248">
        <v>144000</v>
      </c>
      <c r="N248">
        <v>164168</v>
      </c>
      <c r="O248">
        <v>78</v>
      </c>
      <c r="P248">
        <v>2.9</v>
      </c>
      <c r="Q248" t="s">
        <v>26</v>
      </c>
      <c r="R248" t="s">
        <v>27</v>
      </c>
    </row>
    <row r="249" spans="1:18" x14ac:dyDescent="0.3">
      <c r="A249" t="s">
        <v>42</v>
      </c>
      <c r="B249" t="s">
        <v>54</v>
      </c>
      <c r="C249">
        <v>155</v>
      </c>
      <c r="D249" t="s">
        <v>20</v>
      </c>
      <c r="E249">
        <v>2022</v>
      </c>
      <c r="F249" t="s">
        <v>21</v>
      </c>
      <c r="G249">
        <v>135</v>
      </c>
      <c r="H249">
        <v>42.6</v>
      </c>
      <c r="I249">
        <v>13.4</v>
      </c>
      <c r="J249">
        <v>143750</v>
      </c>
      <c r="K249">
        <v>28</v>
      </c>
      <c r="L249">
        <v>40250</v>
      </c>
      <c r="M249">
        <v>184000</v>
      </c>
      <c r="N249">
        <v>214427</v>
      </c>
      <c r="O249">
        <v>71</v>
      </c>
      <c r="P249">
        <v>3</v>
      </c>
      <c r="Q249" t="s">
        <v>26</v>
      </c>
      <c r="R249" t="s">
        <v>27</v>
      </c>
    </row>
    <row r="250" spans="1:18" x14ac:dyDescent="0.3">
      <c r="A250" t="s">
        <v>28</v>
      </c>
      <c r="B250" t="s">
        <v>98</v>
      </c>
      <c r="C250">
        <v>163</v>
      </c>
      <c r="D250" t="s">
        <v>20</v>
      </c>
      <c r="E250">
        <v>2023</v>
      </c>
      <c r="F250" t="s">
        <v>21</v>
      </c>
      <c r="G250">
        <v>137</v>
      </c>
      <c r="H250">
        <v>45.2</v>
      </c>
      <c r="I250">
        <v>12.7</v>
      </c>
      <c r="J250">
        <v>111719</v>
      </c>
      <c r="K250">
        <v>28</v>
      </c>
      <c r="L250">
        <v>31281</v>
      </c>
      <c r="M250">
        <v>143000</v>
      </c>
      <c r="N250">
        <v>168360</v>
      </c>
      <c r="O250">
        <v>82</v>
      </c>
      <c r="P250">
        <v>10.1</v>
      </c>
      <c r="Q250" t="s">
        <v>37</v>
      </c>
      <c r="R250" t="s">
        <v>38</v>
      </c>
    </row>
    <row r="251" spans="1:18" x14ac:dyDescent="0.3">
      <c r="A251" t="s">
        <v>50</v>
      </c>
      <c r="B251" t="s">
        <v>72</v>
      </c>
      <c r="C251">
        <v>373</v>
      </c>
      <c r="D251" t="s">
        <v>34</v>
      </c>
      <c r="E251">
        <v>2022</v>
      </c>
      <c r="F251" t="s">
        <v>21</v>
      </c>
      <c r="G251">
        <v>208</v>
      </c>
      <c r="H251">
        <v>19.5</v>
      </c>
      <c r="I251">
        <v>14.6</v>
      </c>
      <c r="J251">
        <v>244275</v>
      </c>
      <c r="K251">
        <v>31</v>
      </c>
      <c r="L251">
        <v>75725</v>
      </c>
      <c r="M251">
        <v>320000</v>
      </c>
      <c r="N251">
        <v>366267</v>
      </c>
      <c r="O251">
        <v>74</v>
      </c>
      <c r="P251">
        <v>5.0999999999999996</v>
      </c>
      <c r="Q251" t="s">
        <v>22</v>
      </c>
      <c r="R251" t="s">
        <v>23</v>
      </c>
    </row>
    <row r="252" spans="1:18" x14ac:dyDescent="0.3">
      <c r="A252" t="s">
        <v>39</v>
      </c>
      <c r="B252" t="s">
        <v>71</v>
      </c>
      <c r="C252">
        <v>159</v>
      </c>
      <c r="D252" t="s">
        <v>20</v>
      </c>
      <c r="E252">
        <v>2024</v>
      </c>
      <c r="F252" t="s">
        <v>21</v>
      </c>
      <c r="G252">
        <v>123</v>
      </c>
      <c r="H252">
        <v>42.5</v>
      </c>
      <c r="I252">
        <v>13.3</v>
      </c>
      <c r="J252">
        <v>100000</v>
      </c>
      <c r="K252">
        <v>28</v>
      </c>
      <c r="L252">
        <v>28000</v>
      </c>
      <c r="M252">
        <v>128000</v>
      </c>
      <c r="N252">
        <v>150350</v>
      </c>
      <c r="O252">
        <v>75</v>
      </c>
      <c r="P252">
        <v>2.6</v>
      </c>
      <c r="Q252" t="s">
        <v>26</v>
      </c>
      <c r="R252" t="s">
        <v>27</v>
      </c>
    </row>
    <row r="253" spans="1:18" x14ac:dyDescent="0.3">
      <c r="A253" t="s">
        <v>32</v>
      </c>
      <c r="B253" t="s">
        <v>36</v>
      </c>
      <c r="C253">
        <v>411</v>
      </c>
      <c r="D253" t="s">
        <v>34</v>
      </c>
      <c r="E253">
        <v>2025</v>
      </c>
      <c r="F253" t="s">
        <v>35</v>
      </c>
      <c r="G253">
        <v>187</v>
      </c>
      <c r="H253">
        <v>22.2</v>
      </c>
      <c r="I253">
        <v>18.3</v>
      </c>
      <c r="J253">
        <v>164885</v>
      </c>
      <c r="K253">
        <v>31</v>
      </c>
      <c r="L253">
        <v>51115</v>
      </c>
      <c r="M253">
        <v>216000</v>
      </c>
      <c r="N253">
        <v>253389</v>
      </c>
      <c r="O253">
        <v>71</v>
      </c>
      <c r="P253">
        <v>11.3</v>
      </c>
      <c r="Q253" t="s">
        <v>37</v>
      </c>
      <c r="R253" t="s">
        <v>38</v>
      </c>
    </row>
    <row r="254" spans="1:18" x14ac:dyDescent="0.3">
      <c r="A254" t="s">
        <v>39</v>
      </c>
      <c r="B254" t="s">
        <v>47</v>
      </c>
      <c r="C254">
        <v>312</v>
      </c>
      <c r="D254" t="s">
        <v>34</v>
      </c>
      <c r="E254">
        <v>2025</v>
      </c>
      <c r="F254" t="s">
        <v>21</v>
      </c>
      <c r="G254">
        <v>143</v>
      </c>
      <c r="H254">
        <v>31.5</v>
      </c>
      <c r="I254">
        <v>17.100000000000001</v>
      </c>
      <c r="J254">
        <v>232031</v>
      </c>
      <c r="K254">
        <v>28</v>
      </c>
      <c r="L254">
        <v>64969</v>
      </c>
      <c r="M254">
        <v>297000</v>
      </c>
      <c r="N254">
        <v>333970</v>
      </c>
      <c r="O254">
        <v>72</v>
      </c>
      <c r="P254">
        <v>3.9</v>
      </c>
      <c r="Q254" t="s">
        <v>26</v>
      </c>
      <c r="R254" t="s">
        <v>27</v>
      </c>
    </row>
    <row r="255" spans="1:18" x14ac:dyDescent="0.3">
      <c r="A255" t="s">
        <v>32</v>
      </c>
      <c r="B255" t="s">
        <v>33</v>
      </c>
      <c r="C255">
        <v>346</v>
      </c>
      <c r="D255" t="s">
        <v>34</v>
      </c>
      <c r="E255">
        <v>2024</v>
      </c>
      <c r="F255" t="s">
        <v>35</v>
      </c>
      <c r="G255">
        <v>146</v>
      </c>
      <c r="H255">
        <v>29.2</v>
      </c>
      <c r="I255">
        <v>15.5</v>
      </c>
      <c r="J255">
        <v>153125</v>
      </c>
      <c r="K255">
        <v>28</v>
      </c>
      <c r="L255">
        <v>42875</v>
      </c>
      <c r="M255">
        <v>196000</v>
      </c>
      <c r="N255">
        <v>228546</v>
      </c>
      <c r="O255">
        <v>69</v>
      </c>
      <c r="P255">
        <v>12.3</v>
      </c>
      <c r="Q255" t="s">
        <v>37</v>
      </c>
      <c r="R255" t="s">
        <v>38</v>
      </c>
    </row>
    <row r="256" spans="1:18" x14ac:dyDescent="0.3">
      <c r="A256" t="s">
        <v>39</v>
      </c>
      <c r="B256" t="s">
        <v>64</v>
      </c>
      <c r="C256">
        <v>159</v>
      </c>
      <c r="D256" t="s">
        <v>20</v>
      </c>
      <c r="E256">
        <v>2025</v>
      </c>
      <c r="F256" t="s">
        <v>35</v>
      </c>
      <c r="G256">
        <v>128</v>
      </c>
      <c r="H256">
        <v>39.9</v>
      </c>
      <c r="I256">
        <v>13.3</v>
      </c>
      <c r="J256">
        <v>95312</v>
      </c>
      <c r="K256">
        <v>28</v>
      </c>
      <c r="L256">
        <v>26688</v>
      </c>
      <c r="M256">
        <v>122000</v>
      </c>
      <c r="N256">
        <v>141828</v>
      </c>
      <c r="O256">
        <v>67</v>
      </c>
      <c r="P256">
        <v>14.8</v>
      </c>
      <c r="Q256" t="s">
        <v>37</v>
      </c>
      <c r="R256" t="s">
        <v>38</v>
      </c>
    </row>
    <row r="257" spans="1:18" x14ac:dyDescent="0.3">
      <c r="A257" t="s">
        <v>18</v>
      </c>
      <c r="B257" t="s">
        <v>44</v>
      </c>
      <c r="C257">
        <v>348</v>
      </c>
      <c r="D257" t="s">
        <v>34</v>
      </c>
      <c r="E257">
        <v>2025</v>
      </c>
      <c r="F257" t="s">
        <v>21</v>
      </c>
      <c r="G257">
        <v>144</v>
      </c>
      <c r="H257">
        <v>34.799999999999997</v>
      </c>
      <c r="I257">
        <v>15.3</v>
      </c>
      <c r="J257">
        <v>176562</v>
      </c>
      <c r="K257">
        <v>28</v>
      </c>
      <c r="L257">
        <v>49438</v>
      </c>
      <c r="M257">
        <v>226000</v>
      </c>
      <c r="N257">
        <v>265250</v>
      </c>
      <c r="O257">
        <v>74</v>
      </c>
      <c r="P257">
        <v>4.5</v>
      </c>
      <c r="Q257" t="s">
        <v>26</v>
      </c>
      <c r="R257" t="s">
        <v>27</v>
      </c>
    </row>
    <row r="258" spans="1:18" x14ac:dyDescent="0.3">
      <c r="A258" t="s">
        <v>39</v>
      </c>
      <c r="B258" t="s">
        <v>40</v>
      </c>
      <c r="C258">
        <v>109</v>
      </c>
      <c r="D258" t="s">
        <v>30</v>
      </c>
      <c r="E258">
        <v>2025</v>
      </c>
      <c r="F258" t="s">
        <v>35</v>
      </c>
      <c r="G258">
        <v>98</v>
      </c>
      <c r="H258">
        <v>72.2</v>
      </c>
      <c r="I258">
        <v>9.6</v>
      </c>
      <c r="J258">
        <v>66406</v>
      </c>
      <c r="K258">
        <v>28</v>
      </c>
      <c r="L258">
        <v>18594</v>
      </c>
      <c r="M258">
        <v>85000</v>
      </c>
      <c r="N258">
        <v>101846</v>
      </c>
      <c r="O258">
        <v>67</v>
      </c>
      <c r="P258">
        <v>7.3</v>
      </c>
      <c r="Q258" t="s">
        <v>22</v>
      </c>
      <c r="R258" t="s">
        <v>23</v>
      </c>
    </row>
    <row r="259" spans="1:18" x14ac:dyDescent="0.3">
      <c r="A259" t="s">
        <v>18</v>
      </c>
      <c r="B259" t="s">
        <v>103</v>
      </c>
      <c r="C259">
        <v>124</v>
      </c>
      <c r="D259" t="s">
        <v>30</v>
      </c>
      <c r="E259">
        <v>2025</v>
      </c>
      <c r="F259" t="s">
        <v>35</v>
      </c>
      <c r="G259">
        <v>120</v>
      </c>
      <c r="H259">
        <v>54.4</v>
      </c>
      <c r="I259">
        <v>10.4</v>
      </c>
      <c r="J259">
        <v>69531</v>
      </c>
      <c r="K259">
        <v>28</v>
      </c>
      <c r="L259">
        <v>19469</v>
      </c>
      <c r="M259">
        <v>89000</v>
      </c>
      <c r="N259">
        <v>106207</v>
      </c>
      <c r="O259">
        <v>64</v>
      </c>
      <c r="P259">
        <v>9.1</v>
      </c>
      <c r="Q259" t="s">
        <v>37</v>
      </c>
      <c r="R259" t="s">
        <v>38</v>
      </c>
    </row>
    <row r="260" spans="1:18" x14ac:dyDescent="0.3">
      <c r="A260" t="s">
        <v>42</v>
      </c>
      <c r="B260" t="s">
        <v>43</v>
      </c>
      <c r="C260">
        <v>149</v>
      </c>
      <c r="D260" t="s">
        <v>20</v>
      </c>
      <c r="E260">
        <v>2022</v>
      </c>
      <c r="F260" t="s">
        <v>35</v>
      </c>
      <c r="G260">
        <v>118</v>
      </c>
      <c r="H260">
        <v>53.6</v>
      </c>
      <c r="I260">
        <v>13.3</v>
      </c>
      <c r="J260">
        <v>103906</v>
      </c>
      <c r="K260">
        <v>28</v>
      </c>
      <c r="L260">
        <v>29094</v>
      </c>
      <c r="M260">
        <v>133000</v>
      </c>
      <c r="N260">
        <v>157790</v>
      </c>
      <c r="O260">
        <v>65</v>
      </c>
      <c r="P260">
        <v>7.9</v>
      </c>
      <c r="Q260" t="s">
        <v>37</v>
      </c>
      <c r="R260" t="s">
        <v>38</v>
      </c>
    </row>
    <row r="261" spans="1:18" x14ac:dyDescent="0.3">
      <c r="A261" t="s">
        <v>32</v>
      </c>
      <c r="B261" t="s">
        <v>46</v>
      </c>
      <c r="C261">
        <v>349</v>
      </c>
      <c r="D261" t="s">
        <v>34</v>
      </c>
      <c r="E261">
        <v>2025</v>
      </c>
      <c r="F261" t="s">
        <v>35</v>
      </c>
      <c r="G261">
        <v>164</v>
      </c>
      <c r="H261">
        <v>35</v>
      </c>
      <c r="I261">
        <v>18.5</v>
      </c>
      <c r="J261">
        <v>129688</v>
      </c>
      <c r="K261">
        <v>28</v>
      </c>
      <c r="L261">
        <v>36312</v>
      </c>
      <c r="M261">
        <v>166000</v>
      </c>
      <c r="N261">
        <v>191364</v>
      </c>
      <c r="O261">
        <v>72</v>
      </c>
      <c r="P261">
        <v>1.6</v>
      </c>
      <c r="Q261" t="s">
        <v>57</v>
      </c>
      <c r="R261" t="s">
        <v>58</v>
      </c>
    </row>
    <row r="262" spans="1:18" x14ac:dyDescent="0.3">
      <c r="A262" t="s">
        <v>42</v>
      </c>
      <c r="B262" t="s">
        <v>43</v>
      </c>
      <c r="C262">
        <v>149</v>
      </c>
      <c r="D262" t="s">
        <v>20</v>
      </c>
      <c r="E262">
        <v>2021</v>
      </c>
      <c r="F262" t="s">
        <v>35</v>
      </c>
      <c r="G262">
        <v>118</v>
      </c>
      <c r="H262">
        <v>48.4</v>
      </c>
      <c r="I262">
        <v>13.5</v>
      </c>
      <c r="J262">
        <v>93750</v>
      </c>
      <c r="K262">
        <v>28</v>
      </c>
      <c r="L262">
        <v>26250</v>
      </c>
      <c r="M262">
        <v>120000</v>
      </c>
      <c r="N262">
        <v>141909</v>
      </c>
      <c r="O262">
        <v>65</v>
      </c>
      <c r="P262">
        <v>14.9</v>
      </c>
      <c r="Q262" t="s">
        <v>37</v>
      </c>
      <c r="R262" t="s">
        <v>38</v>
      </c>
    </row>
    <row r="263" spans="1:18" x14ac:dyDescent="0.3">
      <c r="A263" t="s">
        <v>39</v>
      </c>
      <c r="B263" t="s">
        <v>47</v>
      </c>
      <c r="C263">
        <v>312</v>
      </c>
      <c r="D263" t="s">
        <v>34</v>
      </c>
      <c r="E263">
        <v>2025</v>
      </c>
      <c r="F263" t="s">
        <v>21</v>
      </c>
      <c r="G263">
        <v>142</v>
      </c>
      <c r="H263">
        <v>30.9</v>
      </c>
      <c r="I263">
        <v>14.2</v>
      </c>
      <c r="J263">
        <v>207031</v>
      </c>
      <c r="K263">
        <v>28</v>
      </c>
      <c r="L263">
        <v>57969</v>
      </c>
      <c r="M263">
        <v>265000</v>
      </c>
      <c r="N263">
        <v>310170</v>
      </c>
      <c r="O263">
        <v>74</v>
      </c>
      <c r="P263">
        <v>10.3</v>
      </c>
      <c r="Q263" t="s">
        <v>37</v>
      </c>
      <c r="R263" t="s">
        <v>38</v>
      </c>
    </row>
    <row r="264" spans="1:18" x14ac:dyDescent="0.3">
      <c r="A264" t="s">
        <v>50</v>
      </c>
      <c r="B264" t="s">
        <v>94</v>
      </c>
      <c r="C264">
        <v>124</v>
      </c>
      <c r="D264" t="s">
        <v>20</v>
      </c>
      <c r="E264">
        <v>2020</v>
      </c>
      <c r="F264" t="s">
        <v>21</v>
      </c>
      <c r="G264">
        <v>108</v>
      </c>
      <c r="H264">
        <v>57.1</v>
      </c>
      <c r="I264">
        <v>10.5</v>
      </c>
      <c r="J264">
        <v>139844</v>
      </c>
      <c r="K264">
        <v>28</v>
      </c>
      <c r="L264">
        <v>39156</v>
      </c>
      <c r="M264">
        <v>179000</v>
      </c>
      <c r="N264">
        <v>210350</v>
      </c>
      <c r="O264">
        <v>70</v>
      </c>
      <c r="P264">
        <v>4</v>
      </c>
      <c r="Q264" t="s">
        <v>26</v>
      </c>
      <c r="R264" t="s">
        <v>27</v>
      </c>
    </row>
    <row r="265" spans="1:18" x14ac:dyDescent="0.3">
      <c r="A265" t="s">
        <v>24</v>
      </c>
      <c r="B265" t="s">
        <v>74</v>
      </c>
      <c r="C265">
        <v>199</v>
      </c>
      <c r="D265" t="s">
        <v>20</v>
      </c>
      <c r="E265">
        <v>2021</v>
      </c>
      <c r="F265" t="s">
        <v>21</v>
      </c>
      <c r="G265">
        <v>133</v>
      </c>
      <c r="H265">
        <v>45.2</v>
      </c>
      <c r="I265">
        <v>11.5</v>
      </c>
      <c r="J265">
        <v>137500</v>
      </c>
      <c r="K265">
        <v>28</v>
      </c>
      <c r="L265">
        <v>38500</v>
      </c>
      <c r="M265">
        <v>176000</v>
      </c>
      <c r="N265">
        <v>201929</v>
      </c>
      <c r="O265">
        <v>75</v>
      </c>
      <c r="P265">
        <v>7.7</v>
      </c>
      <c r="Q265" t="s">
        <v>22</v>
      </c>
      <c r="R265" t="s">
        <v>23</v>
      </c>
    </row>
    <row r="266" spans="1:18" x14ac:dyDescent="0.3">
      <c r="A266" t="s">
        <v>18</v>
      </c>
      <c r="B266" t="s">
        <v>95</v>
      </c>
      <c r="C266">
        <v>160</v>
      </c>
      <c r="D266" t="s">
        <v>20</v>
      </c>
      <c r="E266">
        <v>2021</v>
      </c>
      <c r="F266" t="s">
        <v>35</v>
      </c>
      <c r="G266">
        <v>124</v>
      </c>
      <c r="H266">
        <v>44.8</v>
      </c>
      <c r="I266">
        <v>10.3</v>
      </c>
      <c r="J266">
        <v>84375</v>
      </c>
      <c r="K266">
        <v>28</v>
      </c>
      <c r="L266">
        <v>23625</v>
      </c>
      <c r="M266">
        <v>108000</v>
      </c>
      <c r="N266">
        <v>125681</v>
      </c>
      <c r="O266">
        <v>72</v>
      </c>
      <c r="P266">
        <v>14.9</v>
      </c>
      <c r="Q266" t="s">
        <v>37</v>
      </c>
      <c r="R266" t="s">
        <v>38</v>
      </c>
    </row>
    <row r="267" spans="1:18" x14ac:dyDescent="0.3">
      <c r="A267" t="s">
        <v>28</v>
      </c>
      <c r="B267" t="s">
        <v>91</v>
      </c>
      <c r="C267">
        <v>97</v>
      </c>
      <c r="D267" t="s">
        <v>30</v>
      </c>
      <c r="E267">
        <v>2023</v>
      </c>
      <c r="F267" t="s">
        <v>31</v>
      </c>
      <c r="G267">
        <v>89</v>
      </c>
      <c r="H267">
        <v>72.2</v>
      </c>
      <c r="I267">
        <v>9.6999999999999993</v>
      </c>
      <c r="J267">
        <v>55469</v>
      </c>
      <c r="K267">
        <v>28</v>
      </c>
      <c r="L267">
        <v>15531</v>
      </c>
      <c r="M267">
        <v>71000</v>
      </c>
      <c r="N267">
        <v>82647</v>
      </c>
      <c r="O267">
        <v>62</v>
      </c>
      <c r="P267">
        <v>9.6</v>
      </c>
      <c r="Q267" t="s">
        <v>37</v>
      </c>
      <c r="R267" t="s">
        <v>38</v>
      </c>
    </row>
    <row r="268" spans="1:18" x14ac:dyDescent="0.3">
      <c r="A268" t="s">
        <v>18</v>
      </c>
      <c r="B268" t="s">
        <v>103</v>
      </c>
      <c r="C268">
        <v>124</v>
      </c>
      <c r="D268" t="s">
        <v>30</v>
      </c>
      <c r="E268">
        <v>2021</v>
      </c>
      <c r="F268" t="s">
        <v>35</v>
      </c>
      <c r="G268">
        <v>118</v>
      </c>
      <c r="H268">
        <v>53.5</v>
      </c>
      <c r="I268">
        <v>11.1</v>
      </c>
      <c r="J268">
        <v>75000</v>
      </c>
      <c r="K268">
        <v>28</v>
      </c>
      <c r="L268">
        <v>21000</v>
      </c>
      <c r="M268">
        <v>96000</v>
      </c>
      <c r="N268">
        <v>112324</v>
      </c>
      <c r="O268">
        <v>64</v>
      </c>
      <c r="P268">
        <v>12.1</v>
      </c>
      <c r="Q268" t="s">
        <v>37</v>
      </c>
      <c r="R268" t="s">
        <v>38</v>
      </c>
    </row>
    <row r="269" spans="1:18" x14ac:dyDescent="0.3">
      <c r="A269" t="s">
        <v>18</v>
      </c>
      <c r="B269" t="s">
        <v>68</v>
      </c>
      <c r="C269">
        <v>109</v>
      </c>
      <c r="D269" t="s">
        <v>30</v>
      </c>
      <c r="E269">
        <v>2021</v>
      </c>
      <c r="F269" t="s">
        <v>31</v>
      </c>
      <c r="G269">
        <v>85</v>
      </c>
      <c r="H269">
        <v>74.7</v>
      </c>
      <c r="I269">
        <v>9</v>
      </c>
      <c r="J269">
        <v>58594</v>
      </c>
      <c r="K269">
        <v>28</v>
      </c>
      <c r="L269">
        <v>16406</v>
      </c>
      <c r="M269">
        <v>75000</v>
      </c>
      <c r="N269">
        <v>89302</v>
      </c>
      <c r="O269">
        <v>67</v>
      </c>
      <c r="P269">
        <v>13.3</v>
      </c>
      <c r="Q269" t="s">
        <v>37</v>
      </c>
      <c r="R269" t="s">
        <v>38</v>
      </c>
    </row>
    <row r="270" spans="1:18" x14ac:dyDescent="0.3">
      <c r="A270" t="s">
        <v>42</v>
      </c>
      <c r="B270" t="s">
        <v>87</v>
      </c>
      <c r="C270">
        <v>321</v>
      </c>
      <c r="D270" t="s">
        <v>34</v>
      </c>
      <c r="E270">
        <v>2024</v>
      </c>
      <c r="F270" t="s">
        <v>21</v>
      </c>
      <c r="G270">
        <v>143</v>
      </c>
      <c r="H270">
        <v>32</v>
      </c>
      <c r="I270">
        <v>13.5</v>
      </c>
      <c r="J270">
        <v>341406</v>
      </c>
      <c r="K270">
        <v>28</v>
      </c>
      <c r="L270">
        <v>95594</v>
      </c>
      <c r="M270">
        <v>437000</v>
      </c>
      <c r="N270">
        <v>500545</v>
      </c>
      <c r="O270">
        <v>73</v>
      </c>
      <c r="P270">
        <v>8</v>
      </c>
      <c r="Q270" t="s">
        <v>22</v>
      </c>
      <c r="R270" t="s">
        <v>23</v>
      </c>
    </row>
    <row r="271" spans="1:18" x14ac:dyDescent="0.3">
      <c r="A271" t="s">
        <v>28</v>
      </c>
      <c r="B271" t="s">
        <v>91</v>
      </c>
      <c r="C271">
        <v>97</v>
      </c>
      <c r="D271" t="s">
        <v>30</v>
      </c>
      <c r="E271">
        <v>2020</v>
      </c>
      <c r="F271" t="s">
        <v>31</v>
      </c>
      <c r="G271">
        <v>90</v>
      </c>
      <c r="H271">
        <v>68.7</v>
      </c>
      <c r="I271">
        <v>8</v>
      </c>
      <c r="J271">
        <v>58594</v>
      </c>
      <c r="K271">
        <v>28</v>
      </c>
      <c r="L271">
        <v>16406</v>
      </c>
      <c r="M271">
        <v>75000</v>
      </c>
      <c r="N271">
        <v>90578</v>
      </c>
      <c r="O271">
        <v>63</v>
      </c>
      <c r="P271">
        <v>14.4</v>
      </c>
      <c r="Q271" t="s">
        <v>37</v>
      </c>
      <c r="R271" t="s">
        <v>38</v>
      </c>
    </row>
    <row r="272" spans="1:18" x14ac:dyDescent="0.3">
      <c r="A272" t="s">
        <v>28</v>
      </c>
      <c r="B272" t="s">
        <v>49</v>
      </c>
      <c r="C272">
        <v>199</v>
      </c>
      <c r="D272" t="s">
        <v>20</v>
      </c>
      <c r="E272">
        <v>2023</v>
      </c>
      <c r="F272" t="s">
        <v>21</v>
      </c>
      <c r="G272">
        <v>140</v>
      </c>
      <c r="H272">
        <v>42.1</v>
      </c>
      <c r="I272">
        <v>12.8</v>
      </c>
      <c r="J272">
        <v>111719</v>
      </c>
      <c r="K272">
        <v>28</v>
      </c>
      <c r="L272">
        <v>31281</v>
      </c>
      <c r="M272">
        <v>143000</v>
      </c>
      <c r="N272">
        <v>166233</v>
      </c>
      <c r="O272">
        <v>76</v>
      </c>
      <c r="P272">
        <v>11.7</v>
      </c>
      <c r="Q272" t="s">
        <v>37</v>
      </c>
      <c r="R272" t="s">
        <v>38</v>
      </c>
    </row>
    <row r="273" spans="1:18" x14ac:dyDescent="0.3">
      <c r="A273" t="s">
        <v>18</v>
      </c>
      <c r="B273" t="s">
        <v>68</v>
      </c>
      <c r="C273">
        <v>109</v>
      </c>
      <c r="D273" t="s">
        <v>30</v>
      </c>
      <c r="E273">
        <v>2023</v>
      </c>
      <c r="F273" t="s">
        <v>31</v>
      </c>
      <c r="G273">
        <v>91</v>
      </c>
      <c r="H273">
        <v>66.8</v>
      </c>
      <c r="I273">
        <v>9.1999999999999993</v>
      </c>
      <c r="J273">
        <v>62500</v>
      </c>
      <c r="K273">
        <v>28</v>
      </c>
      <c r="L273">
        <v>17500</v>
      </c>
      <c r="M273">
        <v>80000</v>
      </c>
      <c r="N273">
        <v>93107</v>
      </c>
      <c r="O273">
        <v>59</v>
      </c>
      <c r="P273">
        <v>8.5</v>
      </c>
      <c r="Q273" t="s">
        <v>37</v>
      </c>
      <c r="R273" t="s">
        <v>38</v>
      </c>
    </row>
    <row r="274" spans="1:18" x14ac:dyDescent="0.3">
      <c r="A274" t="s">
        <v>28</v>
      </c>
      <c r="B274" t="s">
        <v>49</v>
      </c>
      <c r="C274">
        <v>199</v>
      </c>
      <c r="D274" t="s">
        <v>20</v>
      </c>
      <c r="E274">
        <v>2024</v>
      </c>
      <c r="F274" t="s">
        <v>21</v>
      </c>
      <c r="G274">
        <v>122</v>
      </c>
      <c r="H274">
        <v>37.5</v>
      </c>
      <c r="I274">
        <v>12.4</v>
      </c>
      <c r="J274">
        <v>117188</v>
      </c>
      <c r="K274">
        <v>28</v>
      </c>
      <c r="L274">
        <v>32812</v>
      </c>
      <c r="M274">
        <v>150000</v>
      </c>
      <c r="N274">
        <v>174962</v>
      </c>
      <c r="O274">
        <v>74</v>
      </c>
      <c r="P274">
        <v>2.6</v>
      </c>
      <c r="Q274" t="s">
        <v>26</v>
      </c>
      <c r="R274" t="s">
        <v>27</v>
      </c>
    </row>
    <row r="275" spans="1:18" x14ac:dyDescent="0.3">
      <c r="A275" t="s">
        <v>39</v>
      </c>
      <c r="B275" t="s">
        <v>93</v>
      </c>
      <c r="C275">
        <v>225</v>
      </c>
      <c r="D275" t="s">
        <v>20</v>
      </c>
      <c r="E275">
        <v>2022</v>
      </c>
      <c r="F275" t="s">
        <v>21</v>
      </c>
      <c r="G275">
        <v>162</v>
      </c>
      <c r="H275">
        <v>33.6</v>
      </c>
      <c r="I275">
        <v>16.7</v>
      </c>
      <c r="J275">
        <v>132031</v>
      </c>
      <c r="K275">
        <v>28</v>
      </c>
      <c r="L275">
        <v>36969</v>
      </c>
      <c r="M275">
        <v>169000</v>
      </c>
      <c r="N275">
        <v>194683</v>
      </c>
      <c r="O275">
        <v>64</v>
      </c>
      <c r="P275">
        <v>3.3</v>
      </c>
      <c r="Q275" t="s">
        <v>26</v>
      </c>
      <c r="R275" t="s">
        <v>27</v>
      </c>
    </row>
    <row r="276" spans="1:18" x14ac:dyDescent="0.3">
      <c r="A276" t="s">
        <v>39</v>
      </c>
      <c r="B276" t="s">
        <v>60</v>
      </c>
      <c r="C276">
        <v>109</v>
      </c>
      <c r="D276" t="s">
        <v>30</v>
      </c>
      <c r="E276">
        <v>2023</v>
      </c>
      <c r="F276" t="s">
        <v>35</v>
      </c>
      <c r="G276">
        <v>88</v>
      </c>
      <c r="H276">
        <v>73.900000000000006</v>
      </c>
      <c r="I276">
        <v>8.5</v>
      </c>
      <c r="J276">
        <v>59375</v>
      </c>
      <c r="K276">
        <v>28</v>
      </c>
      <c r="L276">
        <v>16625</v>
      </c>
      <c r="M276">
        <v>76000</v>
      </c>
      <c r="N276">
        <v>89033</v>
      </c>
      <c r="O276">
        <v>61</v>
      </c>
      <c r="P276">
        <v>5.7</v>
      </c>
      <c r="Q276" t="s">
        <v>37</v>
      </c>
      <c r="R276" t="s">
        <v>38</v>
      </c>
    </row>
    <row r="277" spans="1:18" x14ac:dyDescent="0.3">
      <c r="A277" t="s">
        <v>28</v>
      </c>
      <c r="B277" t="s">
        <v>49</v>
      </c>
      <c r="C277">
        <v>199</v>
      </c>
      <c r="D277" t="s">
        <v>20</v>
      </c>
      <c r="E277">
        <v>2024</v>
      </c>
      <c r="F277" t="s">
        <v>21</v>
      </c>
      <c r="G277">
        <v>131</v>
      </c>
      <c r="H277">
        <v>41.5</v>
      </c>
      <c r="I277">
        <v>10.7</v>
      </c>
      <c r="J277">
        <v>116406</v>
      </c>
      <c r="K277">
        <v>28</v>
      </c>
      <c r="L277">
        <v>32594</v>
      </c>
      <c r="M277">
        <v>149000</v>
      </c>
      <c r="N277">
        <v>177103</v>
      </c>
      <c r="O277">
        <v>68</v>
      </c>
      <c r="P277">
        <v>8</v>
      </c>
      <c r="Q277" t="s">
        <v>22</v>
      </c>
      <c r="R277" t="s">
        <v>23</v>
      </c>
    </row>
    <row r="278" spans="1:18" x14ac:dyDescent="0.3">
      <c r="A278" t="s">
        <v>24</v>
      </c>
      <c r="B278" t="s">
        <v>107</v>
      </c>
      <c r="C278">
        <v>102</v>
      </c>
      <c r="D278" t="s">
        <v>30</v>
      </c>
      <c r="E278">
        <v>2020</v>
      </c>
      <c r="F278" t="s">
        <v>31</v>
      </c>
      <c r="G278">
        <v>85</v>
      </c>
      <c r="H278">
        <v>63.5</v>
      </c>
      <c r="I278">
        <v>8.5</v>
      </c>
      <c r="J278">
        <v>45312</v>
      </c>
      <c r="K278">
        <v>28</v>
      </c>
      <c r="L278">
        <v>12688</v>
      </c>
      <c r="M278">
        <v>58000</v>
      </c>
      <c r="N278">
        <v>70244</v>
      </c>
      <c r="O278">
        <v>55</v>
      </c>
      <c r="P278">
        <v>13</v>
      </c>
      <c r="Q278" t="s">
        <v>37</v>
      </c>
      <c r="R278" t="s">
        <v>38</v>
      </c>
    </row>
    <row r="279" spans="1:18" x14ac:dyDescent="0.3">
      <c r="A279" t="s">
        <v>42</v>
      </c>
      <c r="B279" t="s">
        <v>70</v>
      </c>
      <c r="C279">
        <v>249</v>
      </c>
      <c r="D279" t="s">
        <v>20</v>
      </c>
      <c r="E279">
        <v>2022</v>
      </c>
      <c r="F279" t="s">
        <v>21</v>
      </c>
      <c r="G279">
        <v>162</v>
      </c>
      <c r="H279">
        <v>32.4</v>
      </c>
      <c r="I279">
        <v>14.7</v>
      </c>
      <c r="J279">
        <v>125781</v>
      </c>
      <c r="K279">
        <v>28</v>
      </c>
      <c r="L279">
        <v>35219</v>
      </c>
      <c r="M279">
        <v>161000</v>
      </c>
      <c r="N279">
        <v>187357</v>
      </c>
      <c r="O279">
        <v>75</v>
      </c>
      <c r="P279">
        <v>6.9</v>
      </c>
      <c r="Q279" t="s">
        <v>22</v>
      </c>
      <c r="R279" t="s">
        <v>23</v>
      </c>
    </row>
    <row r="280" spans="1:18" x14ac:dyDescent="0.3">
      <c r="A280" t="s">
        <v>32</v>
      </c>
      <c r="B280" t="s">
        <v>66</v>
      </c>
      <c r="C280">
        <v>349</v>
      </c>
      <c r="D280" t="s">
        <v>34</v>
      </c>
      <c r="E280">
        <v>2024</v>
      </c>
      <c r="F280" t="s">
        <v>35</v>
      </c>
      <c r="G280">
        <v>141</v>
      </c>
      <c r="H280">
        <v>33.299999999999997</v>
      </c>
      <c r="I280">
        <v>19.899999999999999</v>
      </c>
      <c r="J280">
        <v>157812</v>
      </c>
      <c r="K280">
        <v>28</v>
      </c>
      <c r="L280">
        <v>44188</v>
      </c>
      <c r="M280">
        <v>202000</v>
      </c>
      <c r="N280">
        <v>230411</v>
      </c>
      <c r="O280">
        <v>68</v>
      </c>
      <c r="P280">
        <v>4.0999999999999996</v>
      </c>
      <c r="Q280" t="s">
        <v>26</v>
      </c>
      <c r="R280" t="s">
        <v>27</v>
      </c>
    </row>
    <row r="281" spans="1:18" x14ac:dyDescent="0.3">
      <c r="A281" t="s">
        <v>50</v>
      </c>
      <c r="B281" t="s">
        <v>52</v>
      </c>
      <c r="C281">
        <v>199</v>
      </c>
      <c r="D281" t="s">
        <v>20</v>
      </c>
      <c r="E281">
        <v>2021</v>
      </c>
      <c r="F281" t="s">
        <v>21</v>
      </c>
      <c r="G281">
        <v>137</v>
      </c>
      <c r="H281">
        <v>40.299999999999997</v>
      </c>
      <c r="I281">
        <v>11.2</v>
      </c>
      <c r="J281">
        <v>145312</v>
      </c>
      <c r="K281">
        <v>28</v>
      </c>
      <c r="L281">
        <v>40688</v>
      </c>
      <c r="M281">
        <v>186000</v>
      </c>
      <c r="N281">
        <v>214242</v>
      </c>
      <c r="O281">
        <v>75</v>
      </c>
      <c r="P281">
        <v>1.1000000000000001</v>
      </c>
      <c r="Q281" t="s">
        <v>57</v>
      </c>
      <c r="R281" t="s">
        <v>58</v>
      </c>
    </row>
    <row r="282" spans="1:18" x14ac:dyDescent="0.3">
      <c r="A282" t="s">
        <v>39</v>
      </c>
      <c r="B282" t="s">
        <v>47</v>
      </c>
      <c r="C282">
        <v>312</v>
      </c>
      <c r="D282" t="s">
        <v>34</v>
      </c>
      <c r="E282">
        <v>2024</v>
      </c>
      <c r="F282" t="s">
        <v>21</v>
      </c>
      <c r="G282">
        <v>164</v>
      </c>
      <c r="H282">
        <v>35.799999999999997</v>
      </c>
      <c r="I282">
        <v>18.3</v>
      </c>
      <c r="J282">
        <v>227344</v>
      </c>
      <c r="K282">
        <v>28</v>
      </c>
      <c r="L282">
        <v>63656</v>
      </c>
      <c r="M282">
        <v>291000</v>
      </c>
      <c r="N282">
        <v>331997</v>
      </c>
      <c r="O282">
        <v>78</v>
      </c>
      <c r="P282">
        <v>11.3</v>
      </c>
      <c r="Q282" t="s">
        <v>37</v>
      </c>
      <c r="R282" t="s">
        <v>38</v>
      </c>
    </row>
    <row r="283" spans="1:18" x14ac:dyDescent="0.3">
      <c r="A283" t="s">
        <v>39</v>
      </c>
      <c r="B283" t="s">
        <v>40</v>
      </c>
      <c r="C283">
        <v>109</v>
      </c>
      <c r="D283" t="s">
        <v>30</v>
      </c>
      <c r="E283">
        <v>2025</v>
      </c>
      <c r="F283" t="s">
        <v>35</v>
      </c>
      <c r="G283">
        <v>85</v>
      </c>
      <c r="H283">
        <v>67.400000000000006</v>
      </c>
      <c r="I283">
        <v>8.8000000000000007</v>
      </c>
      <c r="J283">
        <v>60156</v>
      </c>
      <c r="K283">
        <v>28</v>
      </c>
      <c r="L283">
        <v>16844</v>
      </c>
      <c r="M283">
        <v>77000</v>
      </c>
      <c r="N283">
        <v>92597</v>
      </c>
      <c r="O283">
        <v>66</v>
      </c>
      <c r="P283">
        <v>1</v>
      </c>
      <c r="Q283" t="s">
        <v>57</v>
      </c>
      <c r="R283" t="s">
        <v>58</v>
      </c>
    </row>
    <row r="284" spans="1:18" x14ac:dyDescent="0.3">
      <c r="A284" t="s">
        <v>39</v>
      </c>
      <c r="B284" t="s">
        <v>93</v>
      </c>
      <c r="C284">
        <v>225</v>
      </c>
      <c r="D284" t="s">
        <v>20</v>
      </c>
      <c r="E284">
        <v>2021</v>
      </c>
      <c r="F284" t="s">
        <v>21</v>
      </c>
      <c r="G284">
        <v>144</v>
      </c>
      <c r="H284">
        <v>35.5</v>
      </c>
      <c r="I284">
        <v>19.3</v>
      </c>
      <c r="J284">
        <v>121094</v>
      </c>
      <c r="K284">
        <v>28</v>
      </c>
      <c r="L284">
        <v>33906</v>
      </c>
      <c r="M284">
        <v>155000</v>
      </c>
      <c r="N284">
        <v>180088</v>
      </c>
      <c r="O284">
        <v>74</v>
      </c>
      <c r="P284">
        <v>2.2999999999999998</v>
      </c>
      <c r="Q284" t="s">
        <v>26</v>
      </c>
      <c r="R284" t="s">
        <v>27</v>
      </c>
    </row>
    <row r="285" spans="1:18" x14ac:dyDescent="0.3">
      <c r="A285" t="s">
        <v>55</v>
      </c>
      <c r="B285" t="s">
        <v>96</v>
      </c>
      <c r="C285">
        <v>124</v>
      </c>
      <c r="D285" t="s">
        <v>30</v>
      </c>
      <c r="E285">
        <v>2020</v>
      </c>
      <c r="F285" t="s">
        <v>35</v>
      </c>
      <c r="G285">
        <v>109</v>
      </c>
      <c r="H285">
        <v>56.1</v>
      </c>
      <c r="I285">
        <v>12.4</v>
      </c>
      <c r="J285">
        <v>69531</v>
      </c>
      <c r="K285">
        <v>28</v>
      </c>
      <c r="L285">
        <v>19469</v>
      </c>
      <c r="M285">
        <v>89000</v>
      </c>
      <c r="N285">
        <v>105141</v>
      </c>
      <c r="O285">
        <v>65</v>
      </c>
      <c r="P285">
        <v>12.5</v>
      </c>
      <c r="Q285" t="s">
        <v>37</v>
      </c>
      <c r="R285" t="s">
        <v>38</v>
      </c>
    </row>
    <row r="286" spans="1:18" x14ac:dyDescent="0.3">
      <c r="A286" t="s">
        <v>28</v>
      </c>
      <c r="B286" t="s">
        <v>99</v>
      </c>
      <c r="C286">
        <v>199</v>
      </c>
      <c r="D286" t="s">
        <v>20</v>
      </c>
      <c r="E286">
        <v>2022</v>
      </c>
      <c r="F286" t="s">
        <v>21</v>
      </c>
      <c r="G286">
        <v>132</v>
      </c>
      <c r="H286">
        <v>45.5</v>
      </c>
      <c r="I286">
        <v>10.9</v>
      </c>
      <c r="J286">
        <v>111719</v>
      </c>
      <c r="K286">
        <v>28</v>
      </c>
      <c r="L286">
        <v>31281</v>
      </c>
      <c r="M286">
        <v>143000</v>
      </c>
      <c r="N286">
        <v>167991</v>
      </c>
      <c r="O286">
        <v>79</v>
      </c>
      <c r="P286">
        <v>5.5</v>
      </c>
      <c r="Q286" t="s">
        <v>22</v>
      </c>
      <c r="R286" t="s">
        <v>23</v>
      </c>
    </row>
    <row r="287" spans="1:18" x14ac:dyDescent="0.3">
      <c r="A287" t="s">
        <v>24</v>
      </c>
      <c r="B287" t="s">
        <v>77</v>
      </c>
      <c r="C287">
        <v>160</v>
      </c>
      <c r="D287" t="s">
        <v>20</v>
      </c>
      <c r="E287">
        <v>2024</v>
      </c>
      <c r="F287" t="s">
        <v>21</v>
      </c>
      <c r="G287">
        <v>134</v>
      </c>
      <c r="H287">
        <v>38.6</v>
      </c>
      <c r="I287">
        <v>11.4</v>
      </c>
      <c r="J287">
        <v>95312</v>
      </c>
      <c r="K287">
        <v>28</v>
      </c>
      <c r="L287">
        <v>26688</v>
      </c>
      <c r="M287">
        <v>122000</v>
      </c>
      <c r="N287">
        <v>141876</v>
      </c>
      <c r="O287">
        <v>72</v>
      </c>
      <c r="P287">
        <v>6.7</v>
      </c>
      <c r="Q287" t="s">
        <v>22</v>
      </c>
      <c r="R287" t="s">
        <v>23</v>
      </c>
    </row>
    <row r="288" spans="1:18" x14ac:dyDescent="0.3">
      <c r="A288" t="s">
        <v>24</v>
      </c>
      <c r="B288" t="s">
        <v>67</v>
      </c>
      <c r="C288">
        <v>199</v>
      </c>
      <c r="D288" t="s">
        <v>20</v>
      </c>
      <c r="E288">
        <v>2022</v>
      </c>
      <c r="F288" t="s">
        <v>21</v>
      </c>
      <c r="G288">
        <v>129</v>
      </c>
      <c r="H288">
        <v>38.5</v>
      </c>
      <c r="I288">
        <v>10.6</v>
      </c>
      <c r="J288">
        <v>116406</v>
      </c>
      <c r="K288">
        <v>28</v>
      </c>
      <c r="L288">
        <v>32594</v>
      </c>
      <c r="M288">
        <v>149000</v>
      </c>
      <c r="N288">
        <v>173062</v>
      </c>
      <c r="O288">
        <v>76</v>
      </c>
      <c r="P288">
        <v>1.6</v>
      </c>
      <c r="Q288" t="s">
        <v>57</v>
      </c>
      <c r="R288" t="s">
        <v>58</v>
      </c>
    </row>
    <row r="289" spans="1:18" x14ac:dyDescent="0.3">
      <c r="A289" t="s">
        <v>39</v>
      </c>
      <c r="B289" t="s">
        <v>40</v>
      </c>
      <c r="C289">
        <v>109</v>
      </c>
      <c r="D289" t="s">
        <v>30</v>
      </c>
      <c r="E289">
        <v>2023</v>
      </c>
      <c r="F289" t="s">
        <v>35</v>
      </c>
      <c r="G289">
        <v>90</v>
      </c>
      <c r="H289">
        <v>66</v>
      </c>
      <c r="I289">
        <v>9.1</v>
      </c>
      <c r="J289">
        <v>68750</v>
      </c>
      <c r="K289">
        <v>28</v>
      </c>
      <c r="L289">
        <v>19250</v>
      </c>
      <c r="M289">
        <v>88000</v>
      </c>
      <c r="N289">
        <v>102385</v>
      </c>
      <c r="O289">
        <v>61</v>
      </c>
      <c r="P289">
        <v>14.3</v>
      </c>
      <c r="Q289" t="s">
        <v>37</v>
      </c>
      <c r="R289" t="s">
        <v>38</v>
      </c>
    </row>
    <row r="290" spans="1:18" x14ac:dyDescent="0.3">
      <c r="A290" t="s">
        <v>55</v>
      </c>
      <c r="B290" t="s">
        <v>108</v>
      </c>
      <c r="C290">
        <v>249</v>
      </c>
      <c r="D290" t="s">
        <v>20</v>
      </c>
      <c r="E290">
        <v>2023</v>
      </c>
      <c r="F290" t="s">
        <v>21</v>
      </c>
      <c r="G290">
        <v>141</v>
      </c>
      <c r="H290">
        <v>29.1</v>
      </c>
      <c r="I290">
        <v>15.6</v>
      </c>
      <c r="J290">
        <v>146094</v>
      </c>
      <c r="K290">
        <v>28</v>
      </c>
      <c r="L290">
        <v>40906</v>
      </c>
      <c r="M290">
        <v>187000</v>
      </c>
      <c r="N290">
        <v>216605</v>
      </c>
      <c r="O290">
        <v>66</v>
      </c>
      <c r="P290">
        <v>2.8</v>
      </c>
      <c r="Q290" t="s">
        <v>26</v>
      </c>
      <c r="R290" t="s">
        <v>27</v>
      </c>
    </row>
    <row r="291" spans="1:18" x14ac:dyDescent="0.3">
      <c r="A291" t="s">
        <v>18</v>
      </c>
      <c r="B291" t="s">
        <v>68</v>
      </c>
      <c r="C291">
        <v>109</v>
      </c>
      <c r="D291" t="s">
        <v>30</v>
      </c>
      <c r="E291">
        <v>2021</v>
      </c>
      <c r="F291" t="s">
        <v>31</v>
      </c>
      <c r="G291">
        <v>91</v>
      </c>
      <c r="H291">
        <v>78.400000000000006</v>
      </c>
      <c r="I291">
        <v>8.1999999999999993</v>
      </c>
      <c r="J291">
        <v>61719</v>
      </c>
      <c r="K291">
        <v>28</v>
      </c>
      <c r="L291">
        <v>17281</v>
      </c>
      <c r="M291">
        <v>79000</v>
      </c>
      <c r="N291">
        <v>91881</v>
      </c>
      <c r="O291">
        <v>67</v>
      </c>
      <c r="P291">
        <v>7.2</v>
      </c>
      <c r="Q291" t="s">
        <v>22</v>
      </c>
      <c r="R291" t="s">
        <v>23</v>
      </c>
    </row>
    <row r="292" spans="1:18" x14ac:dyDescent="0.3">
      <c r="A292" t="s">
        <v>32</v>
      </c>
      <c r="B292" t="s">
        <v>85</v>
      </c>
      <c r="C292">
        <v>346</v>
      </c>
      <c r="D292" t="s">
        <v>34</v>
      </c>
      <c r="E292">
        <v>2023</v>
      </c>
      <c r="F292" t="s">
        <v>31</v>
      </c>
      <c r="G292">
        <v>163</v>
      </c>
      <c r="H292">
        <v>31.5</v>
      </c>
      <c r="I292">
        <v>17.8</v>
      </c>
      <c r="J292">
        <v>128125</v>
      </c>
      <c r="K292">
        <v>28</v>
      </c>
      <c r="L292">
        <v>35875</v>
      </c>
      <c r="M292">
        <v>164000</v>
      </c>
      <c r="N292">
        <v>192737</v>
      </c>
      <c r="O292">
        <v>65</v>
      </c>
      <c r="P292">
        <v>7.9</v>
      </c>
      <c r="Q292" t="s">
        <v>37</v>
      </c>
      <c r="R292" t="s">
        <v>38</v>
      </c>
    </row>
    <row r="293" spans="1:18" x14ac:dyDescent="0.3">
      <c r="A293" t="s">
        <v>24</v>
      </c>
      <c r="B293" t="s">
        <v>100</v>
      </c>
      <c r="C293">
        <v>115</v>
      </c>
      <c r="D293" t="s">
        <v>30</v>
      </c>
      <c r="E293">
        <v>2021</v>
      </c>
      <c r="F293" t="s">
        <v>35</v>
      </c>
      <c r="G293">
        <v>106</v>
      </c>
      <c r="H293">
        <v>60.1</v>
      </c>
      <c r="I293">
        <v>12.6</v>
      </c>
      <c r="J293">
        <v>60938</v>
      </c>
      <c r="K293">
        <v>28</v>
      </c>
      <c r="L293">
        <v>17062</v>
      </c>
      <c r="M293">
        <v>78000</v>
      </c>
      <c r="N293">
        <v>93669</v>
      </c>
      <c r="O293">
        <v>71</v>
      </c>
      <c r="P293">
        <v>9.6999999999999993</v>
      </c>
      <c r="Q293" t="s">
        <v>22</v>
      </c>
      <c r="R293" t="s">
        <v>23</v>
      </c>
    </row>
    <row r="294" spans="1:18" x14ac:dyDescent="0.3">
      <c r="A294" t="s">
        <v>42</v>
      </c>
      <c r="B294" t="s">
        <v>86</v>
      </c>
      <c r="C294">
        <v>155</v>
      </c>
      <c r="D294" t="s">
        <v>20</v>
      </c>
      <c r="E294">
        <v>2024</v>
      </c>
      <c r="F294" t="s">
        <v>21</v>
      </c>
      <c r="G294">
        <v>133</v>
      </c>
      <c r="H294">
        <v>40.799999999999997</v>
      </c>
      <c r="I294">
        <v>11</v>
      </c>
      <c r="J294">
        <v>153906</v>
      </c>
      <c r="K294">
        <v>28</v>
      </c>
      <c r="L294">
        <v>43094</v>
      </c>
      <c r="M294">
        <v>197000</v>
      </c>
      <c r="N294">
        <v>226395</v>
      </c>
      <c r="O294">
        <v>70</v>
      </c>
      <c r="P294">
        <v>10</v>
      </c>
      <c r="Q294" t="s">
        <v>22</v>
      </c>
      <c r="R294" t="s">
        <v>23</v>
      </c>
    </row>
    <row r="295" spans="1:18" x14ac:dyDescent="0.3">
      <c r="A295" t="s">
        <v>55</v>
      </c>
      <c r="B295" t="s">
        <v>76</v>
      </c>
      <c r="C295">
        <v>249</v>
      </c>
      <c r="D295" t="s">
        <v>20</v>
      </c>
      <c r="E295">
        <v>2024</v>
      </c>
      <c r="F295" t="s">
        <v>21</v>
      </c>
      <c r="G295">
        <v>165</v>
      </c>
      <c r="H295">
        <v>31.8</v>
      </c>
      <c r="I295">
        <v>16.5</v>
      </c>
      <c r="J295">
        <v>151562</v>
      </c>
      <c r="K295">
        <v>28</v>
      </c>
      <c r="L295">
        <v>42438</v>
      </c>
      <c r="M295">
        <v>194000</v>
      </c>
      <c r="N295">
        <v>229522</v>
      </c>
      <c r="O295">
        <v>70</v>
      </c>
      <c r="P295">
        <v>5.8</v>
      </c>
      <c r="Q295" t="s">
        <v>22</v>
      </c>
      <c r="R295" t="s">
        <v>23</v>
      </c>
    </row>
    <row r="296" spans="1:18" x14ac:dyDescent="0.3">
      <c r="A296" t="s">
        <v>32</v>
      </c>
      <c r="B296" t="s">
        <v>90</v>
      </c>
      <c r="C296">
        <v>648</v>
      </c>
      <c r="D296" t="s">
        <v>34</v>
      </c>
      <c r="E296">
        <v>2023</v>
      </c>
      <c r="F296" t="s">
        <v>31</v>
      </c>
      <c r="G296">
        <v>209</v>
      </c>
      <c r="H296">
        <v>24.1</v>
      </c>
      <c r="I296">
        <v>16.7</v>
      </c>
      <c r="J296">
        <v>238931</v>
      </c>
      <c r="K296">
        <v>31</v>
      </c>
      <c r="L296">
        <v>74069</v>
      </c>
      <c r="M296">
        <v>313000</v>
      </c>
      <c r="N296">
        <v>353614</v>
      </c>
      <c r="O296">
        <v>67</v>
      </c>
      <c r="P296">
        <v>1.8</v>
      </c>
      <c r="Q296" t="s">
        <v>57</v>
      </c>
      <c r="R296" t="s">
        <v>58</v>
      </c>
    </row>
    <row r="297" spans="1:18" x14ac:dyDescent="0.3">
      <c r="A297" t="s">
        <v>24</v>
      </c>
      <c r="B297" t="s">
        <v>106</v>
      </c>
      <c r="C297">
        <v>373</v>
      </c>
      <c r="D297" t="s">
        <v>34</v>
      </c>
      <c r="E297">
        <v>2021</v>
      </c>
      <c r="F297" t="s">
        <v>21</v>
      </c>
      <c r="G297">
        <v>210</v>
      </c>
      <c r="H297">
        <v>22.2</v>
      </c>
      <c r="I297">
        <v>17</v>
      </c>
      <c r="J297">
        <v>196947</v>
      </c>
      <c r="K297">
        <v>31</v>
      </c>
      <c r="L297">
        <v>61053</v>
      </c>
      <c r="M297">
        <v>258000</v>
      </c>
      <c r="N297">
        <v>293894</v>
      </c>
      <c r="O297">
        <v>70</v>
      </c>
      <c r="P297">
        <v>11.7</v>
      </c>
      <c r="Q297" t="s">
        <v>37</v>
      </c>
      <c r="R297" t="s">
        <v>38</v>
      </c>
    </row>
    <row r="298" spans="1:18" x14ac:dyDescent="0.3">
      <c r="A298" t="s">
        <v>32</v>
      </c>
      <c r="B298" t="s">
        <v>90</v>
      </c>
      <c r="C298">
        <v>648</v>
      </c>
      <c r="D298" t="s">
        <v>34</v>
      </c>
      <c r="E298">
        <v>2020</v>
      </c>
      <c r="F298" t="s">
        <v>31</v>
      </c>
      <c r="G298">
        <v>180</v>
      </c>
      <c r="H298">
        <v>20.6</v>
      </c>
      <c r="I298">
        <v>17.899999999999999</v>
      </c>
      <c r="J298">
        <v>241985</v>
      </c>
      <c r="K298">
        <v>31</v>
      </c>
      <c r="L298">
        <v>75015</v>
      </c>
      <c r="M298">
        <v>317000</v>
      </c>
      <c r="N298">
        <v>370591</v>
      </c>
      <c r="O298">
        <v>68</v>
      </c>
      <c r="P298">
        <v>13.8</v>
      </c>
      <c r="Q298" t="s">
        <v>37</v>
      </c>
      <c r="R298" t="s">
        <v>38</v>
      </c>
    </row>
    <row r="299" spans="1:18" x14ac:dyDescent="0.3">
      <c r="A299" t="s">
        <v>32</v>
      </c>
      <c r="B299" t="s">
        <v>92</v>
      </c>
      <c r="C299">
        <v>452</v>
      </c>
      <c r="D299" t="s">
        <v>34</v>
      </c>
      <c r="E299">
        <v>2023</v>
      </c>
      <c r="F299" t="s">
        <v>21</v>
      </c>
      <c r="G299">
        <v>191</v>
      </c>
      <c r="H299">
        <v>23.8</v>
      </c>
      <c r="I299">
        <v>13.3</v>
      </c>
      <c r="J299">
        <v>232824</v>
      </c>
      <c r="K299">
        <v>31</v>
      </c>
      <c r="L299">
        <v>72176</v>
      </c>
      <c r="M299">
        <v>305000</v>
      </c>
      <c r="N299">
        <v>351632</v>
      </c>
      <c r="O299">
        <v>85</v>
      </c>
      <c r="P299">
        <v>5.3</v>
      </c>
      <c r="Q299" t="s">
        <v>22</v>
      </c>
      <c r="R299" t="s">
        <v>23</v>
      </c>
    </row>
    <row r="300" spans="1:18" x14ac:dyDescent="0.3">
      <c r="A300" t="s">
        <v>28</v>
      </c>
      <c r="B300" t="s">
        <v>99</v>
      </c>
      <c r="C300">
        <v>199</v>
      </c>
      <c r="D300" t="s">
        <v>20</v>
      </c>
      <c r="E300">
        <v>2022</v>
      </c>
      <c r="F300" t="s">
        <v>21</v>
      </c>
      <c r="G300">
        <v>139</v>
      </c>
      <c r="H300">
        <v>40.299999999999997</v>
      </c>
      <c r="I300">
        <v>12.9</v>
      </c>
      <c r="J300">
        <v>108594</v>
      </c>
      <c r="K300">
        <v>28</v>
      </c>
      <c r="L300">
        <v>30406</v>
      </c>
      <c r="M300">
        <v>139000</v>
      </c>
      <c r="N300">
        <v>158972</v>
      </c>
      <c r="O300">
        <v>71</v>
      </c>
      <c r="P300">
        <v>12.3</v>
      </c>
      <c r="Q300" t="s">
        <v>37</v>
      </c>
      <c r="R300" t="s">
        <v>38</v>
      </c>
    </row>
    <row r="301" spans="1:18" x14ac:dyDescent="0.3">
      <c r="A301" t="s">
        <v>32</v>
      </c>
      <c r="B301" t="s">
        <v>88</v>
      </c>
      <c r="C301">
        <v>349</v>
      </c>
      <c r="D301" t="s">
        <v>34</v>
      </c>
      <c r="E301">
        <v>2022</v>
      </c>
      <c r="F301" t="s">
        <v>35</v>
      </c>
      <c r="G301">
        <v>156</v>
      </c>
      <c r="H301">
        <v>34.1</v>
      </c>
      <c r="I301">
        <v>17.899999999999999</v>
      </c>
      <c r="J301">
        <v>141406</v>
      </c>
      <c r="K301">
        <v>28</v>
      </c>
      <c r="L301">
        <v>39594</v>
      </c>
      <c r="M301">
        <v>181000</v>
      </c>
      <c r="N301">
        <v>207110</v>
      </c>
      <c r="O301">
        <v>71</v>
      </c>
      <c r="P301">
        <v>14.4</v>
      </c>
      <c r="Q301" t="s">
        <v>37</v>
      </c>
      <c r="R301" t="s">
        <v>38</v>
      </c>
    </row>
    <row r="302" spans="1:18" x14ac:dyDescent="0.3">
      <c r="A302" t="s">
        <v>50</v>
      </c>
      <c r="B302" t="s">
        <v>94</v>
      </c>
      <c r="C302">
        <v>124</v>
      </c>
      <c r="D302" t="s">
        <v>20</v>
      </c>
      <c r="E302">
        <v>2025</v>
      </c>
      <c r="F302" t="s">
        <v>21</v>
      </c>
      <c r="G302">
        <v>118</v>
      </c>
      <c r="H302">
        <v>58.1</v>
      </c>
      <c r="I302">
        <v>11.3</v>
      </c>
      <c r="J302">
        <v>138281</v>
      </c>
      <c r="K302">
        <v>28</v>
      </c>
      <c r="L302">
        <v>38719</v>
      </c>
      <c r="M302">
        <v>177000</v>
      </c>
      <c r="N302">
        <v>202640</v>
      </c>
      <c r="O302">
        <v>80</v>
      </c>
      <c r="P302">
        <v>14.4</v>
      </c>
      <c r="Q302" t="s">
        <v>37</v>
      </c>
      <c r="R302" t="s">
        <v>38</v>
      </c>
    </row>
    <row r="303" spans="1:18" x14ac:dyDescent="0.3">
      <c r="A303" t="s">
        <v>55</v>
      </c>
      <c r="B303" t="s">
        <v>56</v>
      </c>
      <c r="C303">
        <v>249</v>
      </c>
      <c r="D303" t="s">
        <v>34</v>
      </c>
      <c r="E303">
        <v>2025</v>
      </c>
      <c r="F303" t="s">
        <v>21</v>
      </c>
      <c r="G303">
        <v>145</v>
      </c>
      <c r="H303">
        <v>33.299999999999997</v>
      </c>
      <c r="I303">
        <v>15.1</v>
      </c>
      <c r="J303">
        <v>177344</v>
      </c>
      <c r="K303">
        <v>28</v>
      </c>
      <c r="L303">
        <v>49656</v>
      </c>
      <c r="M303">
        <v>227000</v>
      </c>
      <c r="N303">
        <v>266891</v>
      </c>
      <c r="O303">
        <v>74</v>
      </c>
      <c r="P303">
        <v>5.3</v>
      </c>
      <c r="Q303" t="s">
        <v>22</v>
      </c>
      <c r="R303" t="s">
        <v>23</v>
      </c>
    </row>
    <row r="304" spans="1:18" x14ac:dyDescent="0.3">
      <c r="A304" t="s">
        <v>24</v>
      </c>
      <c r="B304" t="s">
        <v>100</v>
      </c>
      <c r="C304">
        <v>115</v>
      </c>
      <c r="D304" t="s">
        <v>30</v>
      </c>
      <c r="E304">
        <v>2024</v>
      </c>
      <c r="F304" t="s">
        <v>35</v>
      </c>
      <c r="G304">
        <v>106</v>
      </c>
      <c r="H304">
        <v>59.6</v>
      </c>
      <c r="I304">
        <v>10.9</v>
      </c>
      <c r="J304">
        <v>64844</v>
      </c>
      <c r="K304">
        <v>28</v>
      </c>
      <c r="L304">
        <v>18156</v>
      </c>
      <c r="M304">
        <v>83000</v>
      </c>
      <c r="N304">
        <v>100458</v>
      </c>
      <c r="O304">
        <v>59</v>
      </c>
      <c r="P304">
        <v>9.4</v>
      </c>
      <c r="Q304" t="s">
        <v>37</v>
      </c>
      <c r="R304" t="s">
        <v>38</v>
      </c>
    </row>
    <row r="305" spans="1:18" x14ac:dyDescent="0.3">
      <c r="A305" t="s">
        <v>18</v>
      </c>
      <c r="B305" t="s">
        <v>95</v>
      </c>
      <c r="C305">
        <v>160</v>
      </c>
      <c r="D305" t="s">
        <v>20</v>
      </c>
      <c r="E305">
        <v>2020</v>
      </c>
      <c r="F305" t="s">
        <v>35</v>
      </c>
      <c r="G305">
        <v>130</v>
      </c>
      <c r="H305">
        <v>40.5</v>
      </c>
      <c r="I305">
        <v>13.3</v>
      </c>
      <c r="J305">
        <v>96094</v>
      </c>
      <c r="K305">
        <v>28</v>
      </c>
      <c r="L305">
        <v>26906</v>
      </c>
      <c r="M305">
        <v>123000</v>
      </c>
      <c r="N305">
        <v>142030</v>
      </c>
      <c r="O305">
        <v>64</v>
      </c>
      <c r="P305">
        <v>9.9</v>
      </c>
      <c r="Q305" t="s">
        <v>37</v>
      </c>
      <c r="R305" t="s">
        <v>38</v>
      </c>
    </row>
    <row r="306" spans="1:18" x14ac:dyDescent="0.3">
      <c r="A306" t="s">
        <v>32</v>
      </c>
      <c r="B306" t="s">
        <v>85</v>
      </c>
      <c r="C306">
        <v>346</v>
      </c>
      <c r="D306" t="s">
        <v>34</v>
      </c>
      <c r="E306">
        <v>2020</v>
      </c>
      <c r="F306" t="s">
        <v>31</v>
      </c>
      <c r="G306">
        <v>165</v>
      </c>
      <c r="H306">
        <v>30.9</v>
      </c>
      <c r="I306">
        <v>15.7</v>
      </c>
      <c r="J306">
        <v>135938</v>
      </c>
      <c r="K306">
        <v>28</v>
      </c>
      <c r="L306">
        <v>38062</v>
      </c>
      <c r="M306">
        <v>174000</v>
      </c>
      <c r="N306">
        <v>198131</v>
      </c>
      <c r="O306">
        <v>60</v>
      </c>
      <c r="P306">
        <v>11.1</v>
      </c>
      <c r="Q306" t="s">
        <v>37</v>
      </c>
      <c r="R306" t="s">
        <v>38</v>
      </c>
    </row>
    <row r="307" spans="1:18" x14ac:dyDescent="0.3">
      <c r="A307" t="s">
        <v>50</v>
      </c>
      <c r="B307" t="s">
        <v>72</v>
      </c>
      <c r="C307">
        <v>373</v>
      </c>
      <c r="D307" t="s">
        <v>34</v>
      </c>
      <c r="E307">
        <v>2024</v>
      </c>
      <c r="F307" t="s">
        <v>21</v>
      </c>
      <c r="G307">
        <v>184</v>
      </c>
      <c r="H307">
        <v>21.2</v>
      </c>
      <c r="I307">
        <v>17.600000000000001</v>
      </c>
      <c r="J307">
        <v>254198</v>
      </c>
      <c r="K307">
        <v>31</v>
      </c>
      <c r="L307">
        <v>78802</v>
      </c>
      <c r="M307">
        <v>333000</v>
      </c>
      <c r="N307">
        <v>388247</v>
      </c>
      <c r="O307">
        <v>72</v>
      </c>
      <c r="P307">
        <v>12.6</v>
      </c>
      <c r="Q307" t="s">
        <v>37</v>
      </c>
      <c r="R307" t="s">
        <v>38</v>
      </c>
    </row>
    <row r="308" spans="1:18" x14ac:dyDescent="0.3">
      <c r="A308" t="s">
        <v>24</v>
      </c>
      <c r="B308" t="s">
        <v>74</v>
      </c>
      <c r="C308">
        <v>199</v>
      </c>
      <c r="D308" t="s">
        <v>20</v>
      </c>
      <c r="E308">
        <v>2021</v>
      </c>
      <c r="F308" t="s">
        <v>21</v>
      </c>
      <c r="G308">
        <v>128</v>
      </c>
      <c r="H308">
        <v>37.200000000000003</v>
      </c>
      <c r="I308">
        <v>13.6</v>
      </c>
      <c r="J308">
        <v>129688</v>
      </c>
      <c r="K308">
        <v>28</v>
      </c>
      <c r="L308">
        <v>36312</v>
      </c>
      <c r="M308">
        <v>166000</v>
      </c>
      <c r="N308">
        <v>190764</v>
      </c>
      <c r="O308">
        <v>68</v>
      </c>
      <c r="P308">
        <v>2</v>
      </c>
      <c r="Q308" t="s">
        <v>57</v>
      </c>
      <c r="R308" t="s">
        <v>58</v>
      </c>
    </row>
    <row r="309" spans="1:18" x14ac:dyDescent="0.3">
      <c r="A309" t="s">
        <v>24</v>
      </c>
      <c r="B309" t="s">
        <v>107</v>
      </c>
      <c r="C309">
        <v>102</v>
      </c>
      <c r="D309" t="s">
        <v>30</v>
      </c>
      <c r="E309">
        <v>2025</v>
      </c>
      <c r="F309" t="s">
        <v>31</v>
      </c>
      <c r="G309">
        <v>100</v>
      </c>
      <c r="H309">
        <v>67.3</v>
      </c>
      <c r="I309">
        <v>8.3000000000000007</v>
      </c>
      <c r="J309">
        <v>48438</v>
      </c>
      <c r="K309">
        <v>28</v>
      </c>
      <c r="L309">
        <v>13562</v>
      </c>
      <c r="M309">
        <v>62000</v>
      </c>
      <c r="N309">
        <v>73671</v>
      </c>
      <c r="O309">
        <v>55</v>
      </c>
      <c r="P309">
        <v>7</v>
      </c>
      <c r="Q309" t="s">
        <v>37</v>
      </c>
      <c r="R309" t="s">
        <v>38</v>
      </c>
    </row>
    <row r="310" spans="1:18" x14ac:dyDescent="0.3">
      <c r="A310" t="s">
        <v>50</v>
      </c>
      <c r="B310" t="s">
        <v>109</v>
      </c>
      <c r="C310">
        <v>373</v>
      </c>
      <c r="D310" t="s">
        <v>34</v>
      </c>
      <c r="E310">
        <v>2022</v>
      </c>
      <c r="F310" t="s">
        <v>21</v>
      </c>
      <c r="G310">
        <v>195</v>
      </c>
      <c r="H310">
        <v>21.5</v>
      </c>
      <c r="I310">
        <v>15.1</v>
      </c>
      <c r="J310">
        <v>241985</v>
      </c>
      <c r="K310">
        <v>31</v>
      </c>
      <c r="L310">
        <v>75015</v>
      </c>
      <c r="M310">
        <v>317000</v>
      </c>
      <c r="N310">
        <v>357235</v>
      </c>
      <c r="O310">
        <v>79</v>
      </c>
      <c r="P310">
        <v>4.7</v>
      </c>
      <c r="Q310" t="s">
        <v>26</v>
      </c>
      <c r="R310" t="s">
        <v>27</v>
      </c>
    </row>
    <row r="311" spans="1:18" x14ac:dyDescent="0.3">
      <c r="A311" t="s">
        <v>18</v>
      </c>
      <c r="B311" t="s">
        <v>61</v>
      </c>
      <c r="C311">
        <v>124</v>
      </c>
      <c r="D311" t="s">
        <v>30</v>
      </c>
      <c r="E311">
        <v>2025</v>
      </c>
      <c r="F311" t="s">
        <v>21</v>
      </c>
      <c r="G311">
        <v>105</v>
      </c>
      <c r="H311">
        <v>49.1</v>
      </c>
      <c r="I311">
        <v>12.5</v>
      </c>
      <c r="J311">
        <v>71094</v>
      </c>
      <c r="K311">
        <v>28</v>
      </c>
      <c r="L311">
        <v>19906</v>
      </c>
      <c r="M311">
        <v>91000</v>
      </c>
      <c r="N311">
        <v>107249</v>
      </c>
      <c r="O311">
        <v>72</v>
      </c>
      <c r="P311">
        <v>2.2000000000000002</v>
      </c>
      <c r="Q311" t="s">
        <v>26</v>
      </c>
      <c r="R311" t="s">
        <v>27</v>
      </c>
    </row>
    <row r="312" spans="1:18" x14ac:dyDescent="0.3">
      <c r="A312" t="s">
        <v>42</v>
      </c>
      <c r="B312" t="s">
        <v>59</v>
      </c>
      <c r="C312">
        <v>155</v>
      </c>
      <c r="D312" t="s">
        <v>20</v>
      </c>
      <c r="E312">
        <v>2023</v>
      </c>
      <c r="F312" t="s">
        <v>21</v>
      </c>
      <c r="G312">
        <v>135</v>
      </c>
      <c r="H312">
        <v>46.8</v>
      </c>
      <c r="I312">
        <v>11.9</v>
      </c>
      <c r="J312">
        <v>126562</v>
      </c>
      <c r="K312">
        <v>28</v>
      </c>
      <c r="L312">
        <v>35438</v>
      </c>
      <c r="M312">
        <v>162000</v>
      </c>
      <c r="N312">
        <v>183735</v>
      </c>
      <c r="O312">
        <v>74</v>
      </c>
      <c r="P312">
        <v>5.3</v>
      </c>
      <c r="Q312" t="s">
        <v>22</v>
      </c>
      <c r="R312" t="s">
        <v>23</v>
      </c>
    </row>
    <row r="313" spans="1:18" x14ac:dyDescent="0.3">
      <c r="A313" t="s">
        <v>39</v>
      </c>
      <c r="B313" t="s">
        <v>60</v>
      </c>
      <c r="C313">
        <v>109</v>
      </c>
      <c r="D313" t="s">
        <v>30</v>
      </c>
      <c r="E313">
        <v>2023</v>
      </c>
      <c r="F313" t="s">
        <v>35</v>
      </c>
      <c r="G313">
        <v>99</v>
      </c>
      <c r="H313">
        <v>67.8</v>
      </c>
      <c r="I313">
        <v>8.5</v>
      </c>
      <c r="J313">
        <v>58594</v>
      </c>
      <c r="K313">
        <v>28</v>
      </c>
      <c r="L313">
        <v>16406</v>
      </c>
      <c r="M313">
        <v>75000</v>
      </c>
      <c r="N313">
        <v>88722</v>
      </c>
      <c r="O313">
        <v>61</v>
      </c>
      <c r="P313">
        <v>4.7</v>
      </c>
      <c r="Q313" t="s">
        <v>26</v>
      </c>
      <c r="R313" t="s">
        <v>27</v>
      </c>
    </row>
    <row r="314" spans="1:18" x14ac:dyDescent="0.3">
      <c r="A314" t="s">
        <v>39</v>
      </c>
      <c r="B314" t="s">
        <v>83</v>
      </c>
      <c r="C314">
        <v>124</v>
      </c>
      <c r="D314" t="s">
        <v>30</v>
      </c>
      <c r="E314">
        <v>2024</v>
      </c>
      <c r="F314" t="s">
        <v>21</v>
      </c>
      <c r="G314">
        <v>116</v>
      </c>
      <c r="H314">
        <v>49.5</v>
      </c>
      <c r="I314">
        <v>10.9</v>
      </c>
      <c r="J314">
        <v>75000</v>
      </c>
      <c r="K314">
        <v>28</v>
      </c>
      <c r="L314">
        <v>21000</v>
      </c>
      <c r="M314">
        <v>96000</v>
      </c>
      <c r="N314">
        <v>110874</v>
      </c>
      <c r="O314">
        <v>71</v>
      </c>
      <c r="P314">
        <v>6.8</v>
      </c>
      <c r="Q314" t="s">
        <v>22</v>
      </c>
      <c r="R314" t="s">
        <v>23</v>
      </c>
    </row>
    <row r="315" spans="1:18" x14ac:dyDescent="0.3">
      <c r="A315" t="s">
        <v>28</v>
      </c>
      <c r="B315" t="s">
        <v>99</v>
      </c>
      <c r="C315">
        <v>199</v>
      </c>
      <c r="D315" t="s">
        <v>20</v>
      </c>
      <c r="E315">
        <v>2023</v>
      </c>
      <c r="F315" t="s">
        <v>21</v>
      </c>
      <c r="G315">
        <v>135</v>
      </c>
      <c r="H315">
        <v>43.9</v>
      </c>
      <c r="I315">
        <v>11.2</v>
      </c>
      <c r="J315">
        <v>119531</v>
      </c>
      <c r="K315">
        <v>28</v>
      </c>
      <c r="L315">
        <v>33469</v>
      </c>
      <c r="M315">
        <v>153000</v>
      </c>
      <c r="N315">
        <v>180313</v>
      </c>
      <c r="O315">
        <v>77</v>
      </c>
      <c r="P315">
        <v>13.3</v>
      </c>
      <c r="Q315" t="s">
        <v>37</v>
      </c>
      <c r="R315" t="s">
        <v>38</v>
      </c>
    </row>
    <row r="316" spans="1:18" x14ac:dyDescent="0.3">
      <c r="A316" t="s">
        <v>50</v>
      </c>
      <c r="B316" t="s">
        <v>94</v>
      </c>
      <c r="C316">
        <v>124</v>
      </c>
      <c r="D316" t="s">
        <v>20</v>
      </c>
      <c r="E316">
        <v>2023</v>
      </c>
      <c r="F316" t="s">
        <v>21</v>
      </c>
      <c r="G316">
        <v>109</v>
      </c>
      <c r="H316">
        <v>59</v>
      </c>
      <c r="I316">
        <v>10.7</v>
      </c>
      <c r="J316">
        <v>145312</v>
      </c>
      <c r="K316">
        <v>28</v>
      </c>
      <c r="L316">
        <v>40688</v>
      </c>
      <c r="M316">
        <v>186000</v>
      </c>
      <c r="N316">
        <v>217758</v>
      </c>
      <c r="O316">
        <v>71</v>
      </c>
      <c r="P316">
        <v>14.3</v>
      </c>
      <c r="Q316" t="s">
        <v>37</v>
      </c>
      <c r="R316" t="s">
        <v>38</v>
      </c>
    </row>
    <row r="317" spans="1:18" x14ac:dyDescent="0.3">
      <c r="A317" t="s">
        <v>24</v>
      </c>
      <c r="B317" t="s">
        <v>101</v>
      </c>
      <c r="C317">
        <v>102</v>
      </c>
      <c r="D317" t="s">
        <v>30</v>
      </c>
      <c r="E317">
        <v>2025</v>
      </c>
      <c r="F317" t="s">
        <v>31</v>
      </c>
      <c r="G317">
        <v>98</v>
      </c>
      <c r="H317">
        <v>62.9</v>
      </c>
      <c r="I317">
        <v>8.3000000000000007</v>
      </c>
      <c r="J317">
        <v>57031</v>
      </c>
      <c r="K317">
        <v>28</v>
      </c>
      <c r="L317">
        <v>15969</v>
      </c>
      <c r="M317">
        <v>73000</v>
      </c>
      <c r="N317">
        <v>87309</v>
      </c>
      <c r="O317">
        <v>58</v>
      </c>
      <c r="P317">
        <v>15</v>
      </c>
      <c r="Q317" t="s">
        <v>37</v>
      </c>
      <c r="R317" t="s">
        <v>38</v>
      </c>
    </row>
    <row r="318" spans="1:18" x14ac:dyDescent="0.3">
      <c r="A318" t="s">
        <v>39</v>
      </c>
      <c r="B318" t="s">
        <v>60</v>
      </c>
      <c r="C318">
        <v>109</v>
      </c>
      <c r="D318" t="s">
        <v>30</v>
      </c>
      <c r="E318">
        <v>2022</v>
      </c>
      <c r="F318" t="s">
        <v>35</v>
      </c>
      <c r="G318">
        <v>97</v>
      </c>
      <c r="H318">
        <v>68.099999999999994</v>
      </c>
      <c r="I318">
        <v>9</v>
      </c>
      <c r="J318">
        <v>60938</v>
      </c>
      <c r="K318">
        <v>28</v>
      </c>
      <c r="L318">
        <v>17062</v>
      </c>
      <c r="M318">
        <v>78000</v>
      </c>
      <c r="N318">
        <v>92464</v>
      </c>
      <c r="O318">
        <v>69</v>
      </c>
      <c r="P318">
        <v>5.6</v>
      </c>
      <c r="Q318" t="s">
        <v>22</v>
      </c>
      <c r="R318" t="s">
        <v>23</v>
      </c>
    </row>
    <row r="319" spans="1:18" x14ac:dyDescent="0.3">
      <c r="A319" t="s">
        <v>28</v>
      </c>
      <c r="B319" t="s">
        <v>91</v>
      </c>
      <c r="C319">
        <v>97</v>
      </c>
      <c r="D319" t="s">
        <v>30</v>
      </c>
      <c r="E319">
        <v>2024</v>
      </c>
      <c r="F319" t="s">
        <v>31</v>
      </c>
      <c r="G319">
        <v>89</v>
      </c>
      <c r="H319">
        <v>63.5</v>
      </c>
      <c r="I319">
        <v>9.5</v>
      </c>
      <c r="J319">
        <v>57031</v>
      </c>
      <c r="K319">
        <v>28</v>
      </c>
      <c r="L319">
        <v>15969</v>
      </c>
      <c r="M319">
        <v>73000</v>
      </c>
      <c r="N319">
        <v>87330</v>
      </c>
      <c r="O319">
        <v>58</v>
      </c>
      <c r="P319">
        <v>8.9</v>
      </c>
      <c r="Q319" t="s">
        <v>37</v>
      </c>
      <c r="R319" t="s">
        <v>38</v>
      </c>
    </row>
    <row r="320" spans="1:18" x14ac:dyDescent="0.3">
      <c r="A320" t="s">
        <v>18</v>
      </c>
      <c r="B320" t="s">
        <v>61</v>
      </c>
      <c r="C320">
        <v>124</v>
      </c>
      <c r="D320" t="s">
        <v>30</v>
      </c>
      <c r="E320">
        <v>2025</v>
      </c>
      <c r="F320" t="s">
        <v>21</v>
      </c>
      <c r="G320">
        <v>116</v>
      </c>
      <c r="H320">
        <v>59.9</v>
      </c>
      <c r="I320">
        <v>11.9</v>
      </c>
      <c r="J320">
        <v>82031</v>
      </c>
      <c r="K320">
        <v>28</v>
      </c>
      <c r="L320">
        <v>22969</v>
      </c>
      <c r="M320">
        <v>105000</v>
      </c>
      <c r="N320">
        <v>122296</v>
      </c>
      <c r="O320">
        <v>72</v>
      </c>
      <c r="P320">
        <v>4.7</v>
      </c>
      <c r="Q320" t="s">
        <v>26</v>
      </c>
      <c r="R320" t="s">
        <v>27</v>
      </c>
    </row>
    <row r="321" spans="1:18" x14ac:dyDescent="0.3">
      <c r="A321" t="s">
        <v>42</v>
      </c>
      <c r="B321" t="s">
        <v>70</v>
      </c>
      <c r="C321">
        <v>249</v>
      </c>
      <c r="D321" t="s">
        <v>20</v>
      </c>
      <c r="E321">
        <v>2022</v>
      </c>
      <c r="F321" t="s">
        <v>21</v>
      </c>
      <c r="G321">
        <v>152</v>
      </c>
      <c r="H321">
        <v>33.4</v>
      </c>
      <c r="I321">
        <v>17.8</v>
      </c>
      <c r="J321">
        <v>119531</v>
      </c>
      <c r="K321">
        <v>28</v>
      </c>
      <c r="L321">
        <v>33469</v>
      </c>
      <c r="M321">
        <v>153000</v>
      </c>
      <c r="N321">
        <v>176449</v>
      </c>
      <c r="O321">
        <v>65</v>
      </c>
      <c r="P321">
        <v>6.5</v>
      </c>
      <c r="Q321" t="s">
        <v>37</v>
      </c>
      <c r="R321" t="s">
        <v>38</v>
      </c>
    </row>
    <row r="322" spans="1:18" x14ac:dyDescent="0.3">
      <c r="A322" t="s">
        <v>28</v>
      </c>
      <c r="B322" t="s">
        <v>98</v>
      </c>
      <c r="C322">
        <v>163</v>
      </c>
      <c r="D322" t="s">
        <v>20</v>
      </c>
      <c r="E322">
        <v>2023</v>
      </c>
      <c r="F322" t="s">
        <v>21</v>
      </c>
      <c r="G322">
        <v>129</v>
      </c>
      <c r="H322">
        <v>40.4</v>
      </c>
      <c r="I322">
        <v>13.4</v>
      </c>
      <c r="J322">
        <v>109375</v>
      </c>
      <c r="K322">
        <v>28</v>
      </c>
      <c r="L322">
        <v>30625</v>
      </c>
      <c r="M322">
        <v>140000</v>
      </c>
      <c r="N322">
        <v>165150</v>
      </c>
      <c r="O322">
        <v>72</v>
      </c>
      <c r="P322">
        <v>4.9000000000000004</v>
      </c>
      <c r="Q322" t="s">
        <v>26</v>
      </c>
      <c r="R322" t="s">
        <v>27</v>
      </c>
    </row>
    <row r="323" spans="1:18" x14ac:dyDescent="0.3">
      <c r="A323" t="s">
        <v>18</v>
      </c>
      <c r="B323" t="s">
        <v>61</v>
      </c>
      <c r="C323">
        <v>124</v>
      </c>
      <c r="D323" t="s">
        <v>30</v>
      </c>
      <c r="E323">
        <v>2024</v>
      </c>
      <c r="F323" t="s">
        <v>21</v>
      </c>
      <c r="G323">
        <v>115</v>
      </c>
      <c r="H323">
        <v>58.6</v>
      </c>
      <c r="I323">
        <v>12.6</v>
      </c>
      <c r="J323">
        <v>82031</v>
      </c>
      <c r="K323">
        <v>28</v>
      </c>
      <c r="L323">
        <v>22969</v>
      </c>
      <c r="M323">
        <v>105000</v>
      </c>
      <c r="N323">
        <v>121952</v>
      </c>
      <c r="O323">
        <v>70</v>
      </c>
      <c r="P323">
        <v>11.2</v>
      </c>
      <c r="Q323" t="s">
        <v>37</v>
      </c>
      <c r="R323" t="s">
        <v>38</v>
      </c>
    </row>
    <row r="324" spans="1:18" x14ac:dyDescent="0.3">
      <c r="A324" t="s">
        <v>24</v>
      </c>
      <c r="B324" t="s">
        <v>65</v>
      </c>
      <c r="C324">
        <v>149</v>
      </c>
      <c r="D324" t="s">
        <v>20</v>
      </c>
      <c r="E324">
        <v>2021</v>
      </c>
      <c r="F324" t="s">
        <v>35</v>
      </c>
      <c r="G324">
        <v>116</v>
      </c>
      <c r="H324">
        <v>58.4</v>
      </c>
      <c r="I324">
        <v>10.3</v>
      </c>
      <c r="J324">
        <v>89062</v>
      </c>
      <c r="K324">
        <v>28</v>
      </c>
      <c r="L324">
        <v>24938</v>
      </c>
      <c r="M324">
        <v>114000</v>
      </c>
      <c r="N324">
        <v>135618</v>
      </c>
      <c r="O324">
        <v>62</v>
      </c>
      <c r="P324">
        <v>8.1999999999999993</v>
      </c>
      <c r="Q324" t="s">
        <v>37</v>
      </c>
      <c r="R324" t="s">
        <v>38</v>
      </c>
    </row>
    <row r="325" spans="1:18" x14ac:dyDescent="0.3">
      <c r="A325" t="s">
        <v>42</v>
      </c>
      <c r="B325" t="s">
        <v>110</v>
      </c>
      <c r="C325">
        <v>321</v>
      </c>
      <c r="D325" t="s">
        <v>34</v>
      </c>
      <c r="E325">
        <v>2021</v>
      </c>
      <c r="F325" t="s">
        <v>21</v>
      </c>
      <c r="G325">
        <v>146</v>
      </c>
      <c r="H325">
        <v>28.4</v>
      </c>
      <c r="I325">
        <v>13.2</v>
      </c>
      <c r="J325">
        <v>346094</v>
      </c>
      <c r="K325">
        <v>28</v>
      </c>
      <c r="L325">
        <v>96906</v>
      </c>
      <c r="M325">
        <v>443000</v>
      </c>
      <c r="N325">
        <v>514535</v>
      </c>
      <c r="O325">
        <v>73</v>
      </c>
      <c r="P325">
        <v>12.7</v>
      </c>
      <c r="Q325" t="s">
        <v>37</v>
      </c>
      <c r="R325" t="s">
        <v>38</v>
      </c>
    </row>
    <row r="326" spans="1:18" x14ac:dyDescent="0.3">
      <c r="A326" t="s">
        <v>28</v>
      </c>
      <c r="B326" t="s">
        <v>98</v>
      </c>
      <c r="C326">
        <v>163</v>
      </c>
      <c r="D326" t="s">
        <v>20</v>
      </c>
      <c r="E326">
        <v>2021</v>
      </c>
      <c r="F326" t="s">
        <v>21</v>
      </c>
      <c r="G326">
        <v>140</v>
      </c>
      <c r="H326">
        <v>42.1</v>
      </c>
      <c r="I326">
        <v>11.5</v>
      </c>
      <c r="J326">
        <v>112500</v>
      </c>
      <c r="K326">
        <v>28</v>
      </c>
      <c r="L326">
        <v>31500</v>
      </c>
      <c r="M326">
        <v>144000</v>
      </c>
      <c r="N326">
        <v>168589</v>
      </c>
      <c r="O326">
        <v>69</v>
      </c>
      <c r="P326">
        <v>10.5</v>
      </c>
      <c r="Q326" t="s">
        <v>37</v>
      </c>
      <c r="R326" t="s">
        <v>38</v>
      </c>
    </row>
    <row r="327" spans="1:18" x14ac:dyDescent="0.3">
      <c r="A327" t="s">
        <v>42</v>
      </c>
      <c r="B327" t="s">
        <v>102</v>
      </c>
      <c r="C327">
        <v>113</v>
      </c>
      <c r="D327" t="s">
        <v>30</v>
      </c>
      <c r="E327">
        <v>2023</v>
      </c>
      <c r="F327" t="s">
        <v>31</v>
      </c>
      <c r="G327">
        <v>113</v>
      </c>
      <c r="H327">
        <v>52.9</v>
      </c>
      <c r="I327">
        <v>10.199999999999999</v>
      </c>
      <c r="J327">
        <v>55469</v>
      </c>
      <c r="K327">
        <v>28</v>
      </c>
      <c r="L327">
        <v>15531</v>
      </c>
      <c r="M327">
        <v>71000</v>
      </c>
      <c r="N327">
        <v>85548</v>
      </c>
      <c r="O327">
        <v>51</v>
      </c>
      <c r="P327">
        <v>5</v>
      </c>
      <c r="Q327" t="s">
        <v>26</v>
      </c>
      <c r="R327" t="s">
        <v>27</v>
      </c>
    </row>
    <row r="328" spans="1:18" x14ac:dyDescent="0.3">
      <c r="A328" t="s">
        <v>24</v>
      </c>
      <c r="B328" t="s">
        <v>25</v>
      </c>
      <c r="C328">
        <v>249</v>
      </c>
      <c r="D328" t="s">
        <v>20</v>
      </c>
      <c r="E328">
        <v>2025</v>
      </c>
      <c r="F328" t="s">
        <v>21</v>
      </c>
      <c r="G328">
        <v>156</v>
      </c>
      <c r="H328">
        <v>33.200000000000003</v>
      </c>
      <c r="I328">
        <v>13.1</v>
      </c>
      <c r="J328">
        <v>135938</v>
      </c>
      <c r="K328">
        <v>28</v>
      </c>
      <c r="L328">
        <v>38062</v>
      </c>
      <c r="M328">
        <v>174000</v>
      </c>
      <c r="N328">
        <v>203106</v>
      </c>
      <c r="O328">
        <v>65</v>
      </c>
      <c r="P328">
        <v>13.1</v>
      </c>
      <c r="Q328" t="s">
        <v>37</v>
      </c>
      <c r="R328" t="s">
        <v>38</v>
      </c>
    </row>
    <row r="329" spans="1:18" x14ac:dyDescent="0.3">
      <c r="A329" t="s">
        <v>18</v>
      </c>
      <c r="B329" t="s">
        <v>79</v>
      </c>
      <c r="C329">
        <v>293</v>
      </c>
      <c r="D329" t="s">
        <v>34</v>
      </c>
      <c r="E329">
        <v>2023</v>
      </c>
      <c r="F329" t="s">
        <v>21</v>
      </c>
      <c r="G329">
        <v>149</v>
      </c>
      <c r="H329">
        <v>32.799999999999997</v>
      </c>
      <c r="I329">
        <v>19</v>
      </c>
      <c r="J329">
        <v>215625</v>
      </c>
      <c r="K329">
        <v>28</v>
      </c>
      <c r="L329">
        <v>60375</v>
      </c>
      <c r="M329">
        <v>276000</v>
      </c>
      <c r="N329">
        <v>316076</v>
      </c>
      <c r="O329">
        <v>82</v>
      </c>
      <c r="P329">
        <v>4.9000000000000004</v>
      </c>
      <c r="Q329" t="s">
        <v>26</v>
      </c>
      <c r="R329" t="s">
        <v>27</v>
      </c>
    </row>
    <row r="330" spans="1:18" x14ac:dyDescent="0.3">
      <c r="A330" t="s">
        <v>42</v>
      </c>
      <c r="B330" t="s">
        <v>43</v>
      </c>
      <c r="C330">
        <v>149</v>
      </c>
      <c r="D330" t="s">
        <v>20</v>
      </c>
      <c r="E330">
        <v>2025</v>
      </c>
      <c r="F330" t="s">
        <v>35</v>
      </c>
      <c r="G330">
        <v>108</v>
      </c>
      <c r="H330">
        <v>53.6</v>
      </c>
      <c r="I330">
        <v>13.9</v>
      </c>
      <c r="J330">
        <v>97656</v>
      </c>
      <c r="K330">
        <v>28</v>
      </c>
      <c r="L330">
        <v>27344</v>
      </c>
      <c r="M330">
        <v>125000</v>
      </c>
      <c r="N330">
        <v>147330</v>
      </c>
      <c r="O330">
        <v>62</v>
      </c>
      <c r="P330">
        <v>8.1999999999999993</v>
      </c>
      <c r="Q330" t="s">
        <v>37</v>
      </c>
      <c r="R330" t="s">
        <v>38</v>
      </c>
    </row>
    <row r="331" spans="1:18" x14ac:dyDescent="0.3">
      <c r="A331" t="s">
        <v>32</v>
      </c>
      <c r="B331" t="s">
        <v>97</v>
      </c>
      <c r="C331">
        <v>452</v>
      </c>
      <c r="D331" t="s">
        <v>34</v>
      </c>
      <c r="E331">
        <v>2025</v>
      </c>
      <c r="F331" t="s">
        <v>21</v>
      </c>
      <c r="G331">
        <v>164</v>
      </c>
      <c r="H331">
        <v>19.899999999999999</v>
      </c>
      <c r="I331">
        <v>15.3</v>
      </c>
      <c r="J331">
        <v>223664</v>
      </c>
      <c r="K331">
        <v>31</v>
      </c>
      <c r="L331">
        <v>69336</v>
      </c>
      <c r="M331">
        <v>293000</v>
      </c>
      <c r="N331">
        <v>338649</v>
      </c>
      <c r="O331">
        <v>82</v>
      </c>
      <c r="P331">
        <v>14.8</v>
      </c>
      <c r="Q331" t="s">
        <v>37</v>
      </c>
      <c r="R331" t="s">
        <v>38</v>
      </c>
    </row>
    <row r="332" spans="1:18" x14ac:dyDescent="0.3">
      <c r="A332" t="s">
        <v>39</v>
      </c>
      <c r="B332" t="s">
        <v>64</v>
      </c>
      <c r="C332">
        <v>159</v>
      </c>
      <c r="D332" t="s">
        <v>20</v>
      </c>
      <c r="E332">
        <v>2024</v>
      </c>
      <c r="F332" t="s">
        <v>35</v>
      </c>
      <c r="G332">
        <v>136</v>
      </c>
      <c r="H332">
        <v>38.9</v>
      </c>
      <c r="I332">
        <v>11.6</v>
      </c>
      <c r="J332">
        <v>89844</v>
      </c>
      <c r="K332">
        <v>28</v>
      </c>
      <c r="L332">
        <v>25156</v>
      </c>
      <c r="M332">
        <v>115000</v>
      </c>
      <c r="N332">
        <v>136196</v>
      </c>
      <c r="O332">
        <v>62</v>
      </c>
      <c r="P332">
        <v>13.6</v>
      </c>
      <c r="Q332" t="s">
        <v>37</v>
      </c>
      <c r="R332" t="s">
        <v>38</v>
      </c>
    </row>
    <row r="333" spans="1:18" x14ac:dyDescent="0.3">
      <c r="A333" t="s">
        <v>32</v>
      </c>
      <c r="B333" t="s">
        <v>66</v>
      </c>
      <c r="C333">
        <v>349</v>
      </c>
      <c r="D333" t="s">
        <v>34</v>
      </c>
      <c r="E333">
        <v>2020</v>
      </c>
      <c r="F333" t="s">
        <v>35</v>
      </c>
      <c r="G333">
        <v>153</v>
      </c>
      <c r="H333">
        <v>30.2</v>
      </c>
      <c r="I333">
        <v>17.100000000000001</v>
      </c>
      <c r="J333">
        <v>168750</v>
      </c>
      <c r="K333">
        <v>28</v>
      </c>
      <c r="L333">
        <v>47250</v>
      </c>
      <c r="M333">
        <v>216000</v>
      </c>
      <c r="N333">
        <v>252033</v>
      </c>
      <c r="O333">
        <v>72</v>
      </c>
      <c r="P333">
        <v>6.4</v>
      </c>
      <c r="Q333" t="s">
        <v>22</v>
      </c>
      <c r="R333" t="s">
        <v>23</v>
      </c>
    </row>
    <row r="334" spans="1:18" x14ac:dyDescent="0.3">
      <c r="A334" t="s">
        <v>24</v>
      </c>
      <c r="B334" t="s">
        <v>65</v>
      </c>
      <c r="C334">
        <v>149</v>
      </c>
      <c r="D334" t="s">
        <v>20</v>
      </c>
      <c r="E334">
        <v>2021</v>
      </c>
      <c r="F334" t="s">
        <v>35</v>
      </c>
      <c r="G334">
        <v>116</v>
      </c>
      <c r="H334">
        <v>58.8</v>
      </c>
      <c r="I334">
        <v>13.4</v>
      </c>
      <c r="J334">
        <v>87500</v>
      </c>
      <c r="K334">
        <v>28</v>
      </c>
      <c r="L334">
        <v>24500</v>
      </c>
      <c r="M334">
        <v>112000</v>
      </c>
      <c r="N334">
        <v>133667</v>
      </c>
      <c r="O334">
        <v>70</v>
      </c>
      <c r="P334">
        <v>5.2</v>
      </c>
      <c r="Q334" t="s">
        <v>22</v>
      </c>
      <c r="R334" t="s">
        <v>23</v>
      </c>
    </row>
    <row r="335" spans="1:18" x14ac:dyDescent="0.3">
      <c r="A335" t="s">
        <v>55</v>
      </c>
      <c r="B335" t="s">
        <v>56</v>
      </c>
      <c r="C335">
        <v>249</v>
      </c>
      <c r="D335" t="s">
        <v>34</v>
      </c>
      <c r="E335">
        <v>2022</v>
      </c>
      <c r="F335" t="s">
        <v>21</v>
      </c>
      <c r="G335">
        <v>157</v>
      </c>
      <c r="H335">
        <v>33.700000000000003</v>
      </c>
      <c r="I335">
        <v>17.600000000000001</v>
      </c>
      <c r="J335">
        <v>163281</v>
      </c>
      <c r="K335">
        <v>28</v>
      </c>
      <c r="L335">
        <v>45719</v>
      </c>
      <c r="M335">
        <v>209000</v>
      </c>
      <c r="N335">
        <v>236400</v>
      </c>
      <c r="O335">
        <v>70</v>
      </c>
      <c r="P335">
        <v>14.3</v>
      </c>
      <c r="Q335" t="s">
        <v>37</v>
      </c>
      <c r="R335" t="s">
        <v>38</v>
      </c>
    </row>
    <row r="336" spans="1:18" x14ac:dyDescent="0.3">
      <c r="A336" t="s">
        <v>24</v>
      </c>
      <c r="B336" t="s">
        <v>74</v>
      </c>
      <c r="C336">
        <v>199</v>
      </c>
      <c r="D336" t="s">
        <v>20</v>
      </c>
      <c r="E336">
        <v>2020</v>
      </c>
      <c r="F336" t="s">
        <v>21</v>
      </c>
      <c r="G336">
        <v>138</v>
      </c>
      <c r="H336">
        <v>40.700000000000003</v>
      </c>
      <c r="I336">
        <v>11.9</v>
      </c>
      <c r="J336">
        <v>133594</v>
      </c>
      <c r="K336">
        <v>28</v>
      </c>
      <c r="L336">
        <v>37406</v>
      </c>
      <c r="M336">
        <v>171000</v>
      </c>
      <c r="N336">
        <v>199308</v>
      </c>
      <c r="O336">
        <v>71</v>
      </c>
      <c r="P336">
        <v>7.5</v>
      </c>
      <c r="Q336" t="s">
        <v>22</v>
      </c>
      <c r="R336" t="s">
        <v>23</v>
      </c>
    </row>
    <row r="337" spans="1:18" x14ac:dyDescent="0.3">
      <c r="A337" t="s">
        <v>28</v>
      </c>
      <c r="B337" t="s">
        <v>53</v>
      </c>
      <c r="C337">
        <v>440</v>
      </c>
      <c r="D337" t="s">
        <v>34</v>
      </c>
      <c r="E337">
        <v>2021</v>
      </c>
      <c r="F337" t="s">
        <v>21</v>
      </c>
      <c r="G337">
        <v>179</v>
      </c>
      <c r="H337">
        <v>21.4</v>
      </c>
      <c r="I337">
        <v>14</v>
      </c>
      <c r="J337">
        <v>170992</v>
      </c>
      <c r="K337">
        <v>31</v>
      </c>
      <c r="L337">
        <v>53008</v>
      </c>
      <c r="M337">
        <v>224000</v>
      </c>
      <c r="N337">
        <v>255708</v>
      </c>
      <c r="O337">
        <v>81</v>
      </c>
      <c r="P337">
        <v>1.8</v>
      </c>
      <c r="Q337" t="s">
        <v>57</v>
      </c>
      <c r="R337" t="s">
        <v>58</v>
      </c>
    </row>
    <row r="338" spans="1:18" x14ac:dyDescent="0.3">
      <c r="A338" t="s">
        <v>24</v>
      </c>
      <c r="B338" t="s">
        <v>77</v>
      </c>
      <c r="C338">
        <v>160</v>
      </c>
      <c r="D338" t="s">
        <v>20</v>
      </c>
      <c r="E338">
        <v>2025</v>
      </c>
      <c r="F338" t="s">
        <v>21</v>
      </c>
      <c r="G338">
        <v>125</v>
      </c>
      <c r="H338">
        <v>38.4</v>
      </c>
      <c r="I338">
        <v>13.9</v>
      </c>
      <c r="J338">
        <v>99219</v>
      </c>
      <c r="K338">
        <v>28</v>
      </c>
      <c r="L338">
        <v>27781</v>
      </c>
      <c r="M338">
        <v>127000</v>
      </c>
      <c r="N338">
        <v>152127</v>
      </c>
      <c r="O338">
        <v>68</v>
      </c>
      <c r="P338">
        <v>7.8</v>
      </c>
      <c r="Q338" t="s">
        <v>22</v>
      </c>
      <c r="R338" t="s">
        <v>23</v>
      </c>
    </row>
    <row r="339" spans="1:18" x14ac:dyDescent="0.3">
      <c r="A339" t="s">
        <v>32</v>
      </c>
      <c r="B339" t="s">
        <v>66</v>
      </c>
      <c r="C339">
        <v>349</v>
      </c>
      <c r="D339" t="s">
        <v>34</v>
      </c>
      <c r="E339">
        <v>2020</v>
      </c>
      <c r="F339" t="s">
        <v>35</v>
      </c>
      <c r="G339">
        <v>145</v>
      </c>
      <c r="H339">
        <v>32.6</v>
      </c>
      <c r="I339">
        <v>13.9</v>
      </c>
      <c r="J339">
        <v>167969</v>
      </c>
      <c r="K339">
        <v>28</v>
      </c>
      <c r="L339">
        <v>47031</v>
      </c>
      <c r="M339">
        <v>215000</v>
      </c>
      <c r="N339">
        <v>242557</v>
      </c>
      <c r="O339">
        <v>73</v>
      </c>
      <c r="P339">
        <v>12</v>
      </c>
      <c r="Q339" t="s">
        <v>37</v>
      </c>
      <c r="R339" t="s">
        <v>38</v>
      </c>
    </row>
    <row r="340" spans="1:18" x14ac:dyDescent="0.3">
      <c r="A340" t="s">
        <v>50</v>
      </c>
      <c r="B340" t="s">
        <v>109</v>
      </c>
      <c r="C340">
        <v>373</v>
      </c>
      <c r="D340" t="s">
        <v>34</v>
      </c>
      <c r="E340">
        <v>2020</v>
      </c>
      <c r="F340" t="s">
        <v>21</v>
      </c>
      <c r="G340">
        <v>194</v>
      </c>
      <c r="H340">
        <v>19.399999999999999</v>
      </c>
      <c r="I340">
        <v>19.2</v>
      </c>
      <c r="J340">
        <v>261069</v>
      </c>
      <c r="K340">
        <v>31</v>
      </c>
      <c r="L340">
        <v>80931</v>
      </c>
      <c r="M340">
        <v>342000</v>
      </c>
      <c r="N340">
        <v>395311</v>
      </c>
      <c r="O340">
        <v>74</v>
      </c>
      <c r="P340">
        <v>11.2</v>
      </c>
      <c r="Q340" t="s">
        <v>37</v>
      </c>
      <c r="R340" t="s">
        <v>38</v>
      </c>
    </row>
    <row r="341" spans="1:18" x14ac:dyDescent="0.3">
      <c r="A341" t="s">
        <v>55</v>
      </c>
      <c r="B341" t="s">
        <v>89</v>
      </c>
      <c r="C341">
        <v>155</v>
      </c>
      <c r="D341" t="s">
        <v>20</v>
      </c>
      <c r="E341">
        <v>2023</v>
      </c>
      <c r="F341" t="s">
        <v>35</v>
      </c>
      <c r="G341">
        <v>131</v>
      </c>
      <c r="H341">
        <v>39.200000000000003</v>
      </c>
      <c r="I341">
        <v>12</v>
      </c>
      <c r="J341">
        <v>100000</v>
      </c>
      <c r="K341">
        <v>28</v>
      </c>
      <c r="L341">
        <v>28000</v>
      </c>
      <c r="M341">
        <v>128000</v>
      </c>
      <c r="N341">
        <v>150168</v>
      </c>
      <c r="O341">
        <v>62</v>
      </c>
      <c r="P341">
        <v>2.8</v>
      </c>
      <c r="Q341" t="s">
        <v>26</v>
      </c>
      <c r="R341" t="s">
        <v>27</v>
      </c>
    </row>
    <row r="342" spans="1:18" x14ac:dyDescent="0.3">
      <c r="A342" t="s">
        <v>39</v>
      </c>
      <c r="B342" t="s">
        <v>93</v>
      </c>
      <c r="C342">
        <v>225</v>
      </c>
      <c r="D342" t="s">
        <v>20</v>
      </c>
      <c r="E342">
        <v>2023</v>
      </c>
      <c r="F342" t="s">
        <v>21</v>
      </c>
      <c r="G342">
        <v>156</v>
      </c>
      <c r="H342">
        <v>31.7</v>
      </c>
      <c r="I342">
        <v>19.2</v>
      </c>
      <c r="J342">
        <v>121875</v>
      </c>
      <c r="K342">
        <v>28</v>
      </c>
      <c r="L342">
        <v>34125</v>
      </c>
      <c r="M342">
        <v>156000</v>
      </c>
      <c r="N342">
        <v>182422</v>
      </c>
      <c r="O342">
        <v>73</v>
      </c>
      <c r="P342">
        <v>8.3000000000000007</v>
      </c>
      <c r="Q342" t="s">
        <v>22</v>
      </c>
      <c r="R342" t="s">
        <v>23</v>
      </c>
    </row>
    <row r="343" spans="1:18" x14ac:dyDescent="0.3">
      <c r="A343" t="s">
        <v>18</v>
      </c>
      <c r="B343" t="s">
        <v>44</v>
      </c>
      <c r="C343">
        <v>348</v>
      </c>
      <c r="D343" t="s">
        <v>34</v>
      </c>
      <c r="E343">
        <v>2021</v>
      </c>
      <c r="F343" t="s">
        <v>21</v>
      </c>
      <c r="G343">
        <v>165</v>
      </c>
      <c r="H343">
        <v>29.4</v>
      </c>
      <c r="I343">
        <v>18.100000000000001</v>
      </c>
      <c r="J343">
        <v>160156</v>
      </c>
      <c r="K343">
        <v>28</v>
      </c>
      <c r="L343">
        <v>44844</v>
      </c>
      <c r="M343">
        <v>205000</v>
      </c>
      <c r="N343">
        <v>239185</v>
      </c>
      <c r="O343">
        <v>78</v>
      </c>
      <c r="P343">
        <v>1.3</v>
      </c>
      <c r="Q343" t="s">
        <v>57</v>
      </c>
      <c r="R343" t="s">
        <v>58</v>
      </c>
    </row>
    <row r="344" spans="1:18" x14ac:dyDescent="0.3">
      <c r="A344" t="s">
        <v>18</v>
      </c>
      <c r="B344" t="s">
        <v>79</v>
      </c>
      <c r="C344">
        <v>293</v>
      </c>
      <c r="D344" t="s">
        <v>34</v>
      </c>
      <c r="E344">
        <v>2025</v>
      </c>
      <c r="F344" t="s">
        <v>21</v>
      </c>
      <c r="G344">
        <v>160</v>
      </c>
      <c r="H344">
        <v>31</v>
      </c>
      <c r="I344">
        <v>14.8</v>
      </c>
      <c r="J344">
        <v>201562</v>
      </c>
      <c r="K344">
        <v>28</v>
      </c>
      <c r="L344">
        <v>56438</v>
      </c>
      <c r="M344">
        <v>258000</v>
      </c>
      <c r="N344">
        <v>291714</v>
      </c>
      <c r="O344">
        <v>72</v>
      </c>
      <c r="P344">
        <v>6.3</v>
      </c>
      <c r="Q344" t="s">
        <v>22</v>
      </c>
      <c r="R344" t="s">
        <v>23</v>
      </c>
    </row>
    <row r="345" spans="1:18" x14ac:dyDescent="0.3">
      <c r="A345" t="s">
        <v>55</v>
      </c>
      <c r="B345" t="s">
        <v>75</v>
      </c>
      <c r="C345">
        <v>155</v>
      </c>
      <c r="D345" t="s">
        <v>20</v>
      </c>
      <c r="E345">
        <v>2023</v>
      </c>
      <c r="F345" t="s">
        <v>35</v>
      </c>
      <c r="G345">
        <v>120</v>
      </c>
      <c r="H345">
        <v>43.5</v>
      </c>
      <c r="I345">
        <v>11.8</v>
      </c>
      <c r="J345">
        <v>115625</v>
      </c>
      <c r="K345">
        <v>28</v>
      </c>
      <c r="L345">
        <v>32375</v>
      </c>
      <c r="M345">
        <v>148000</v>
      </c>
      <c r="N345">
        <v>170380</v>
      </c>
      <c r="O345">
        <v>58</v>
      </c>
      <c r="P345">
        <v>10.7</v>
      </c>
      <c r="Q345" t="s">
        <v>37</v>
      </c>
      <c r="R345" t="s">
        <v>38</v>
      </c>
    </row>
    <row r="346" spans="1:18" x14ac:dyDescent="0.3">
      <c r="A346" t="s">
        <v>18</v>
      </c>
      <c r="B346" t="s">
        <v>78</v>
      </c>
      <c r="C346">
        <v>184</v>
      </c>
      <c r="D346" t="s">
        <v>20</v>
      </c>
      <c r="E346">
        <v>2020</v>
      </c>
      <c r="F346" t="s">
        <v>21</v>
      </c>
      <c r="G346">
        <v>120</v>
      </c>
      <c r="H346">
        <v>43.9</v>
      </c>
      <c r="I346">
        <v>12.6</v>
      </c>
      <c r="J346">
        <v>117969</v>
      </c>
      <c r="K346">
        <v>28</v>
      </c>
      <c r="L346">
        <v>33031</v>
      </c>
      <c r="M346">
        <v>151000</v>
      </c>
      <c r="N346">
        <v>175785</v>
      </c>
      <c r="O346">
        <v>73</v>
      </c>
      <c r="P346">
        <v>6.9</v>
      </c>
      <c r="Q346" t="s">
        <v>22</v>
      </c>
      <c r="R346" t="s">
        <v>23</v>
      </c>
    </row>
    <row r="347" spans="1:18" x14ac:dyDescent="0.3">
      <c r="A347" t="s">
        <v>39</v>
      </c>
      <c r="B347" t="s">
        <v>83</v>
      </c>
      <c r="C347">
        <v>124</v>
      </c>
      <c r="D347" t="s">
        <v>30</v>
      </c>
      <c r="E347">
        <v>2020</v>
      </c>
      <c r="F347" t="s">
        <v>21</v>
      </c>
      <c r="G347">
        <v>108</v>
      </c>
      <c r="H347">
        <v>55.2</v>
      </c>
      <c r="I347">
        <v>12</v>
      </c>
      <c r="J347">
        <v>75781</v>
      </c>
      <c r="K347">
        <v>28</v>
      </c>
      <c r="L347">
        <v>21219</v>
      </c>
      <c r="M347">
        <v>97000</v>
      </c>
      <c r="N347">
        <v>113630</v>
      </c>
      <c r="O347">
        <v>67</v>
      </c>
      <c r="P347">
        <v>2.6</v>
      </c>
      <c r="Q347" t="s">
        <v>26</v>
      </c>
      <c r="R347" t="s">
        <v>27</v>
      </c>
    </row>
    <row r="348" spans="1:18" x14ac:dyDescent="0.3">
      <c r="A348" t="s">
        <v>24</v>
      </c>
      <c r="B348" t="s">
        <v>77</v>
      </c>
      <c r="C348">
        <v>160</v>
      </c>
      <c r="D348" t="s">
        <v>20</v>
      </c>
      <c r="E348">
        <v>2023</v>
      </c>
      <c r="F348" t="s">
        <v>21</v>
      </c>
      <c r="G348">
        <v>129</v>
      </c>
      <c r="H348">
        <v>44.1</v>
      </c>
      <c r="I348">
        <v>13.6</v>
      </c>
      <c r="J348">
        <v>106250</v>
      </c>
      <c r="K348">
        <v>28</v>
      </c>
      <c r="L348">
        <v>29750</v>
      </c>
      <c r="M348">
        <v>136000</v>
      </c>
      <c r="N348">
        <v>161596</v>
      </c>
      <c r="O348">
        <v>69</v>
      </c>
      <c r="P348">
        <v>1.6</v>
      </c>
      <c r="Q348" t="s">
        <v>57</v>
      </c>
      <c r="R348" t="s">
        <v>58</v>
      </c>
    </row>
    <row r="349" spans="1:18" x14ac:dyDescent="0.3">
      <c r="A349" t="s">
        <v>42</v>
      </c>
      <c r="B349" t="s">
        <v>59</v>
      </c>
      <c r="C349">
        <v>155</v>
      </c>
      <c r="D349" t="s">
        <v>20</v>
      </c>
      <c r="E349">
        <v>2024</v>
      </c>
      <c r="F349" t="s">
        <v>21</v>
      </c>
      <c r="G349">
        <v>135</v>
      </c>
      <c r="H349">
        <v>45.4</v>
      </c>
      <c r="I349">
        <v>10.3</v>
      </c>
      <c r="J349">
        <v>128906</v>
      </c>
      <c r="K349">
        <v>28</v>
      </c>
      <c r="L349">
        <v>36094</v>
      </c>
      <c r="M349">
        <v>165000</v>
      </c>
      <c r="N349">
        <v>187836</v>
      </c>
      <c r="O349">
        <v>75</v>
      </c>
      <c r="P349">
        <v>14.3</v>
      </c>
      <c r="Q349" t="s">
        <v>37</v>
      </c>
      <c r="R349" t="s">
        <v>38</v>
      </c>
    </row>
    <row r="350" spans="1:18" x14ac:dyDescent="0.3">
      <c r="A350" t="s">
        <v>18</v>
      </c>
      <c r="B350" t="s">
        <v>61</v>
      </c>
      <c r="C350">
        <v>124</v>
      </c>
      <c r="D350" t="s">
        <v>30</v>
      </c>
      <c r="E350">
        <v>2020</v>
      </c>
      <c r="F350" t="s">
        <v>21</v>
      </c>
      <c r="G350">
        <v>106</v>
      </c>
      <c r="H350">
        <v>51.9</v>
      </c>
      <c r="I350">
        <v>13.4</v>
      </c>
      <c r="J350">
        <v>81250</v>
      </c>
      <c r="K350">
        <v>28</v>
      </c>
      <c r="L350">
        <v>22750</v>
      </c>
      <c r="M350">
        <v>104000</v>
      </c>
      <c r="N350">
        <v>122282</v>
      </c>
      <c r="O350">
        <v>67</v>
      </c>
      <c r="P350">
        <v>12.4</v>
      </c>
      <c r="Q350" t="s">
        <v>37</v>
      </c>
      <c r="R350" t="s">
        <v>38</v>
      </c>
    </row>
    <row r="351" spans="1:18" x14ac:dyDescent="0.3">
      <c r="A351" t="s">
        <v>32</v>
      </c>
      <c r="B351" t="s">
        <v>36</v>
      </c>
      <c r="C351">
        <v>411</v>
      </c>
      <c r="D351" t="s">
        <v>34</v>
      </c>
      <c r="E351">
        <v>2025</v>
      </c>
      <c r="F351" t="s">
        <v>35</v>
      </c>
      <c r="G351">
        <v>162</v>
      </c>
      <c r="H351">
        <v>23.9</v>
      </c>
      <c r="I351">
        <v>17.5</v>
      </c>
      <c r="J351">
        <v>171756</v>
      </c>
      <c r="K351">
        <v>31</v>
      </c>
      <c r="L351">
        <v>53244</v>
      </c>
      <c r="M351">
        <v>225000</v>
      </c>
      <c r="N351">
        <v>258277</v>
      </c>
      <c r="O351">
        <v>70</v>
      </c>
      <c r="P351">
        <v>12.9</v>
      </c>
      <c r="Q351" t="s">
        <v>37</v>
      </c>
      <c r="R351" t="s">
        <v>38</v>
      </c>
    </row>
    <row r="352" spans="1:18" x14ac:dyDescent="0.3">
      <c r="A352" t="s">
        <v>32</v>
      </c>
      <c r="B352" t="s">
        <v>85</v>
      </c>
      <c r="C352">
        <v>346</v>
      </c>
      <c r="D352" t="s">
        <v>34</v>
      </c>
      <c r="E352">
        <v>2023</v>
      </c>
      <c r="F352" t="s">
        <v>31</v>
      </c>
      <c r="G352">
        <v>150</v>
      </c>
      <c r="H352">
        <v>31</v>
      </c>
      <c r="I352">
        <v>19.7</v>
      </c>
      <c r="J352">
        <v>133594</v>
      </c>
      <c r="K352">
        <v>28</v>
      </c>
      <c r="L352">
        <v>37406</v>
      </c>
      <c r="M352">
        <v>171000</v>
      </c>
      <c r="N352">
        <v>197311</v>
      </c>
      <c r="O352">
        <v>61</v>
      </c>
      <c r="P352">
        <v>2.6</v>
      </c>
      <c r="Q352" t="s">
        <v>26</v>
      </c>
      <c r="R352" t="s">
        <v>27</v>
      </c>
    </row>
    <row r="353" spans="1:18" x14ac:dyDescent="0.3">
      <c r="A353" t="s">
        <v>39</v>
      </c>
      <c r="B353" t="s">
        <v>83</v>
      </c>
      <c r="C353">
        <v>124</v>
      </c>
      <c r="D353" t="s">
        <v>30</v>
      </c>
      <c r="E353">
        <v>2025</v>
      </c>
      <c r="F353" t="s">
        <v>21</v>
      </c>
      <c r="G353">
        <v>110</v>
      </c>
      <c r="H353">
        <v>57</v>
      </c>
      <c r="I353">
        <v>10.199999999999999</v>
      </c>
      <c r="J353">
        <v>78125</v>
      </c>
      <c r="K353">
        <v>28</v>
      </c>
      <c r="L353">
        <v>21875</v>
      </c>
      <c r="M353">
        <v>100000</v>
      </c>
      <c r="N353">
        <v>118443</v>
      </c>
      <c r="O353">
        <v>64</v>
      </c>
      <c r="P353">
        <v>2.9</v>
      </c>
      <c r="Q353" t="s">
        <v>26</v>
      </c>
      <c r="R353" t="s">
        <v>27</v>
      </c>
    </row>
    <row r="354" spans="1:18" x14ac:dyDescent="0.3">
      <c r="A354" t="s">
        <v>24</v>
      </c>
      <c r="B354" t="s">
        <v>107</v>
      </c>
      <c r="C354">
        <v>102</v>
      </c>
      <c r="D354" t="s">
        <v>30</v>
      </c>
      <c r="E354">
        <v>2022</v>
      </c>
      <c r="F354" t="s">
        <v>31</v>
      </c>
      <c r="G354">
        <v>90</v>
      </c>
      <c r="H354">
        <v>73</v>
      </c>
      <c r="I354">
        <v>9.1999999999999993</v>
      </c>
      <c r="J354">
        <v>43750</v>
      </c>
      <c r="K354">
        <v>28</v>
      </c>
      <c r="L354">
        <v>12250</v>
      </c>
      <c r="M354">
        <v>56000</v>
      </c>
      <c r="N354">
        <v>69072</v>
      </c>
      <c r="O354">
        <v>64</v>
      </c>
      <c r="P354">
        <v>6.3</v>
      </c>
      <c r="Q354" t="s">
        <v>37</v>
      </c>
      <c r="R354" t="s">
        <v>38</v>
      </c>
    </row>
    <row r="355" spans="1:18" x14ac:dyDescent="0.3">
      <c r="A355" t="s">
        <v>18</v>
      </c>
      <c r="B355" t="s">
        <v>79</v>
      </c>
      <c r="C355">
        <v>293</v>
      </c>
      <c r="D355" t="s">
        <v>34</v>
      </c>
      <c r="E355">
        <v>2025</v>
      </c>
      <c r="F355" t="s">
        <v>21</v>
      </c>
      <c r="G355">
        <v>148</v>
      </c>
      <c r="H355">
        <v>28.5</v>
      </c>
      <c r="I355">
        <v>19.100000000000001</v>
      </c>
      <c r="J355">
        <v>210156</v>
      </c>
      <c r="K355">
        <v>28</v>
      </c>
      <c r="L355">
        <v>58844</v>
      </c>
      <c r="M355">
        <v>269000</v>
      </c>
      <c r="N355">
        <v>312422</v>
      </c>
      <c r="O355">
        <v>82</v>
      </c>
      <c r="P355">
        <v>5.4</v>
      </c>
      <c r="Q355" t="s">
        <v>22</v>
      </c>
      <c r="R355" t="s">
        <v>23</v>
      </c>
    </row>
    <row r="356" spans="1:18" x14ac:dyDescent="0.3">
      <c r="A356" t="s">
        <v>55</v>
      </c>
      <c r="B356" t="s">
        <v>89</v>
      </c>
      <c r="C356">
        <v>155</v>
      </c>
      <c r="D356" t="s">
        <v>20</v>
      </c>
      <c r="E356">
        <v>2024</v>
      </c>
      <c r="F356" t="s">
        <v>35</v>
      </c>
      <c r="G356">
        <v>136</v>
      </c>
      <c r="H356">
        <v>45.8</v>
      </c>
      <c r="I356">
        <v>10.4</v>
      </c>
      <c r="J356">
        <v>110156</v>
      </c>
      <c r="K356">
        <v>28</v>
      </c>
      <c r="L356">
        <v>30844</v>
      </c>
      <c r="M356">
        <v>141000</v>
      </c>
      <c r="N356">
        <v>166099</v>
      </c>
      <c r="O356">
        <v>72</v>
      </c>
      <c r="P356">
        <v>10.6</v>
      </c>
      <c r="Q356" t="s">
        <v>37</v>
      </c>
      <c r="R356" t="s">
        <v>38</v>
      </c>
    </row>
    <row r="357" spans="1:18" x14ac:dyDescent="0.3">
      <c r="A357" t="s">
        <v>39</v>
      </c>
      <c r="B357" t="s">
        <v>40</v>
      </c>
      <c r="C357">
        <v>109</v>
      </c>
      <c r="D357" t="s">
        <v>30</v>
      </c>
      <c r="E357">
        <v>2021</v>
      </c>
      <c r="F357" t="s">
        <v>35</v>
      </c>
      <c r="G357">
        <v>86</v>
      </c>
      <c r="H357">
        <v>75.7</v>
      </c>
      <c r="I357">
        <v>9</v>
      </c>
      <c r="J357">
        <v>64062</v>
      </c>
      <c r="K357">
        <v>28</v>
      </c>
      <c r="L357">
        <v>17938</v>
      </c>
      <c r="M357">
        <v>82000</v>
      </c>
      <c r="N357">
        <v>96857</v>
      </c>
      <c r="O357">
        <v>61</v>
      </c>
      <c r="P357">
        <v>10</v>
      </c>
      <c r="Q357" t="s">
        <v>37</v>
      </c>
      <c r="R357" t="s">
        <v>38</v>
      </c>
    </row>
    <row r="358" spans="1:18" x14ac:dyDescent="0.3">
      <c r="A358" t="s">
        <v>42</v>
      </c>
      <c r="B358" t="s">
        <v>70</v>
      </c>
      <c r="C358">
        <v>249</v>
      </c>
      <c r="D358" t="s">
        <v>20</v>
      </c>
      <c r="E358">
        <v>2021</v>
      </c>
      <c r="F358" t="s">
        <v>21</v>
      </c>
      <c r="G358">
        <v>150</v>
      </c>
      <c r="H358">
        <v>30.6</v>
      </c>
      <c r="I358">
        <v>16.899999999999999</v>
      </c>
      <c r="J358">
        <v>135938</v>
      </c>
      <c r="K358">
        <v>28</v>
      </c>
      <c r="L358">
        <v>38062</v>
      </c>
      <c r="M358">
        <v>174000</v>
      </c>
      <c r="N358">
        <v>203465</v>
      </c>
      <c r="O358">
        <v>69</v>
      </c>
      <c r="P358">
        <v>1.7</v>
      </c>
      <c r="Q358" t="s">
        <v>57</v>
      </c>
      <c r="R358" t="s">
        <v>58</v>
      </c>
    </row>
    <row r="359" spans="1:18" x14ac:dyDescent="0.3">
      <c r="A359" t="s">
        <v>32</v>
      </c>
      <c r="B359" t="s">
        <v>73</v>
      </c>
      <c r="C359">
        <v>648</v>
      </c>
      <c r="D359" t="s">
        <v>34</v>
      </c>
      <c r="E359">
        <v>2023</v>
      </c>
      <c r="F359" t="s">
        <v>31</v>
      </c>
      <c r="G359">
        <v>191</v>
      </c>
      <c r="H359">
        <v>21.7</v>
      </c>
      <c r="I359">
        <v>18.2</v>
      </c>
      <c r="J359">
        <v>255725</v>
      </c>
      <c r="K359">
        <v>31</v>
      </c>
      <c r="L359">
        <v>79275</v>
      </c>
      <c r="M359">
        <v>335000</v>
      </c>
      <c r="N359">
        <v>382422</v>
      </c>
      <c r="O359">
        <v>70</v>
      </c>
      <c r="P359">
        <v>5.4</v>
      </c>
      <c r="Q359" t="s">
        <v>22</v>
      </c>
      <c r="R359" t="s">
        <v>23</v>
      </c>
    </row>
    <row r="360" spans="1:18" x14ac:dyDescent="0.3">
      <c r="A360" t="s">
        <v>28</v>
      </c>
      <c r="B360" t="s">
        <v>48</v>
      </c>
      <c r="C360">
        <v>110</v>
      </c>
      <c r="D360" t="s">
        <v>30</v>
      </c>
      <c r="E360">
        <v>2025</v>
      </c>
      <c r="F360" t="s">
        <v>35</v>
      </c>
      <c r="G360">
        <v>94</v>
      </c>
      <c r="H360">
        <v>75.5</v>
      </c>
      <c r="I360">
        <v>9.3000000000000007</v>
      </c>
      <c r="J360">
        <v>58594</v>
      </c>
      <c r="K360">
        <v>28</v>
      </c>
      <c r="L360">
        <v>16406</v>
      </c>
      <c r="M360">
        <v>75000</v>
      </c>
      <c r="N360">
        <v>87323</v>
      </c>
      <c r="O360">
        <v>71</v>
      </c>
      <c r="P360">
        <v>8.9</v>
      </c>
      <c r="Q360" t="s">
        <v>22</v>
      </c>
      <c r="R360" t="s">
        <v>23</v>
      </c>
    </row>
    <row r="361" spans="1:18" x14ac:dyDescent="0.3">
      <c r="A361" t="s">
        <v>32</v>
      </c>
      <c r="B361" t="s">
        <v>46</v>
      </c>
      <c r="C361">
        <v>349</v>
      </c>
      <c r="D361" t="s">
        <v>34</v>
      </c>
      <c r="E361">
        <v>2025</v>
      </c>
      <c r="F361" t="s">
        <v>35</v>
      </c>
      <c r="G361">
        <v>164</v>
      </c>
      <c r="H361">
        <v>30.7</v>
      </c>
      <c r="I361">
        <v>17.600000000000001</v>
      </c>
      <c r="J361">
        <v>125781</v>
      </c>
      <c r="K361">
        <v>28</v>
      </c>
      <c r="L361">
        <v>35219</v>
      </c>
      <c r="M361">
        <v>161000</v>
      </c>
      <c r="N361">
        <v>183638</v>
      </c>
      <c r="O361">
        <v>75</v>
      </c>
      <c r="P361">
        <v>9.4</v>
      </c>
      <c r="Q361" t="s">
        <v>22</v>
      </c>
      <c r="R361" t="s">
        <v>23</v>
      </c>
    </row>
    <row r="362" spans="1:18" x14ac:dyDescent="0.3">
      <c r="A362" t="s">
        <v>42</v>
      </c>
      <c r="B362" t="s">
        <v>102</v>
      </c>
      <c r="C362">
        <v>113</v>
      </c>
      <c r="D362" t="s">
        <v>30</v>
      </c>
      <c r="E362">
        <v>2025</v>
      </c>
      <c r="F362" t="s">
        <v>31</v>
      </c>
      <c r="G362">
        <v>114</v>
      </c>
      <c r="H362">
        <v>53.1</v>
      </c>
      <c r="I362">
        <v>10.4</v>
      </c>
      <c r="J362">
        <v>54688</v>
      </c>
      <c r="K362">
        <v>28</v>
      </c>
      <c r="L362">
        <v>15312</v>
      </c>
      <c r="M362">
        <v>70000</v>
      </c>
      <c r="N362">
        <v>83535</v>
      </c>
      <c r="O362">
        <v>58</v>
      </c>
      <c r="P362">
        <v>8.3000000000000007</v>
      </c>
      <c r="Q362" t="s">
        <v>37</v>
      </c>
      <c r="R362" t="s">
        <v>38</v>
      </c>
    </row>
    <row r="363" spans="1:18" x14ac:dyDescent="0.3">
      <c r="A363" t="s">
        <v>24</v>
      </c>
      <c r="B363" t="s">
        <v>101</v>
      </c>
      <c r="C363">
        <v>102</v>
      </c>
      <c r="D363" t="s">
        <v>30</v>
      </c>
      <c r="E363">
        <v>2023</v>
      </c>
      <c r="F363" t="s">
        <v>31</v>
      </c>
      <c r="G363">
        <v>91</v>
      </c>
      <c r="H363">
        <v>63.4</v>
      </c>
      <c r="I363">
        <v>8.4</v>
      </c>
      <c r="J363">
        <v>53125</v>
      </c>
      <c r="K363">
        <v>28</v>
      </c>
      <c r="L363">
        <v>14875</v>
      </c>
      <c r="M363">
        <v>68000</v>
      </c>
      <c r="N363">
        <v>82401</v>
      </c>
      <c r="O363">
        <v>58</v>
      </c>
      <c r="P363">
        <v>2.7</v>
      </c>
      <c r="Q363" t="s">
        <v>26</v>
      </c>
      <c r="R363" t="s">
        <v>27</v>
      </c>
    </row>
    <row r="364" spans="1:18" x14ac:dyDescent="0.3">
      <c r="A364" t="s">
        <v>24</v>
      </c>
      <c r="B364" t="s">
        <v>65</v>
      </c>
      <c r="C364">
        <v>149</v>
      </c>
      <c r="D364" t="s">
        <v>20</v>
      </c>
      <c r="E364">
        <v>2024</v>
      </c>
      <c r="F364" t="s">
        <v>35</v>
      </c>
      <c r="G364">
        <v>108</v>
      </c>
      <c r="H364">
        <v>59.5</v>
      </c>
      <c r="I364">
        <v>13.8</v>
      </c>
      <c r="J364">
        <v>92969</v>
      </c>
      <c r="K364">
        <v>28</v>
      </c>
      <c r="L364">
        <v>26031</v>
      </c>
      <c r="M364">
        <v>119000</v>
      </c>
      <c r="N364">
        <v>138182</v>
      </c>
      <c r="O364">
        <v>69</v>
      </c>
      <c r="P364">
        <v>7.4</v>
      </c>
      <c r="Q364" t="s">
        <v>22</v>
      </c>
      <c r="R364" t="s">
        <v>23</v>
      </c>
    </row>
    <row r="365" spans="1:18" x14ac:dyDescent="0.3">
      <c r="A365" t="s">
        <v>18</v>
      </c>
      <c r="B365" t="s">
        <v>44</v>
      </c>
      <c r="C365">
        <v>348</v>
      </c>
      <c r="D365" t="s">
        <v>34</v>
      </c>
      <c r="E365">
        <v>2021</v>
      </c>
      <c r="F365" t="s">
        <v>21</v>
      </c>
      <c r="G365">
        <v>158</v>
      </c>
      <c r="H365">
        <v>35.299999999999997</v>
      </c>
      <c r="I365">
        <v>17.8</v>
      </c>
      <c r="J365">
        <v>176562</v>
      </c>
      <c r="K365">
        <v>28</v>
      </c>
      <c r="L365">
        <v>49438</v>
      </c>
      <c r="M365">
        <v>226000</v>
      </c>
      <c r="N365">
        <v>258493</v>
      </c>
      <c r="O365">
        <v>85</v>
      </c>
      <c r="P365">
        <v>13.9</v>
      </c>
      <c r="Q365" t="s">
        <v>37</v>
      </c>
      <c r="R365" t="s">
        <v>38</v>
      </c>
    </row>
    <row r="366" spans="1:18" x14ac:dyDescent="0.3">
      <c r="A366" t="s">
        <v>24</v>
      </c>
      <c r="B366" t="s">
        <v>100</v>
      </c>
      <c r="C366">
        <v>115</v>
      </c>
      <c r="D366" t="s">
        <v>30</v>
      </c>
      <c r="E366">
        <v>2023</v>
      </c>
      <c r="F366" t="s">
        <v>35</v>
      </c>
      <c r="G366">
        <v>115</v>
      </c>
      <c r="H366">
        <v>56.4</v>
      </c>
      <c r="I366">
        <v>13.9</v>
      </c>
      <c r="J366">
        <v>64844</v>
      </c>
      <c r="K366">
        <v>28</v>
      </c>
      <c r="L366">
        <v>18156</v>
      </c>
      <c r="M366">
        <v>83000</v>
      </c>
      <c r="N366">
        <v>97658</v>
      </c>
      <c r="O366">
        <v>65</v>
      </c>
      <c r="P366">
        <v>13.3</v>
      </c>
      <c r="Q366" t="s">
        <v>37</v>
      </c>
      <c r="R366" t="s">
        <v>38</v>
      </c>
    </row>
    <row r="367" spans="1:18" x14ac:dyDescent="0.3">
      <c r="A367" t="s">
        <v>39</v>
      </c>
      <c r="B367" t="s">
        <v>40</v>
      </c>
      <c r="C367">
        <v>109</v>
      </c>
      <c r="D367" t="s">
        <v>30</v>
      </c>
      <c r="E367">
        <v>2025</v>
      </c>
      <c r="F367" t="s">
        <v>35</v>
      </c>
      <c r="G367">
        <v>89</v>
      </c>
      <c r="H367">
        <v>75.099999999999994</v>
      </c>
      <c r="I367">
        <v>9</v>
      </c>
      <c r="J367">
        <v>61719</v>
      </c>
      <c r="K367">
        <v>28</v>
      </c>
      <c r="L367">
        <v>17281</v>
      </c>
      <c r="M367">
        <v>79000</v>
      </c>
      <c r="N367">
        <v>96122</v>
      </c>
      <c r="O367">
        <v>67</v>
      </c>
      <c r="P367">
        <v>9.4</v>
      </c>
      <c r="Q367" t="s">
        <v>22</v>
      </c>
      <c r="R367" t="s">
        <v>23</v>
      </c>
    </row>
    <row r="368" spans="1:18" x14ac:dyDescent="0.3">
      <c r="A368" t="s">
        <v>55</v>
      </c>
      <c r="B368" t="s">
        <v>108</v>
      </c>
      <c r="C368">
        <v>249</v>
      </c>
      <c r="D368" t="s">
        <v>20</v>
      </c>
      <c r="E368">
        <v>2025</v>
      </c>
      <c r="F368" t="s">
        <v>21</v>
      </c>
      <c r="G368">
        <v>146</v>
      </c>
      <c r="H368">
        <v>29.8</v>
      </c>
      <c r="I368">
        <v>15.4</v>
      </c>
      <c r="J368">
        <v>160938</v>
      </c>
      <c r="K368">
        <v>28</v>
      </c>
      <c r="L368">
        <v>45062</v>
      </c>
      <c r="M368">
        <v>206000</v>
      </c>
      <c r="N368">
        <v>242971</v>
      </c>
      <c r="O368">
        <v>72</v>
      </c>
      <c r="P368">
        <v>11</v>
      </c>
      <c r="Q368" t="s">
        <v>37</v>
      </c>
      <c r="R368" t="s">
        <v>38</v>
      </c>
    </row>
    <row r="369" spans="1:18" x14ac:dyDescent="0.3">
      <c r="A369" t="s">
        <v>18</v>
      </c>
      <c r="B369" t="s">
        <v>79</v>
      </c>
      <c r="C369">
        <v>293</v>
      </c>
      <c r="D369" t="s">
        <v>34</v>
      </c>
      <c r="E369">
        <v>2022</v>
      </c>
      <c r="F369" t="s">
        <v>21</v>
      </c>
      <c r="G369">
        <v>160</v>
      </c>
      <c r="H369">
        <v>32.299999999999997</v>
      </c>
      <c r="I369">
        <v>16.899999999999999</v>
      </c>
      <c r="J369">
        <v>227344</v>
      </c>
      <c r="K369">
        <v>28</v>
      </c>
      <c r="L369">
        <v>63656</v>
      </c>
      <c r="M369">
        <v>291000</v>
      </c>
      <c r="N369">
        <v>340217</v>
      </c>
      <c r="O369">
        <v>77</v>
      </c>
      <c r="P369">
        <v>10.9</v>
      </c>
      <c r="Q369" t="s">
        <v>37</v>
      </c>
      <c r="R369" t="s">
        <v>38</v>
      </c>
    </row>
    <row r="370" spans="1:18" x14ac:dyDescent="0.3">
      <c r="A370" t="s">
        <v>50</v>
      </c>
      <c r="B370" t="s">
        <v>72</v>
      </c>
      <c r="C370">
        <v>373</v>
      </c>
      <c r="D370" t="s">
        <v>34</v>
      </c>
      <c r="E370">
        <v>2021</v>
      </c>
      <c r="F370" t="s">
        <v>21</v>
      </c>
      <c r="G370">
        <v>193</v>
      </c>
      <c r="H370">
        <v>23.6</v>
      </c>
      <c r="I370">
        <v>13.4</v>
      </c>
      <c r="J370">
        <v>243511</v>
      </c>
      <c r="K370">
        <v>31</v>
      </c>
      <c r="L370">
        <v>75489</v>
      </c>
      <c r="M370">
        <v>319000</v>
      </c>
      <c r="N370">
        <v>372632</v>
      </c>
      <c r="O370">
        <v>72</v>
      </c>
      <c r="P370">
        <v>1.4</v>
      </c>
      <c r="Q370" t="s">
        <v>57</v>
      </c>
      <c r="R370" t="s">
        <v>58</v>
      </c>
    </row>
    <row r="371" spans="1:18" x14ac:dyDescent="0.3">
      <c r="A371" t="s">
        <v>28</v>
      </c>
      <c r="B371" t="s">
        <v>99</v>
      </c>
      <c r="C371">
        <v>199</v>
      </c>
      <c r="D371" t="s">
        <v>20</v>
      </c>
      <c r="E371">
        <v>2022</v>
      </c>
      <c r="F371" t="s">
        <v>21</v>
      </c>
      <c r="G371">
        <v>124</v>
      </c>
      <c r="H371">
        <v>43.8</v>
      </c>
      <c r="I371">
        <v>10.8</v>
      </c>
      <c r="J371">
        <v>107812</v>
      </c>
      <c r="K371">
        <v>28</v>
      </c>
      <c r="L371">
        <v>30188</v>
      </c>
      <c r="M371">
        <v>138000</v>
      </c>
      <c r="N371">
        <v>160938</v>
      </c>
      <c r="O371">
        <v>68</v>
      </c>
      <c r="P371">
        <v>10.7</v>
      </c>
      <c r="Q371" t="s">
        <v>37</v>
      </c>
      <c r="R371" t="s">
        <v>38</v>
      </c>
    </row>
    <row r="372" spans="1:18" x14ac:dyDescent="0.3">
      <c r="A372" t="s">
        <v>55</v>
      </c>
      <c r="B372" t="s">
        <v>76</v>
      </c>
      <c r="C372">
        <v>249</v>
      </c>
      <c r="D372" t="s">
        <v>20</v>
      </c>
      <c r="E372">
        <v>2021</v>
      </c>
      <c r="F372" t="s">
        <v>21</v>
      </c>
      <c r="G372">
        <v>147</v>
      </c>
      <c r="H372">
        <v>33.799999999999997</v>
      </c>
      <c r="I372">
        <v>16.600000000000001</v>
      </c>
      <c r="J372">
        <v>133594</v>
      </c>
      <c r="K372">
        <v>28</v>
      </c>
      <c r="L372">
        <v>37406</v>
      </c>
      <c r="M372">
        <v>171000</v>
      </c>
      <c r="N372">
        <v>200494</v>
      </c>
      <c r="O372">
        <v>73</v>
      </c>
      <c r="P372">
        <v>8.9</v>
      </c>
      <c r="Q372" t="s">
        <v>22</v>
      </c>
      <c r="R372" t="s">
        <v>23</v>
      </c>
    </row>
    <row r="373" spans="1:18" x14ac:dyDescent="0.3">
      <c r="A373" t="s">
        <v>39</v>
      </c>
      <c r="B373" t="s">
        <v>71</v>
      </c>
      <c r="C373">
        <v>159</v>
      </c>
      <c r="D373" t="s">
        <v>20</v>
      </c>
      <c r="E373">
        <v>2025</v>
      </c>
      <c r="F373" t="s">
        <v>21</v>
      </c>
      <c r="G373">
        <v>130</v>
      </c>
      <c r="H373">
        <v>46.6</v>
      </c>
      <c r="I373">
        <v>11</v>
      </c>
      <c r="J373">
        <v>108594</v>
      </c>
      <c r="K373">
        <v>28</v>
      </c>
      <c r="L373">
        <v>30406</v>
      </c>
      <c r="M373">
        <v>139000</v>
      </c>
      <c r="N373">
        <v>159318</v>
      </c>
      <c r="O373">
        <v>80</v>
      </c>
      <c r="P373">
        <v>1.8</v>
      </c>
      <c r="Q373" t="s">
        <v>57</v>
      </c>
      <c r="R373" t="s">
        <v>58</v>
      </c>
    </row>
    <row r="374" spans="1:18" x14ac:dyDescent="0.3">
      <c r="A374" t="s">
        <v>50</v>
      </c>
      <c r="B374" t="s">
        <v>104</v>
      </c>
      <c r="C374">
        <v>373</v>
      </c>
      <c r="D374" t="s">
        <v>34</v>
      </c>
      <c r="E374">
        <v>2021</v>
      </c>
      <c r="F374" t="s">
        <v>21</v>
      </c>
      <c r="G374">
        <v>197</v>
      </c>
      <c r="H374">
        <v>21.3</v>
      </c>
      <c r="I374">
        <v>18.399999999999999</v>
      </c>
      <c r="J374">
        <v>289313</v>
      </c>
      <c r="K374">
        <v>31</v>
      </c>
      <c r="L374">
        <v>89687</v>
      </c>
      <c r="M374">
        <v>379000</v>
      </c>
      <c r="N374">
        <v>444501</v>
      </c>
      <c r="O374">
        <v>79</v>
      </c>
      <c r="P374">
        <v>11.3</v>
      </c>
      <c r="Q374" t="s">
        <v>37</v>
      </c>
      <c r="R374" t="s">
        <v>38</v>
      </c>
    </row>
    <row r="375" spans="1:18" x14ac:dyDescent="0.3">
      <c r="A375" t="s">
        <v>24</v>
      </c>
      <c r="B375" t="s">
        <v>65</v>
      </c>
      <c r="C375">
        <v>149</v>
      </c>
      <c r="D375" t="s">
        <v>20</v>
      </c>
      <c r="E375">
        <v>2022</v>
      </c>
      <c r="F375" t="s">
        <v>35</v>
      </c>
      <c r="G375">
        <v>108</v>
      </c>
      <c r="H375">
        <v>61.1</v>
      </c>
      <c r="I375">
        <v>12.2</v>
      </c>
      <c r="J375">
        <v>86719</v>
      </c>
      <c r="K375">
        <v>28</v>
      </c>
      <c r="L375">
        <v>24281</v>
      </c>
      <c r="M375">
        <v>111000</v>
      </c>
      <c r="N375">
        <v>128278</v>
      </c>
      <c r="O375">
        <v>73</v>
      </c>
      <c r="P375">
        <v>1.6</v>
      </c>
      <c r="Q375" t="s">
        <v>57</v>
      </c>
      <c r="R375" t="s">
        <v>58</v>
      </c>
    </row>
    <row r="376" spans="1:18" x14ac:dyDescent="0.3">
      <c r="A376" t="s">
        <v>18</v>
      </c>
      <c r="B376" t="s">
        <v>79</v>
      </c>
      <c r="C376">
        <v>293</v>
      </c>
      <c r="D376" t="s">
        <v>34</v>
      </c>
      <c r="E376">
        <v>2022</v>
      </c>
      <c r="F376" t="s">
        <v>21</v>
      </c>
      <c r="G376">
        <v>144</v>
      </c>
      <c r="H376">
        <v>33.6</v>
      </c>
      <c r="I376">
        <v>17.2</v>
      </c>
      <c r="J376">
        <v>199219</v>
      </c>
      <c r="K376">
        <v>28</v>
      </c>
      <c r="L376">
        <v>55781</v>
      </c>
      <c r="M376">
        <v>255000</v>
      </c>
      <c r="N376">
        <v>295618</v>
      </c>
      <c r="O376">
        <v>72</v>
      </c>
      <c r="P376">
        <v>3.2</v>
      </c>
      <c r="Q376" t="s">
        <v>26</v>
      </c>
      <c r="R376" t="s">
        <v>27</v>
      </c>
    </row>
    <row r="377" spans="1:18" x14ac:dyDescent="0.3">
      <c r="A377" t="s">
        <v>39</v>
      </c>
      <c r="B377" t="s">
        <v>47</v>
      </c>
      <c r="C377">
        <v>312</v>
      </c>
      <c r="D377" t="s">
        <v>34</v>
      </c>
      <c r="E377">
        <v>2024</v>
      </c>
      <c r="F377" t="s">
        <v>21</v>
      </c>
      <c r="G377">
        <v>147</v>
      </c>
      <c r="H377">
        <v>30.6</v>
      </c>
      <c r="I377">
        <v>14.1</v>
      </c>
      <c r="J377">
        <v>218750</v>
      </c>
      <c r="K377">
        <v>28</v>
      </c>
      <c r="L377">
        <v>61250</v>
      </c>
      <c r="M377">
        <v>280000</v>
      </c>
      <c r="N377">
        <v>324117</v>
      </c>
      <c r="O377">
        <v>71</v>
      </c>
      <c r="P377">
        <v>8.3000000000000007</v>
      </c>
      <c r="Q377" t="s">
        <v>22</v>
      </c>
      <c r="R377" t="s">
        <v>23</v>
      </c>
    </row>
    <row r="378" spans="1:18" x14ac:dyDescent="0.3">
      <c r="A378" t="s">
        <v>55</v>
      </c>
      <c r="B378" t="s">
        <v>76</v>
      </c>
      <c r="C378">
        <v>249</v>
      </c>
      <c r="D378" t="s">
        <v>20</v>
      </c>
      <c r="E378">
        <v>2024</v>
      </c>
      <c r="F378" t="s">
        <v>21</v>
      </c>
      <c r="G378">
        <v>150</v>
      </c>
      <c r="H378">
        <v>33.299999999999997</v>
      </c>
      <c r="I378">
        <v>16.7</v>
      </c>
      <c r="J378">
        <v>145312</v>
      </c>
      <c r="K378">
        <v>28</v>
      </c>
      <c r="L378">
        <v>40688</v>
      </c>
      <c r="M378">
        <v>186000</v>
      </c>
      <c r="N378">
        <v>210840</v>
      </c>
      <c r="O378">
        <v>68</v>
      </c>
      <c r="P378">
        <v>5.0999999999999996</v>
      </c>
      <c r="Q378" t="s">
        <v>22</v>
      </c>
      <c r="R378" t="s">
        <v>23</v>
      </c>
    </row>
    <row r="379" spans="1:18" x14ac:dyDescent="0.3">
      <c r="A379" t="s">
        <v>55</v>
      </c>
      <c r="B379" t="s">
        <v>56</v>
      </c>
      <c r="C379">
        <v>249</v>
      </c>
      <c r="D379" t="s">
        <v>34</v>
      </c>
      <c r="E379">
        <v>2024</v>
      </c>
      <c r="F379" t="s">
        <v>21</v>
      </c>
      <c r="G379">
        <v>147</v>
      </c>
      <c r="H379">
        <v>30.8</v>
      </c>
      <c r="I379">
        <v>14.7</v>
      </c>
      <c r="J379">
        <v>180469</v>
      </c>
      <c r="K379">
        <v>28</v>
      </c>
      <c r="L379">
        <v>50531</v>
      </c>
      <c r="M379">
        <v>231000</v>
      </c>
      <c r="N379">
        <v>270255</v>
      </c>
      <c r="O379">
        <v>78</v>
      </c>
      <c r="P379">
        <v>9.6</v>
      </c>
      <c r="Q379" t="s">
        <v>22</v>
      </c>
      <c r="R379" t="s">
        <v>23</v>
      </c>
    </row>
    <row r="380" spans="1:18" x14ac:dyDescent="0.3">
      <c r="A380" t="s">
        <v>28</v>
      </c>
      <c r="B380" t="s">
        <v>69</v>
      </c>
      <c r="C380">
        <v>125</v>
      </c>
      <c r="D380" t="s">
        <v>30</v>
      </c>
      <c r="E380">
        <v>2022</v>
      </c>
      <c r="F380" t="s">
        <v>21</v>
      </c>
      <c r="G380">
        <v>114</v>
      </c>
      <c r="H380">
        <v>53.5</v>
      </c>
      <c r="I380">
        <v>12.1</v>
      </c>
      <c r="J380">
        <v>84375</v>
      </c>
      <c r="K380">
        <v>28</v>
      </c>
      <c r="L380">
        <v>23625</v>
      </c>
      <c r="M380">
        <v>108000</v>
      </c>
      <c r="N380">
        <v>125709</v>
      </c>
      <c r="O380">
        <v>65</v>
      </c>
      <c r="P380">
        <v>13.8</v>
      </c>
      <c r="Q380" t="s">
        <v>37</v>
      </c>
      <c r="R380" t="s">
        <v>38</v>
      </c>
    </row>
    <row r="381" spans="1:18" x14ac:dyDescent="0.3">
      <c r="A381" t="s">
        <v>42</v>
      </c>
      <c r="B381" t="s">
        <v>87</v>
      </c>
      <c r="C381">
        <v>321</v>
      </c>
      <c r="D381" t="s">
        <v>34</v>
      </c>
      <c r="E381">
        <v>2024</v>
      </c>
      <c r="F381" t="s">
        <v>21</v>
      </c>
      <c r="G381">
        <v>142</v>
      </c>
      <c r="H381">
        <v>30.6</v>
      </c>
      <c r="I381">
        <v>16.7</v>
      </c>
      <c r="J381">
        <v>356250</v>
      </c>
      <c r="K381">
        <v>28</v>
      </c>
      <c r="L381">
        <v>99750</v>
      </c>
      <c r="M381">
        <v>456000</v>
      </c>
      <c r="N381">
        <v>517940</v>
      </c>
      <c r="O381">
        <v>71</v>
      </c>
      <c r="P381">
        <v>3.3</v>
      </c>
      <c r="Q381" t="s">
        <v>26</v>
      </c>
      <c r="R381" t="s">
        <v>27</v>
      </c>
    </row>
    <row r="382" spans="1:18" x14ac:dyDescent="0.3">
      <c r="A382" t="s">
        <v>28</v>
      </c>
      <c r="B382" t="s">
        <v>49</v>
      </c>
      <c r="C382">
        <v>199</v>
      </c>
      <c r="D382" t="s">
        <v>20</v>
      </c>
      <c r="E382">
        <v>2025</v>
      </c>
      <c r="F382" t="s">
        <v>21</v>
      </c>
      <c r="G382">
        <v>123</v>
      </c>
      <c r="H382">
        <v>41.2</v>
      </c>
      <c r="I382">
        <v>13.5</v>
      </c>
      <c r="J382">
        <v>115625</v>
      </c>
      <c r="K382">
        <v>28</v>
      </c>
      <c r="L382">
        <v>32375</v>
      </c>
      <c r="M382">
        <v>148000</v>
      </c>
      <c r="N382">
        <v>173445</v>
      </c>
      <c r="O382">
        <v>71</v>
      </c>
      <c r="P382">
        <v>8.5</v>
      </c>
      <c r="Q382" t="s">
        <v>22</v>
      </c>
      <c r="R382" t="s">
        <v>23</v>
      </c>
    </row>
    <row r="383" spans="1:18" x14ac:dyDescent="0.3">
      <c r="A383" t="s">
        <v>50</v>
      </c>
      <c r="B383" t="s">
        <v>109</v>
      </c>
      <c r="C383">
        <v>373</v>
      </c>
      <c r="D383" t="s">
        <v>34</v>
      </c>
      <c r="E383">
        <v>2020</v>
      </c>
      <c r="F383" t="s">
        <v>21</v>
      </c>
      <c r="G383">
        <v>205</v>
      </c>
      <c r="H383">
        <v>19.5</v>
      </c>
      <c r="I383">
        <v>13.4</v>
      </c>
      <c r="J383">
        <v>261832</v>
      </c>
      <c r="K383">
        <v>31</v>
      </c>
      <c r="L383">
        <v>81168</v>
      </c>
      <c r="M383">
        <v>343000</v>
      </c>
      <c r="N383">
        <v>401376</v>
      </c>
      <c r="O383">
        <v>76</v>
      </c>
      <c r="P383">
        <v>1.5</v>
      </c>
      <c r="Q383" t="s">
        <v>57</v>
      </c>
      <c r="R383" t="s">
        <v>58</v>
      </c>
    </row>
    <row r="384" spans="1:18" x14ac:dyDescent="0.3">
      <c r="A384" t="s">
        <v>39</v>
      </c>
      <c r="B384" t="s">
        <v>80</v>
      </c>
      <c r="C384">
        <v>109</v>
      </c>
      <c r="D384" t="s">
        <v>30</v>
      </c>
      <c r="E384">
        <v>2022</v>
      </c>
      <c r="F384" t="s">
        <v>31</v>
      </c>
      <c r="G384">
        <v>99</v>
      </c>
      <c r="H384">
        <v>68.400000000000006</v>
      </c>
      <c r="I384">
        <v>8</v>
      </c>
      <c r="J384">
        <v>61719</v>
      </c>
      <c r="K384">
        <v>28</v>
      </c>
      <c r="L384">
        <v>17281</v>
      </c>
      <c r="M384">
        <v>79000</v>
      </c>
      <c r="N384">
        <v>92926</v>
      </c>
      <c r="O384">
        <v>64</v>
      </c>
      <c r="P384">
        <v>6.7</v>
      </c>
      <c r="Q384" t="s">
        <v>37</v>
      </c>
      <c r="R384" t="s">
        <v>38</v>
      </c>
    </row>
    <row r="385" spans="1:18" x14ac:dyDescent="0.3">
      <c r="A385" t="s">
        <v>18</v>
      </c>
      <c r="B385" t="s">
        <v>78</v>
      </c>
      <c r="C385">
        <v>184</v>
      </c>
      <c r="D385" t="s">
        <v>20</v>
      </c>
      <c r="E385">
        <v>2020</v>
      </c>
      <c r="F385" t="s">
        <v>21</v>
      </c>
      <c r="G385">
        <v>122</v>
      </c>
      <c r="H385">
        <v>37.4</v>
      </c>
      <c r="I385">
        <v>11.2</v>
      </c>
      <c r="J385">
        <v>117969</v>
      </c>
      <c r="K385">
        <v>28</v>
      </c>
      <c r="L385">
        <v>33031</v>
      </c>
      <c r="M385">
        <v>151000</v>
      </c>
      <c r="N385">
        <v>177750</v>
      </c>
      <c r="O385">
        <v>74</v>
      </c>
      <c r="P385">
        <v>14</v>
      </c>
      <c r="Q385" t="s">
        <v>37</v>
      </c>
      <c r="R385" t="s">
        <v>38</v>
      </c>
    </row>
    <row r="386" spans="1:18" x14ac:dyDescent="0.3">
      <c r="A386" t="s">
        <v>39</v>
      </c>
      <c r="B386" t="s">
        <v>47</v>
      </c>
      <c r="C386">
        <v>312</v>
      </c>
      <c r="D386" t="s">
        <v>34</v>
      </c>
      <c r="E386">
        <v>2024</v>
      </c>
      <c r="F386" t="s">
        <v>21</v>
      </c>
      <c r="G386">
        <v>161</v>
      </c>
      <c r="H386">
        <v>31.2</v>
      </c>
      <c r="I386">
        <v>14.5</v>
      </c>
      <c r="J386">
        <v>222656</v>
      </c>
      <c r="K386">
        <v>28</v>
      </c>
      <c r="L386">
        <v>62344</v>
      </c>
      <c r="M386">
        <v>285000</v>
      </c>
      <c r="N386">
        <v>328403</v>
      </c>
      <c r="O386">
        <v>69</v>
      </c>
      <c r="P386">
        <v>7.6</v>
      </c>
      <c r="Q386" t="s">
        <v>22</v>
      </c>
      <c r="R386" t="s">
        <v>23</v>
      </c>
    </row>
    <row r="387" spans="1:18" x14ac:dyDescent="0.3">
      <c r="A387" t="s">
        <v>50</v>
      </c>
      <c r="B387" t="s">
        <v>94</v>
      </c>
      <c r="C387">
        <v>124</v>
      </c>
      <c r="D387" t="s">
        <v>20</v>
      </c>
      <c r="E387">
        <v>2024</v>
      </c>
      <c r="F387" t="s">
        <v>21</v>
      </c>
      <c r="G387">
        <v>116</v>
      </c>
      <c r="H387">
        <v>50.3</v>
      </c>
      <c r="I387">
        <v>10.6</v>
      </c>
      <c r="J387">
        <v>142969</v>
      </c>
      <c r="K387">
        <v>28</v>
      </c>
      <c r="L387">
        <v>40031</v>
      </c>
      <c r="M387">
        <v>183000</v>
      </c>
      <c r="N387">
        <v>215025</v>
      </c>
      <c r="O387">
        <v>70</v>
      </c>
      <c r="P387">
        <v>8.6999999999999993</v>
      </c>
      <c r="Q387" t="s">
        <v>22</v>
      </c>
      <c r="R387" t="s">
        <v>23</v>
      </c>
    </row>
    <row r="388" spans="1:18" x14ac:dyDescent="0.3">
      <c r="A388" t="s">
        <v>28</v>
      </c>
      <c r="B388" t="s">
        <v>69</v>
      </c>
      <c r="C388">
        <v>125</v>
      </c>
      <c r="D388" t="s">
        <v>30</v>
      </c>
      <c r="E388">
        <v>2025</v>
      </c>
      <c r="F388" t="s">
        <v>21</v>
      </c>
      <c r="G388">
        <v>116</v>
      </c>
      <c r="H388">
        <v>52.4</v>
      </c>
      <c r="I388">
        <v>13.4</v>
      </c>
      <c r="J388">
        <v>75781</v>
      </c>
      <c r="K388">
        <v>28</v>
      </c>
      <c r="L388">
        <v>21219</v>
      </c>
      <c r="M388">
        <v>97000</v>
      </c>
      <c r="N388">
        <v>113375</v>
      </c>
      <c r="O388">
        <v>68</v>
      </c>
      <c r="P388">
        <v>6.8</v>
      </c>
      <c r="Q388" t="s">
        <v>22</v>
      </c>
      <c r="R388" t="s">
        <v>23</v>
      </c>
    </row>
    <row r="389" spans="1:18" x14ac:dyDescent="0.3">
      <c r="A389" t="s">
        <v>18</v>
      </c>
      <c r="B389" t="s">
        <v>62</v>
      </c>
      <c r="C389">
        <v>348</v>
      </c>
      <c r="D389" t="s">
        <v>34</v>
      </c>
      <c r="E389">
        <v>2024</v>
      </c>
      <c r="F389" t="s">
        <v>21</v>
      </c>
      <c r="G389">
        <v>161</v>
      </c>
      <c r="H389">
        <v>29</v>
      </c>
      <c r="I389">
        <v>16.2</v>
      </c>
      <c r="J389">
        <v>162500</v>
      </c>
      <c r="K389">
        <v>28</v>
      </c>
      <c r="L389">
        <v>45500</v>
      </c>
      <c r="M389">
        <v>208000</v>
      </c>
      <c r="N389">
        <v>238985</v>
      </c>
      <c r="O389">
        <v>81</v>
      </c>
      <c r="P389">
        <v>12.9</v>
      </c>
      <c r="Q389" t="s">
        <v>37</v>
      </c>
      <c r="R389" t="s">
        <v>38</v>
      </c>
    </row>
    <row r="390" spans="1:18" x14ac:dyDescent="0.3">
      <c r="A390" t="s">
        <v>55</v>
      </c>
      <c r="B390" t="s">
        <v>108</v>
      </c>
      <c r="C390">
        <v>249</v>
      </c>
      <c r="D390" t="s">
        <v>20</v>
      </c>
      <c r="E390">
        <v>2025</v>
      </c>
      <c r="F390" t="s">
        <v>21</v>
      </c>
      <c r="G390">
        <v>155</v>
      </c>
      <c r="H390">
        <v>33.700000000000003</v>
      </c>
      <c r="I390">
        <v>17.600000000000001</v>
      </c>
      <c r="J390">
        <v>142188</v>
      </c>
      <c r="K390">
        <v>28</v>
      </c>
      <c r="L390">
        <v>39812</v>
      </c>
      <c r="M390">
        <v>182000</v>
      </c>
      <c r="N390">
        <v>210630</v>
      </c>
      <c r="O390">
        <v>68</v>
      </c>
      <c r="P390">
        <v>6</v>
      </c>
      <c r="Q390" t="s">
        <v>22</v>
      </c>
      <c r="R390" t="s">
        <v>23</v>
      </c>
    </row>
    <row r="391" spans="1:18" x14ac:dyDescent="0.3">
      <c r="A391" t="s">
        <v>18</v>
      </c>
      <c r="B391" t="s">
        <v>61</v>
      </c>
      <c r="C391">
        <v>124</v>
      </c>
      <c r="D391" t="s">
        <v>30</v>
      </c>
      <c r="E391">
        <v>2024</v>
      </c>
      <c r="F391" t="s">
        <v>21</v>
      </c>
      <c r="G391">
        <v>114</v>
      </c>
      <c r="H391">
        <v>54.3</v>
      </c>
      <c r="I391">
        <v>11.5</v>
      </c>
      <c r="J391">
        <v>74219</v>
      </c>
      <c r="K391">
        <v>28</v>
      </c>
      <c r="L391">
        <v>20781</v>
      </c>
      <c r="M391">
        <v>95000</v>
      </c>
      <c r="N391">
        <v>110073</v>
      </c>
      <c r="O391">
        <v>75</v>
      </c>
      <c r="P391">
        <v>3.1</v>
      </c>
      <c r="Q391" t="s">
        <v>26</v>
      </c>
      <c r="R391" t="s">
        <v>27</v>
      </c>
    </row>
    <row r="392" spans="1:18" x14ac:dyDescent="0.3">
      <c r="A392" t="s">
        <v>32</v>
      </c>
      <c r="B392" t="s">
        <v>66</v>
      </c>
      <c r="C392">
        <v>349</v>
      </c>
      <c r="D392" t="s">
        <v>34</v>
      </c>
      <c r="E392">
        <v>2022</v>
      </c>
      <c r="F392" t="s">
        <v>35</v>
      </c>
      <c r="G392">
        <v>160</v>
      </c>
      <c r="H392">
        <v>33.6</v>
      </c>
      <c r="I392">
        <v>13.9</v>
      </c>
      <c r="J392">
        <v>175781</v>
      </c>
      <c r="K392">
        <v>28</v>
      </c>
      <c r="L392">
        <v>49219</v>
      </c>
      <c r="M392">
        <v>225000</v>
      </c>
      <c r="N392">
        <v>255584</v>
      </c>
      <c r="O392">
        <v>72</v>
      </c>
      <c r="P392">
        <v>4.9000000000000004</v>
      </c>
      <c r="Q392" t="s">
        <v>26</v>
      </c>
      <c r="R392" t="s">
        <v>27</v>
      </c>
    </row>
    <row r="393" spans="1:18" x14ac:dyDescent="0.3">
      <c r="A393" t="s">
        <v>32</v>
      </c>
      <c r="B393" t="s">
        <v>85</v>
      </c>
      <c r="C393">
        <v>346</v>
      </c>
      <c r="D393" t="s">
        <v>34</v>
      </c>
      <c r="E393">
        <v>2020</v>
      </c>
      <c r="F393" t="s">
        <v>31</v>
      </c>
      <c r="G393">
        <v>143</v>
      </c>
      <c r="H393">
        <v>31.9</v>
      </c>
      <c r="I393">
        <v>18.899999999999999</v>
      </c>
      <c r="J393">
        <v>145312</v>
      </c>
      <c r="K393">
        <v>28</v>
      </c>
      <c r="L393">
        <v>40688</v>
      </c>
      <c r="M393">
        <v>186000</v>
      </c>
      <c r="N393">
        <v>214489</v>
      </c>
      <c r="O393">
        <v>61</v>
      </c>
      <c r="P393">
        <v>10</v>
      </c>
      <c r="Q393" t="s">
        <v>37</v>
      </c>
      <c r="R393" t="s">
        <v>38</v>
      </c>
    </row>
    <row r="394" spans="1:18" x14ac:dyDescent="0.3">
      <c r="A394" t="s">
        <v>18</v>
      </c>
      <c r="B394" t="s">
        <v>44</v>
      </c>
      <c r="C394">
        <v>348</v>
      </c>
      <c r="D394" t="s">
        <v>34</v>
      </c>
      <c r="E394">
        <v>2025</v>
      </c>
      <c r="F394" t="s">
        <v>21</v>
      </c>
      <c r="G394">
        <v>142</v>
      </c>
      <c r="H394">
        <v>28.7</v>
      </c>
      <c r="I394">
        <v>13.2</v>
      </c>
      <c r="J394">
        <v>174219</v>
      </c>
      <c r="K394">
        <v>28</v>
      </c>
      <c r="L394">
        <v>48781</v>
      </c>
      <c r="M394">
        <v>223000</v>
      </c>
      <c r="N394">
        <v>257120</v>
      </c>
      <c r="O394">
        <v>72</v>
      </c>
      <c r="P394">
        <v>12.9</v>
      </c>
      <c r="Q394" t="s">
        <v>37</v>
      </c>
      <c r="R394" t="s">
        <v>38</v>
      </c>
    </row>
    <row r="395" spans="1:18" x14ac:dyDescent="0.3">
      <c r="A395" t="s">
        <v>50</v>
      </c>
      <c r="B395" t="s">
        <v>52</v>
      </c>
      <c r="C395">
        <v>199</v>
      </c>
      <c r="D395" t="s">
        <v>20</v>
      </c>
      <c r="E395">
        <v>2021</v>
      </c>
      <c r="F395" t="s">
        <v>21</v>
      </c>
      <c r="G395">
        <v>137</v>
      </c>
      <c r="H395">
        <v>42.4</v>
      </c>
      <c r="I395">
        <v>11.5</v>
      </c>
      <c r="J395">
        <v>163281</v>
      </c>
      <c r="K395">
        <v>28</v>
      </c>
      <c r="L395">
        <v>45719</v>
      </c>
      <c r="M395">
        <v>209000</v>
      </c>
      <c r="N395">
        <v>236989</v>
      </c>
      <c r="O395">
        <v>75</v>
      </c>
      <c r="P395">
        <v>10.199999999999999</v>
      </c>
      <c r="Q395" t="s">
        <v>37</v>
      </c>
      <c r="R395" t="s">
        <v>38</v>
      </c>
    </row>
    <row r="396" spans="1:18" x14ac:dyDescent="0.3">
      <c r="A396" t="s">
        <v>24</v>
      </c>
      <c r="B396" t="s">
        <v>74</v>
      </c>
      <c r="C396">
        <v>199</v>
      </c>
      <c r="D396" t="s">
        <v>20</v>
      </c>
      <c r="E396">
        <v>2024</v>
      </c>
      <c r="F396" t="s">
        <v>21</v>
      </c>
      <c r="G396">
        <v>136</v>
      </c>
      <c r="H396">
        <v>41.6</v>
      </c>
      <c r="I396">
        <v>10</v>
      </c>
      <c r="J396">
        <v>145312</v>
      </c>
      <c r="K396">
        <v>28</v>
      </c>
      <c r="L396">
        <v>40688</v>
      </c>
      <c r="M396">
        <v>186000</v>
      </c>
      <c r="N396">
        <v>216583</v>
      </c>
      <c r="O396">
        <v>68</v>
      </c>
      <c r="P396">
        <v>6.6</v>
      </c>
      <c r="Q396" t="s">
        <v>22</v>
      </c>
      <c r="R396" t="s">
        <v>23</v>
      </c>
    </row>
    <row r="397" spans="1:18" x14ac:dyDescent="0.3">
      <c r="A397" t="s">
        <v>39</v>
      </c>
      <c r="B397" t="s">
        <v>82</v>
      </c>
      <c r="C397">
        <v>99</v>
      </c>
      <c r="D397" t="s">
        <v>30</v>
      </c>
      <c r="E397">
        <v>2024</v>
      </c>
      <c r="F397" t="s">
        <v>31</v>
      </c>
      <c r="G397">
        <v>89</v>
      </c>
      <c r="H397">
        <v>74.3</v>
      </c>
      <c r="I397">
        <v>9.9</v>
      </c>
      <c r="J397">
        <v>56250</v>
      </c>
      <c r="K397">
        <v>28</v>
      </c>
      <c r="L397">
        <v>15750</v>
      </c>
      <c r="M397">
        <v>72000</v>
      </c>
      <c r="N397">
        <v>85806</v>
      </c>
      <c r="O397">
        <v>61</v>
      </c>
      <c r="P397">
        <v>3.2</v>
      </c>
      <c r="Q397" t="s">
        <v>26</v>
      </c>
      <c r="R397" t="s">
        <v>27</v>
      </c>
    </row>
    <row r="398" spans="1:18" x14ac:dyDescent="0.3">
      <c r="A398" t="s">
        <v>18</v>
      </c>
      <c r="B398" t="s">
        <v>62</v>
      </c>
      <c r="C398">
        <v>348</v>
      </c>
      <c r="D398" t="s">
        <v>34</v>
      </c>
      <c r="E398">
        <v>2021</v>
      </c>
      <c r="F398" t="s">
        <v>21</v>
      </c>
      <c r="G398">
        <v>147</v>
      </c>
      <c r="H398">
        <v>34</v>
      </c>
      <c r="I398">
        <v>13.3</v>
      </c>
      <c r="J398">
        <v>178125</v>
      </c>
      <c r="K398">
        <v>28</v>
      </c>
      <c r="L398">
        <v>49875</v>
      </c>
      <c r="M398">
        <v>228000</v>
      </c>
      <c r="N398">
        <v>262022</v>
      </c>
      <c r="O398">
        <v>73</v>
      </c>
      <c r="P398">
        <v>4.7</v>
      </c>
      <c r="Q398" t="s">
        <v>26</v>
      </c>
      <c r="R398" t="s">
        <v>27</v>
      </c>
    </row>
    <row r="399" spans="1:18" x14ac:dyDescent="0.3">
      <c r="A399" t="s">
        <v>24</v>
      </c>
      <c r="B399" t="s">
        <v>67</v>
      </c>
      <c r="C399">
        <v>199</v>
      </c>
      <c r="D399" t="s">
        <v>20</v>
      </c>
      <c r="E399">
        <v>2025</v>
      </c>
      <c r="F399" t="s">
        <v>21</v>
      </c>
      <c r="G399">
        <v>121</v>
      </c>
      <c r="H399">
        <v>45.8</v>
      </c>
      <c r="I399">
        <v>13.9</v>
      </c>
      <c r="J399">
        <v>117188</v>
      </c>
      <c r="K399">
        <v>28</v>
      </c>
      <c r="L399">
        <v>32812</v>
      </c>
      <c r="M399">
        <v>150000</v>
      </c>
      <c r="N399">
        <v>176275</v>
      </c>
      <c r="O399">
        <v>83</v>
      </c>
      <c r="P399">
        <v>5.5</v>
      </c>
      <c r="Q399" t="s">
        <v>22</v>
      </c>
      <c r="R399" t="s">
        <v>23</v>
      </c>
    </row>
    <row r="400" spans="1:18" x14ac:dyDescent="0.3">
      <c r="A400" t="s">
        <v>39</v>
      </c>
      <c r="B400" t="s">
        <v>64</v>
      </c>
      <c r="C400">
        <v>159</v>
      </c>
      <c r="D400" t="s">
        <v>20</v>
      </c>
      <c r="E400">
        <v>2020</v>
      </c>
      <c r="F400" t="s">
        <v>35</v>
      </c>
      <c r="G400">
        <v>132</v>
      </c>
      <c r="H400">
        <v>40.799999999999997</v>
      </c>
      <c r="I400">
        <v>12.1</v>
      </c>
      <c r="J400">
        <v>98438</v>
      </c>
      <c r="K400">
        <v>28</v>
      </c>
      <c r="L400">
        <v>27562</v>
      </c>
      <c r="M400">
        <v>126000</v>
      </c>
      <c r="N400">
        <v>145271</v>
      </c>
      <c r="O400">
        <v>64</v>
      </c>
      <c r="P400">
        <v>9.1999999999999993</v>
      </c>
      <c r="Q400" t="s">
        <v>37</v>
      </c>
      <c r="R400" t="s">
        <v>38</v>
      </c>
    </row>
    <row r="401" spans="1:18" x14ac:dyDescent="0.3">
      <c r="A401" t="s">
        <v>32</v>
      </c>
      <c r="B401" t="s">
        <v>73</v>
      </c>
      <c r="C401">
        <v>648</v>
      </c>
      <c r="D401" t="s">
        <v>34</v>
      </c>
      <c r="E401">
        <v>2021</v>
      </c>
      <c r="F401" t="s">
        <v>31</v>
      </c>
      <c r="G401">
        <v>190</v>
      </c>
      <c r="H401">
        <v>21.9</v>
      </c>
      <c r="I401">
        <v>16.100000000000001</v>
      </c>
      <c r="J401">
        <v>279389</v>
      </c>
      <c r="K401">
        <v>31</v>
      </c>
      <c r="L401">
        <v>86611</v>
      </c>
      <c r="M401">
        <v>366000</v>
      </c>
      <c r="N401">
        <v>415907</v>
      </c>
      <c r="O401">
        <v>72</v>
      </c>
      <c r="P401">
        <v>1.1000000000000001</v>
      </c>
      <c r="Q401" t="s">
        <v>57</v>
      </c>
      <c r="R401" t="s">
        <v>58</v>
      </c>
    </row>
    <row r="402" spans="1:18" x14ac:dyDescent="0.3">
      <c r="A402" t="s">
        <v>24</v>
      </c>
      <c r="B402" t="s">
        <v>106</v>
      </c>
      <c r="C402">
        <v>373</v>
      </c>
      <c r="D402" t="s">
        <v>34</v>
      </c>
      <c r="E402">
        <v>2023</v>
      </c>
      <c r="F402" t="s">
        <v>21</v>
      </c>
      <c r="G402">
        <v>198</v>
      </c>
      <c r="H402">
        <v>20.2</v>
      </c>
      <c r="I402">
        <v>18.7</v>
      </c>
      <c r="J402">
        <v>170992</v>
      </c>
      <c r="K402">
        <v>31</v>
      </c>
      <c r="L402">
        <v>53008</v>
      </c>
      <c r="M402">
        <v>224000</v>
      </c>
      <c r="N402">
        <v>258118</v>
      </c>
      <c r="O402">
        <v>71</v>
      </c>
      <c r="P402">
        <v>10.3</v>
      </c>
      <c r="Q402" t="s">
        <v>37</v>
      </c>
      <c r="R402" t="s">
        <v>38</v>
      </c>
    </row>
    <row r="403" spans="1:18" x14ac:dyDescent="0.3">
      <c r="A403" t="s">
        <v>18</v>
      </c>
      <c r="B403" t="s">
        <v>19</v>
      </c>
      <c r="C403">
        <v>184</v>
      </c>
      <c r="D403" t="s">
        <v>20</v>
      </c>
      <c r="E403">
        <v>2021</v>
      </c>
      <c r="F403" t="s">
        <v>21</v>
      </c>
      <c r="G403">
        <v>133</v>
      </c>
      <c r="H403">
        <v>43.5</v>
      </c>
      <c r="I403">
        <v>12.3</v>
      </c>
      <c r="J403">
        <v>109375</v>
      </c>
      <c r="K403">
        <v>28</v>
      </c>
      <c r="L403">
        <v>30625</v>
      </c>
      <c r="M403">
        <v>140000</v>
      </c>
      <c r="N403">
        <v>161331</v>
      </c>
      <c r="O403">
        <v>69</v>
      </c>
      <c r="P403">
        <v>4.4000000000000004</v>
      </c>
      <c r="Q403" t="s">
        <v>26</v>
      </c>
      <c r="R403" t="s">
        <v>27</v>
      </c>
    </row>
    <row r="404" spans="1:18" x14ac:dyDescent="0.3">
      <c r="A404" t="s">
        <v>24</v>
      </c>
      <c r="B404" t="s">
        <v>107</v>
      </c>
      <c r="C404">
        <v>102</v>
      </c>
      <c r="D404" t="s">
        <v>30</v>
      </c>
      <c r="E404">
        <v>2023</v>
      </c>
      <c r="F404" t="s">
        <v>31</v>
      </c>
      <c r="G404">
        <v>93</v>
      </c>
      <c r="H404">
        <v>62.5</v>
      </c>
      <c r="I404">
        <v>9.1999999999999993</v>
      </c>
      <c r="J404">
        <v>43750</v>
      </c>
      <c r="K404">
        <v>28</v>
      </c>
      <c r="L404">
        <v>12250</v>
      </c>
      <c r="M404">
        <v>56000</v>
      </c>
      <c r="N404">
        <v>66907</v>
      </c>
      <c r="O404">
        <v>57</v>
      </c>
      <c r="P404">
        <v>8.1999999999999993</v>
      </c>
      <c r="Q404" t="s">
        <v>37</v>
      </c>
      <c r="R404" t="s">
        <v>38</v>
      </c>
    </row>
    <row r="405" spans="1:18" x14ac:dyDescent="0.3">
      <c r="A405" t="s">
        <v>28</v>
      </c>
      <c r="B405" t="s">
        <v>48</v>
      </c>
      <c r="C405">
        <v>110</v>
      </c>
      <c r="D405" t="s">
        <v>30</v>
      </c>
      <c r="E405">
        <v>2023</v>
      </c>
      <c r="F405" t="s">
        <v>35</v>
      </c>
      <c r="G405">
        <v>100</v>
      </c>
      <c r="H405">
        <v>65.2</v>
      </c>
      <c r="I405">
        <v>9.1999999999999993</v>
      </c>
      <c r="J405">
        <v>66406</v>
      </c>
      <c r="K405">
        <v>28</v>
      </c>
      <c r="L405">
        <v>18594</v>
      </c>
      <c r="M405">
        <v>85000</v>
      </c>
      <c r="N405">
        <v>100572</v>
      </c>
      <c r="O405">
        <v>70</v>
      </c>
      <c r="P405">
        <v>3.4</v>
      </c>
      <c r="Q405" t="s">
        <v>26</v>
      </c>
      <c r="R405" t="s">
        <v>27</v>
      </c>
    </row>
    <row r="406" spans="1:18" x14ac:dyDescent="0.3">
      <c r="A406" t="s">
        <v>24</v>
      </c>
      <c r="B406" t="s">
        <v>84</v>
      </c>
      <c r="C406">
        <v>124</v>
      </c>
      <c r="D406" t="s">
        <v>30</v>
      </c>
      <c r="E406">
        <v>2021</v>
      </c>
      <c r="F406" t="s">
        <v>35</v>
      </c>
      <c r="G406">
        <v>119</v>
      </c>
      <c r="H406">
        <v>52.9</v>
      </c>
      <c r="I406">
        <v>11.5</v>
      </c>
      <c r="J406">
        <v>75781</v>
      </c>
      <c r="K406">
        <v>28</v>
      </c>
      <c r="L406">
        <v>21219</v>
      </c>
      <c r="M406">
        <v>97000</v>
      </c>
      <c r="N406">
        <v>114785</v>
      </c>
      <c r="O406">
        <v>66</v>
      </c>
      <c r="P406">
        <v>9.3000000000000007</v>
      </c>
      <c r="Q406" t="s">
        <v>37</v>
      </c>
      <c r="R406" t="s">
        <v>38</v>
      </c>
    </row>
    <row r="407" spans="1:18" x14ac:dyDescent="0.3">
      <c r="A407" t="s">
        <v>18</v>
      </c>
      <c r="B407" t="s">
        <v>79</v>
      </c>
      <c r="C407">
        <v>293</v>
      </c>
      <c r="D407" t="s">
        <v>34</v>
      </c>
      <c r="E407">
        <v>2023</v>
      </c>
      <c r="F407" t="s">
        <v>21</v>
      </c>
      <c r="G407">
        <v>144</v>
      </c>
      <c r="H407">
        <v>33.4</v>
      </c>
      <c r="I407">
        <v>19.3</v>
      </c>
      <c r="J407">
        <v>197656</v>
      </c>
      <c r="K407">
        <v>28</v>
      </c>
      <c r="L407">
        <v>55344</v>
      </c>
      <c r="M407">
        <v>253000</v>
      </c>
      <c r="N407">
        <v>291292</v>
      </c>
      <c r="O407">
        <v>81</v>
      </c>
      <c r="P407">
        <v>2.2999999999999998</v>
      </c>
      <c r="Q407" t="s">
        <v>26</v>
      </c>
      <c r="R407" t="s">
        <v>27</v>
      </c>
    </row>
    <row r="408" spans="1:18" x14ac:dyDescent="0.3">
      <c r="A408" t="s">
        <v>28</v>
      </c>
      <c r="B408" t="s">
        <v>41</v>
      </c>
      <c r="C408">
        <v>125</v>
      </c>
      <c r="D408" t="s">
        <v>30</v>
      </c>
      <c r="E408">
        <v>2020</v>
      </c>
      <c r="F408" t="s">
        <v>35</v>
      </c>
      <c r="G408">
        <v>109</v>
      </c>
      <c r="H408">
        <v>54.8</v>
      </c>
      <c r="I408">
        <v>13.6</v>
      </c>
      <c r="J408">
        <v>74219</v>
      </c>
      <c r="K408">
        <v>28</v>
      </c>
      <c r="L408">
        <v>20781</v>
      </c>
      <c r="M408">
        <v>95000</v>
      </c>
      <c r="N408">
        <v>111280</v>
      </c>
      <c r="O408">
        <v>67</v>
      </c>
      <c r="P408">
        <v>8.6</v>
      </c>
      <c r="Q408" t="s">
        <v>22</v>
      </c>
      <c r="R408" t="s">
        <v>23</v>
      </c>
    </row>
    <row r="409" spans="1:18" x14ac:dyDescent="0.3">
      <c r="A409" t="s">
        <v>50</v>
      </c>
      <c r="B409" t="s">
        <v>109</v>
      </c>
      <c r="C409">
        <v>373</v>
      </c>
      <c r="D409" t="s">
        <v>34</v>
      </c>
      <c r="E409">
        <v>2025</v>
      </c>
      <c r="F409" t="s">
        <v>21</v>
      </c>
      <c r="G409">
        <v>190</v>
      </c>
      <c r="H409">
        <v>21.6</v>
      </c>
      <c r="I409">
        <v>19.399999999999999</v>
      </c>
      <c r="J409">
        <v>256489</v>
      </c>
      <c r="K409">
        <v>31</v>
      </c>
      <c r="L409">
        <v>79511</v>
      </c>
      <c r="M409">
        <v>336000</v>
      </c>
      <c r="N409">
        <v>382400</v>
      </c>
      <c r="O409">
        <v>77</v>
      </c>
      <c r="P409">
        <v>5.9</v>
      </c>
      <c r="Q409" t="s">
        <v>22</v>
      </c>
      <c r="R409" t="s">
        <v>23</v>
      </c>
    </row>
    <row r="410" spans="1:18" x14ac:dyDescent="0.3">
      <c r="A410" t="s">
        <v>18</v>
      </c>
      <c r="B410" t="s">
        <v>61</v>
      </c>
      <c r="C410">
        <v>124</v>
      </c>
      <c r="D410" t="s">
        <v>30</v>
      </c>
      <c r="E410">
        <v>2025</v>
      </c>
      <c r="F410" t="s">
        <v>21</v>
      </c>
      <c r="G410">
        <v>118</v>
      </c>
      <c r="H410">
        <v>52.1</v>
      </c>
      <c r="I410">
        <v>13</v>
      </c>
      <c r="J410">
        <v>75781</v>
      </c>
      <c r="K410">
        <v>28</v>
      </c>
      <c r="L410">
        <v>21219</v>
      </c>
      <c r="M410">
        <v>97000</v>
      </c>
      <c r="N410">
        <v>112486</v>
      </c>
      <c r="O410">
        <v>70</v>
      </c>
      <c r="P410">
        <v>3.6</v>
      </c>
      <c r="Q410" t="s">
        <v>26</v>
      </c>
      <c r="R410" t="s">
        <v>27</v>
      </c>
    </row>
    <row r="411" spans="1:18" x14ac:dyDescent="0.3">
      <c r="A411" t="s">
        <v>28</v>
      </c>
      <c r="B411" t="s">
        <v>29</v>
      </c>
      <c r="C411">
        <v>97</v>
      </c>
      <c r="D411" t="s">
        <v>30</v>
      </c>
      <c r="E411">
        <v>2021</v>
      </c>
      <c r="F411" t="s">
        <v>31</v>
      </c>
      <c r="G411">
        <v>95</v>
      </c>
      <c r="H411">
        <v>65.099999999999994</v>
      </c>
      <c r="I411">
        <v>8.9</v>
      </c>
      <c r="J411">
        <v>58594</v>
      </c>
      <c r="K411">
        <v>28</v>
      </c>
      <c r="L411">
        <v>16406</v>
      </c>
      <c r="M411">
        <v>75000</v>
      </c>
      <c r="N411">
        <v>88295</v>
      </c>
      <c r="O411">
        <v>62</v>
      </c>
      <c r="P411">
        <v>6.1</v>
      </c>
      <c r="Q411" t="s">
        <v>37</v>
      </c>
      <c r="R411" t="s">
        <v>38</v>
      </c>
    </row>
    <row r="412" spans="1:18" x14ac:dyDescent="0.3">
      <c r="A412" t="s">
        <v>39</v>
      </c>
      <c r="B412" t="s">
        <v>80</v>
      </c>
      <c r="C412">
        <v>109</v>
      </c>
      <c r="D412" t="s">
        <v>30</v>
      </c>
      <c r="E412">
        <v>2024</v>
      </c>
      <c r="F412" t="s">
        <v>31</v>
      </c>
      <c r="G412">
        <v>97</v>
      </c>
      <c r="H412">
        <v>66.2</v>
      </c>
      <c r="I412">
        <v>9</v>
      </c>
      <c r="J412">
        <v>58594</v>
      </c>
      <c r="K412">
        <v>28</v>
      </c>
      <c r="L412">
        <v>16406</v>
      </c>
      <c r="M412">
        <v>75000</v>
      </c>
      <c r="N412">
        <v>90211</v>
      </c>
      <c r="O412">
        <v>57</v>
      </c>
      <c r="P412">
        <v>6.8</v>
      </c>
      <c r="Q412" t="s">
        <v>37</v>
      </c>
      <c r="R412" t="s">
        <v>38</v>
      </c>
    </row>
    <row r="413" spans="1:18" x14ac:dyDescent="0.3">
      <c r="A413" t="s">
        <v>32</v>
      </c>
      <c r="B413" t="s">
        <v>97</v>
      </c>
      <c r="C413">
        <v>452</v>
      </c>
      <c r="D413" t="s">
        <v>34</v>
      </c>
      <c r="E413">
        <v>2025</v>
      </c>
      <c r="F413" t="s">
        <v>21</v>
      </c>
      <c r="G413">
        <v>205</v>
      </c>
      <c r="H413">
        <v>21.2</v>
      </c>
      <c r="I413">
        <v>13.8</v>
      </c>
      <c r="J413">
        <v>223664</v>
      </c>
      <c r="K413">
        <v>31</v>
      </c>
      <c r="L413">
        <v>69336</v>
      </c>
      <c r="M413">
        <v>293000</v>
      </c>
      <c r="N413">
        <v>341058</v>
      </c>
      <c r="O413">
        <v>83</v>
      </c>
      <c r="P413">
        <v>11.3</v>
      </c>
      <c r="Q413" t="s">
        <v>37</v>
      </c>
      <c r="R413" t="s">
        <v>38</v>
      </c>
    </row>
    <row r="414" spans="1:18" x14ac:dyDescent="0.3">
      <c r="A414" t="s">
        <v>24</v>
      </c>
      <c r="B414" t="s">
        <v>106</v>
      </c>
      <c r="C414">
        <v>373</v>
      </c>
      <c r="D414" t="s">
        <v>34</v>
      </c>
      <c r="E414">
        <v>2024</v>
      </c>
      <c r="F414" t="s">
        <v>21</v>
      </c>
      <c r="G414">
        <v>210</v>
      </c>
      <c r="H414">
        <v>22</v>
      </c>
      <c r="I414">
        <v>17.899999999999999</v>
      </c>
      <c r="J414">
        <v>181679</v>
      </c>
      <c r="K414">
        <v>31</v>
      </c>
      <c r="L414">
        <v>56321</v>
      </c>
      <c r="M414">
        <v>238000</v>
      </c>
      <c r="N414">
        <v>274486</v>
      </c>
      <c r="O414">
        <v>75</v>
      </c>
      <c r="P414">
        <v>12.2</v>
      </c>
      <c r="Q414" t="s">
        <v>37</v>
      </c>
      <c r="R414" t="s">
        <v>38</v>
      </c>
    </row>
    <row r="415" spans="1:18" x14ac:dyDescent="0.3">
      <c r="A415" t="s">
        <v>28</v>
      </c>
      <c r="B415" t="s">
        <v>98</v>
      </c>
      <c r="C415">
        <v>163</v>
      </c>
      <c r="D415" t="s">
        <v>20</v>
      </c>
      <c r="E415">
        <v>2020</v>
      </c>
      <c r="F415" t="s">
        <v>21</v>
      </c>
      <c r="G415">
        <v>135</v>
      </c>
      <c r="H415">
        <v>45.3</v>
      </c>
      <c r="I415">
        <v>11.1</v>
      </c>
      <c r="J415">
        <v>100000</v>
      </c>
      <c r="K415">
        <v>28</v>
      </c>
      <c r="L415">
        <v>28000</v>
      </c>
      <c r="M415">
        <v>128000</v>
      </c>
      <c r="N415">
        <v>149405</v>
      </c>
      <c r="O415">
        <v>83</v>
      </c>
      <c r="P415">
        <v>7.1</v>
      </c>
      <c r="Q415" t="s">
        <v>22</v>
      </c>
      <c r="R415" t="s">
        <v>23</v>
      </c>
    </row>
    <row r="416" spans="1:18" x14ac:dyDescent="0.3">
      <c r="A416" t="s">
        <v>32</v>
      </c>
      <c r="B416" t="s">
        <v>97</v>
      </c>
      <c r="C416">
        <v>452</v>
      </c>
      <c r="D416" t="s">
        <v>34</v>
      </c>
      <c r="E416">
        <v>2024</v>
      </c>
      <c r="F416" t="s">
        <v>21</v>
      </c>
      <c r="G416">
        <v>193</v>
      </c>
      <c r="H416">
        <v>22.6</v>
      </c>
      <c r="I416">
        <v>13.4</v>
      </c>
      <c r="J416">
        <v>206870</v>
      </c>
      <c r="K416">
        <v>31</v>
      </c>
      <c r="L416">
        <v>64130</v>
      </c>
      <c r="M416">
        <v>271000</v>
      </c>
      <c r="N416">
        <v>306943</v>
      </c>
      <c r="O416">
        <v>81</v>
      </c>
      <c r="P416">
        <v>11</v>
      </c>
      <c r="Q416" t="s">
        <v>37</v>
      </c>
      <c r="R416" t="s">
        <v>38</v>
      </c>
    </row>
    <row r="417" spans="1:18" x14ac:dyDescent="0.3">
      <c r="A417" t="s">
        <v>24</v>
      </c>
      <c r="B417" t="s">
        <v>100</v>
      </c>
      <c r="C417">
        <v>115</v>
      </c>
      <c r="D417" t="s">
        <v>30</v>
      </c>
      <c r="E417">
        <v>2024</v>
      </c>
      <c r="F417" t="s">
        <v>35</v>
      </c>
      <c r="G417">
        <v>114</v>
      </c>
      <c r="H417">
        <v>60.7</v>
      </c>
      <c r="I417">
        <v>12</v>
      </c>
      <c r="J417">
        <v>64062</v>
      </c>
      <c r="K417">
        <v>28</v>
      </c>
      <c r="L417">
        <v>17938</v>
      </c>
      <c r="M417">
        <v>82000</v>
      </c>
      <c r="N417">
        <v>97481</v>
      </c>
      <c r="O417">
        <v>65</v>
      </c>
      <c r="P417">
        <v>1.5</v>
      </c>
      <c r="Q417" t="s">
        <v>57</v>
      </c>
      <c r="R417" t="s">
        <v>58</v>
      </c>
    </row>
    <row r="418" spans="1:18" x14ac:dyDescent="0.3">
      <c r="A418" t="s">
        <v>24</v>
      </c>
      <c r="B418" t="s">
        <v>106</v>
      </c>
      <c r="C418">
        <v>373</v>
      </c>
      <c r="D418" t="s">
        <v>34</v>
      </c>
      <c r="E418">
        <v>2023</v>
      </c>
      <c r="F418" t="s">
        <v>21</v>
      </c>
      <c r="G418">
        <v>170</v>
      </c>
      <c r="H418">
        <v>19.399999999999999</v>
      </c>
      <c r="I418">
        <v>15.5</v>
      </c>
      <c r="J418">
        <v>186260</v>
      </c>
      <c r="K418">
        <v>31</v>
      </c>
      <c r="L418">
        <v>57740</v>
      </c>
      <c r="M418">
        <v>244000</v>
      </c>
      <c r="N418">
        <v>283856</v>
      </c>
      <c r="O418">
        <v>71</v>
      </c>
      <c r="P418">
        <v>15</v>
      </c>
      <c r="Q418" t="s">
        <v>37</v>
      </c>
      <c r="R418" t="s">
        <v>38</v>
      </c>
    </row>
    <row r="419" spans="1:18" x14ac:dyDescent="0.3">
      <c r="A419" t="s">
        <v>50</v>
      </c>
      <c r="B419" t="s">
        <v>94</v>
      </c>
      <c r="C419">
        <v>124</v>
      </c>
      <c r="D419" t="s">
        <v>20</v>
      </c>
      <c r="E419">
        <v>2024</v>
      </c>
      <c r="F419" t="s">
        <v>21</v>
      </c>
      <c r="G419">
        <v>107</v>
      </c>
      <c r="H419">
        <v>49.3</v>
      </c>
      <c r="I419">
        <v>13.7</v>
      </c>
      <c r="J419">
        <v>134375</v>
      </c>
      <c r="K419">
        <v>28</v>
      </c>
      <c r="L419">
        <v>37625</v>
      </c>
      <c r="M419">
        <v>172000</v>
      </c>
      <c r="N419">
        <v>197233</v>
      </c>
      <c r="O419">
        <v>78</v>
      </c>
      <c r="P419">
        <v>5</v>
      </c>
      <c r="Q419" t="s">
        <v>26</v>
      </c>
      <c r="R419" t="s">
        <v>27</v>
      </c>
    </row>
    <row r="420" spans="1:18" x14ac:dyDescent="0.3">
      <c r="A420" t="s">
        <v>32</v>
      </c>
      <c r="B420" t="s">
        <v>33</v>
      </c>
      <c r="C420">
        <v>346</v>
      </c>
      <c r="D420" t="s">
        <v>34</v>
      </c>
      <c r="E420">
        <v>2021</v>
      </c>
      <c r="F420" t="s">
        <v>35</v>
      </c>
      <c r="G420">
        <v>152</v>
      </c>
      <c r="H420">
        <v>31.7</v>
      </c>
      <c r="I420">
        <v>15.8</v>
      </c>
      <c r="J420">
        <v>140625</v>
      </c>
      <c r="K420">
        <v>28</v>
      </c>
      <c r="L420">
        <v>39375</v>
      </c>
      <c r="M420">
        <v>180000</v>
      </c>
      <c r="N420">
        <v>209282</v>
      </c>
      <c r="O420">
        <v>75</v>
      </c>
      <c r="P420">
        <v>1.1000000000000001</v>
      </c>
      <c r="Q420" t="s">
        <v>57</v>
      </c>
      <c r="R420" t="s">
        <v>58</v>
      </c>
    </row>
    <row r="421" spans="1:18" x14ac:dyDescent="0.3">
      <c r="A421" t="s">
        <v>18</v>
      </c>
      <c r="B421" t="s">
        <v>95</v>
      </c>
      <c r="C421">
        <v>160</v>
      </c>
      <c r="D421" t="s">
        <v>20</v>
      </c>
      <c r="E421">
        <v>2024</v>
      </c>
      <c r="F421" t="s">
        <v>35</v>
      </c>
      <c r="G421">
        <v>128</v>
      </c>
      <c r="H421">
        <v>45.1</v>
      </c>
      <c r="I421">
        <v>11</v>
      </c>
      <c r="J421">
        <v>90625</v>
      </c>
      <c r="K421">
        <v>28</v>
      </c>
      <c r="L421">
        <v>25375</v>
      </c>
      <c r="M421">
        <v>116000</v>
      </c>
      <c r="N421">
        <v>134362</v>
      </c>
      <c r="O421">
        <v>76</v>
      </c>
      <c r="P421">
        <v>12.4</v>
      </c>
      <c r="Q421" t="s">
        <v>37</v>
      </c>
      <c r="R421" t="s">
        <v>38</v>
      </c>
    </row>
    <row r="422" spans="1:18" x14ac:dyDescent="0.3">
      <c r="A422" t="s">
        <v>50</v>
      </c>
      <c r="B422" t="s">
        <v>104</v>
      </c>
      <c r="C422">
        <v>373</v>
      </c>
      <c r="D422" t="s">
        <v>34</v>
      </c>
      <c r="E422">
        <v>2024</v>
      </c>
      <c r="F422" t="s">
        <v>21</v>
      </c>
      <c r="G422">
        <v>189</v>
      </c>
      <c r="H422">
        <v>24.4</v>
      </c>
      <c r="I422">
        <v>19</v>
      </c>
      <c r="J422">
        <v>295420</v>
      </c>
      <c r="K422">
        <v>31</v>
      </c>
      <c r="L422">
        <v>91580</v>
      </c>
      <c r="M422">
        <v>387000</v>
      </c>
      <c r="N422">
        <v>447638</v>
      </c>
      <c r="O422">
        <v>81</v>
      </c>
      <c r="P422">
        <v>7.5</v>
      </c>
      <c r="Q422" t="s">
        <v>22</v>
      </c>
      <c r="R422" t="s">
        <v>23</v>
      </c>
    </row>
    <row r="423" spans="1:18" x14ac:dyDescent="0.3">
      <c r="A423" t="s">
        <v>42</v>
      </c>
      <c r="B423" t="s">
        <v>59</v>
      </c>
      <c r="C423">
        <v>155</v>
      </c>
      <c r="D423" t="s">
        <v>20</v>
      </c>
      <c r="E423">
        <v>2022</v>
      </c>
      <c r="F423" t="s">
        <v>21</v>
      </c>
      <c r="G423">
        <v>127</v>
      </c>
      <c r="H423">
        <v>43.8</v>
      </c>
      <c r="I423">
        <v>12.1</v>
      </c>
      <c r="J423">
        <v>125000</v>
      </c>
      <c r="K423">
        <v>28</v>
      </c>
      <c r="L423">
        <v>35000</v>
      </c>
      <c r="M423">
        <v>160000</v>
      </c>
      <c r="N423">
        <v>182962</v>
      </c>
      <c r="O423">
        <v>72</v>
      </c>
      <c r="P423">
        <v>6.8</v>
      </c>
      <c r="Q423" t="s">
        <v>22</v>
      </c>
      <c r="R423" t="s">
        <v>23</v>
      </c>
    </row>
    <row r="424" spans="1:18" x14ac:dyDescent="0.3">
      <c r="A424" t="s">
        <v>28</v>
      </c>
      <c r="B424" t="s">
        <v>91</v>
      </c>
      <c r="C424">
        <v>97</v>
      </c>
      <c r="D424" t="s">
        <v>30</v>
      </c>
      <c r="E424">
        <v>2021</v>
      </c>
      <c r="F424" t="s">
        <v>31</v>
      </c>
      <c r="G424">
        <v>95</v>
      </c>
      <c r="H424">
        <v>72.900000000000006</v>
      </c>
      <c r="I424">
        <v>9</v>
      </c>
      <c r="J424">
        <v>56250</v>
      </c>
      <c r="K424">
        <v>28</v>
      </c>
      <c r="L424">
        <v>15750</v>
      </c>
      <c r="M424">
        <v>72000</v>
      </c>
      <c r="N424">
        <v>84726</v>
      </c>
      <c r="O424">
        <v>57</v>
      </c>
      <c r="P424">
        <v>8.8000000000000007</v>
      </c>
      <c r="Q424" t="s">
        <v>37</v>
      </c>
      <c r="R424" t="s">
        <v>38</v>
      </c>
    </row>
    <row r="425" spans="1:18" x14ac:dyDescent="0.3">
      <c r="A425" t="s">
        <v>32</v>
      </c>
      <c r="B425" t="s">
        <v>92</v>
      </c>
      <c r="C425">
        <v>452</v>
      </c>
      <c r="D425" t="s">
        <v>34</v>
      </c>
      <c r="E425">
        <v>2021</v>
      </c>
      <c r="F425" t="s">
        <v>21</v>
      </c>
      <c r="G425">
        <v>172</v>
      </c>
      <c r="H425">
        <v>24.3</v>
      </c>
      <c r="I425">
        <v>18.100000000000001</v>
      </c>
      <c r="J425">
        <v>207634</v>
      </c>
      <c r="K425">
        <v>31</v>
      </c>
      <c r="L425">
        <v>64366</v>
      </c>
      <c r="M425">
        <v>272000</v>
      </c>
      <c r="N425">
        <v>313954</v>
      </c>
      <c r="O425">
        <v>84</v>
      </c>
      <c r="P425">
        <v>11.3</v>
      </c>
      <c r="Q425" t="s">
        <v>37</v>
      </c>
      <c r="R425" t="s">
        <v>38</v>
      </c>
    </row>
    <row r="426" spans="1:18" x14ac:dyDescent="0.3">
      <c r="A426" t="s">
        <v>39</v>
      </c>
      <c r="B426" t="s">
        <v>60</v>
      </c>
      <c r="C426">
        <v>109</v>
      </c>
      <c r="D426" t="s">
        <v>30</v>
      </c>
      <c r="E426">
        <v>2025</v>
      </c>
      <c r="F426" t="s">
        <v>35</v>
      </c>
      <c r="G426">
        <v>88</v>
      </c>
      <c r="H426">
        <v>67.599999999999994</v>
      </c>
      <c r="I426">
        <v>9.9</v>
      </c>
      <c r="J426">
        <v>59375</v>
      </c>
      <c r="K426">
        <v>28</v>
      </c>
      <c r="L426">
        <v>16625</v>
      </c>
      <c r="M426">
        <v>76000</v>
      </c>
      <c r="N426">
        <v>89889</v>
      </c>
      <c r="O426">
        <v>62</v>
      </c>
      <c r="P426">
        <v>13.9</v>
      </c>
      <c r="Q426" t="s">
        <v>37</v>
      </c>
      <c r="R426" t="s">
        <v>38</v>
      </c>
    </row>
    <row r="427" spans="1:18" x14ac:dyDescent="0.3">
      <c r="A427" t="s">
        <v>42</v>
      </c>
      <c r="B427" t="s">
        <v>86</v>
      </c>
      <c r="C427">
        <v>155</v>
      </c>
      <c r="D427" t="s">
        <v>20</v>
      </c>
      <c r="E427">
        <v>2024</v>
      </c>
      <c r="F427" t="s">
        <v>21</v>
      </c>
      <c r="G427">
        <v>131</v>
      </c>
      <c r="H427">
        <v>45.5</v>
      </c>
      <c r="I427">
        <v>13.5</v>
      </c>
      <c r="J427">
        <v>159375</v>
      </c>
      <c r="K427">
        <v>28</v>
      </c>
      <c r="L427">
        <v>44625</v>
      </c>
      <c r="M427">
        <v>204000</v>
      </c>
      <c r="N427">
        <v>237058</v>
      </c>
      <c r="O427">
        <v>82</v>
      </c>
      <c r="P427">
        <v>5.4</v>
      </c>
      <c r="Q427" t="s">
        <v>22</v>
      </c>
      <c r="R427" t="s">
        <v>23</v>
      </c>
    </row>
    <row r="428" spans="1:18" x14ac:dyDescent="0.3">
      <c r="A428" t="s">
        <v>42</v>
      </c>
      <c r="B428" t="s">
        <v>54</v>
      </c>
      <c r="C428">
        <v>155</v>
      </c>
      <c r="D428" t="s">
        <v>20</v>
      </c>
      <c r="E428">
        <v>2023</v>
      </c>
      <c r="F428" t="s">
        <v>21</v>
      </c>
      <c r="G428">
        <v>138</v>
      </c>
      <c r="H428">
        <v>39.200000000000003</v>
      </c>
      <c r="I428">
        <v>11.9</v>
      </c>
      <c r="J428">
        <v>133594</v>
      </c>
      <c r="K428">
        <v>28</v>
      </c>
      <c r="L428">
        <v>37406</v>
      </c>
      <c r="M428">
        <v>171000</v>
      </c>
      <c r="N428">
        <v>200415</v>
      </c>
      <c r="O428">
        <v>69</v>
      </c>
      <c r="P428">
        <v>1.8</v>
      </c>
      <c r="Q428" t="s">
        <v>57</v>
      </c>
      <c r="R428" t="s">
        <v>58</v>
      </c>
    </row>
    <row r="429" spans="1:18" x14ac:dyDescent="0.3">
      <c r="A429" t="s">
        <v>55</v>
      </c>
      <c r="B429" t="s">
        <v>76</v>
      </c>
      <c r="C429">
        <v>249</v>
      </c>
      <c r="D429" t="s">
        <v>20</v>
      </c>
      <c r="E429">
        <v>2025</v>
      </c>
      <c r="F429" t="s">
        <v>21</v>
      </c>
      <c r="G429">
        <v>143</v>
      </c>
      <c r="H429">
        <v>31.7</v>
      </c>
      <c r="I429">
        <v>13.1</v>
      </c>
      <c r="J429">
        <v>133594</v>
      </c>
      <c r="K429">
        <v>28</v>
      </c>
      <c r="L429">
        <v>37406</v>
      </c>
      <c r="M429">
        <v>171000</v>
      </c>
      <c r="N429">
        <v>197843</v>
      </c>
      <c r="O429">
        <v>71</v>
      </c>
      <c r="P429">
        <v>7.4</v>
      </c>
      <c r="Q429" t="s">
        <v>22</v>
      </c>
      <c r="R429" t="s">
        <v>23</v>
      </c>
    </row>
    <row r="430" spans="1:18" x14ac:dyDescent="0.3">
      <c r="A430" t="s">
        <v>24</v>
      </c>
      <c r="B430" t="s">
        <v>67</v>
      </c>
      <c r="C430">
        <v>199</v>
      </c>
      <c r="D430" t="s">
        <v>20</v>
      </c>
      <c r="E430">
        <v>2024</v>
      </c>
      <c r="F430" t="s">
        <v>21</v>
      </c>
      <c r="G430">
        <v>128</v>
      </c>
      <c r="H430">
        <v>38.799999999999997</v>
      </c>
      <c r="I430">
        <v>11.4</v>
      </c>
      <c r="J430">
        <v>114844</v>
      </c>
      <c r="K430">
        <v>28</v>
      </c>
      <c r="L430">
        <v>32156</v>
      </c>
      <c r="M430">
        <v>147000</v>
      </c>
      <c r="N430">
        <v>167889</v>
      </c>
      <c r="O430">
        <v>70</v>
      </c>
      <c r="P430">
        <v>4.8</v>
      </c>
      <c r="Q430" t="s">
        <v>26</v>
      </c>
      <c r="R430" t="s">
        <v>27</v>
      </c>
    </row>
    <row r="431" spans="1:18" x14ac:dyDescent="0.3">
      <c r="A431" t="s">
        <v>24</v>
      </c>
      <c r="B431" t="s">
        <v>84</v>
      </c>
      <c r="C431">
        <v>124</v>
      </c>
      <c r="D431" t="s">
        <v>30</v>
      </c>
      <c r="E431">
        <v>2024</v>
      </c>
      <c r="F431" t="s">
        <v>35</v>
      </c>
      <c r="G431">
        <v>117</v>
      </c>
      <c r="H431">
        <v>53.2</v>
      </c>
      <c r="I431">
        <v>10.5</v>
      </c>
      <c r="J431">
        <v>74219</v>
      </c>
      <c r="K431">
        <v>28</v>
      </c>
      <c r="L431">
        <v>20781</v>
      </c>
      <c r="M431">
        <v>95000</v>
      </c>
      <c r="N431">
        <v>111105</v>
      </c>
      <c r="O431">
        <v>61</v>
      </c>
      <c r="P431">
        <v>7.3</v>
      </c>
      <c r="Q431" t="s">
        <v>37</v>
      </c>
      <c r="R431" t="s">
        <v>38</v>
      </c>
    </row>
    <row r="432" spans="1:18" x14ac:dyDescent="0.3">
      <c r="A432" t="s">
        <v>24</v>
      </c>
      <c r="B432" t="s">
        <v>106</v>
      </c>
      <c r="C432">
        <v>373</v>
      </c>
      <c r="D432" t="s">
        <v>34</v>
      </c>
      <c r="E432">
        <v>2025</v>
      </c>
      <c r="F432" t="s">
        <v>21</v>
      </c>
      <c r="G432">
        <v>184</v>
      </c>
      <c r="H432">
        <v>21.6</v>
      </c>
      <c r="I432">
        <v>14</v>
      </c>
      <c r="J432">
        <v>192366</v>
      </c>
      <c r="K432">
        <v>31</v>
      </c>
      <c r="L432">
        <v>59634</v>
      </c>
      <c r="M432">
        <v>252000</v>
      </c>
      <c r="N432">
        <v>295312</v>
      </c>
      <c r="O432">
        <v>73</v>
      </c>
      <c r="P432">
        <v>3</v>
      </c>
      <c r="Q432" t="s">
        <v>26</v>
      </c>
      <c r="R432" t="s">
        <v>27</v>
      </c>
    </row>
    <row r="433" spans="1:18" x14ac:dyDescent="0.3">
      <c r="A433" t="s">
        <v>28</v>
      </c>
      <c r="B433" t="s">
        <v>91</v>
      </c>
      <c r="C433">
        <v>97</v>
      </c>
      <c r="D433" t="s">
        <v>30</v>
      </c>
      <c r="E433">
        <v>2024</v>
      </c>
      <c r="F433" t="s">
        <v>31</v>
      </c>
      <c r="G433">
        <v>95</v>
      </c>
      <c r="H433">
        <v>70.3</v>
      </c>
      <c r="I433">
        <v>9.6999999999999993</v>
      </c>
      <c r="J433">
        <v>51562</v>
      </c>
      <c r="K433">
        <v>28</v>
      </c>
      <c r="L433">
        <v>14438</v>
      </c>
      <c r="M433">
        <v>66000</v>
      </c>
      <c r="N433">
        <v>80476</v>
      </c>
      <c r="O433">
        <v>63</v>
      </c>
      <c r="P433">
        <v>5.2</v>
      </c>
      <c r="Q433" t="s">
        <v>37</v>
      </c>
      <c r="R433" t="s">
        <v>38</v>
      </c>
    </row>
    <row r="434" spans="1:18" x14ac:dyDescent="0.3">
      <c r="A434" t="s">
        <v>28</v>
      </c>
      <c r="B434" t="s">
        <v>98</v>
      </c>
      <c r="C434">
        <v>163</v>
      </c>
      <c r="D434" t="s">
        <v>20</v>
      </c>
      <c r="E434">
        <v>2022</v>
      </c>
      <c r="F434" t="s">
        <v>21</v>
      </c>
      <c r="G434">
        <v>140</v>
      </c>
      <c r="H434">
        <v>41.8</v>
      </c>
      <c r="I434">
        <v>11</v>
      </c>
      <c r="J434">
        <v>103906</v>
      </c>
      <c r="K434">
        <v>28</v>
      </c>
      <c r="L434">
        <v>29094</v>
      </c>
      <c r="M434">
        <v>133000</v>
      </c>
      <c r="N434">
        <v>154504</v>
      </c>
      <c r="O434">
        <v>69</v>
      </c>
      <c r="P434">
        <v>7.3</v>
      </c>
      <c r="Q434" t="s">
        <v>22</v>
      </c>
      <c r="R434" t="s">
        <v>23</v>
      </c>
    </row>
    <row r="435" spans="1:18" x14ac:dyDescent="0.3">
      <c r="A435" t="s">
        <v>32</v>
      </c>
      <c r="B435" t="s">
        <v>36</v>
      </c>
      <c r="C435">
        <v>411</v>
      </c>
      <c r="D435" t="s">
        <v>34</v>
      </c>
      <c r="E435">
        <v>2021</v>
      </c>
      <c r="F435" t="s">
        <v>35</v>
      </c>
      <c r="G435">
        <v>182</v>
      </c>
      <c r="H435">
        <v>21.5</v>
      </c>
      <c r="I435">
        <v>17</v>
      </c>
      <c r="J435">
        <v>165649</v>
      </c>
      <c r="K435">
        <v>31</v>
      </c>
      <c r="L435">
        <v>51351</v>
      </c>
      <c r="M435">
        <v>217000</v>
      </c>
      <c r="N435">
        <v>252158</v>
      </c>
      <c r="O435">
        <v>80</v>
      </c>
      <c r="P435">
        <v>14.5</v>
      </c>
      <c r="Q435" t="s">
        <v>37</v>
      </c>
      <c r="R435" t="s">
        <v>38</v>
      </c>
    </row>
    <row r="436" spans="1:18" x14ac:dyDescent="0.3">
      <c r="A436" t="s">
        <v>55</v>
      </c>
      <c r="B436" t="s">
        <v>75</v>
      </c>
      <c r="C436">
        <v>155</v>
      </c>
      <c r="D436" t="s">
        <v>20</v>
      </c>
      <c r="E436">
        <v>2022</v>
      </c>
      <c r="F436" t="s">
        <v>35</v>
      </c>
      <c r="G436">
        <v>134</v>
      </c>
      <c r="H436">
        <v>42.1</v>
      </c>
      <c r="I436">
        <v>11.9</v>
      </c>
      <c r="J436">
        <v>107031</v>
      </c>
      <c r="K436">
        <v>28</v>
      </c>
      <c r="L436">
        <v>29969</v>
      </c>
      <c r="M436">
        <v>137000</v>
      </c>
      <c r="N436">
        <v>162076</v>
      </c>
      <c r="O436">
        <v>59</v>
      </c>
      <c r="P436">
        <v>6.3</v>
      </c>
      <c r="Q436" t="s">
        <v>37</v>
      </c>
      <c r="R436" t="s">
        <v>38</v>
      </c>
    </row>
    <row r="437" spans="1:18" x14ac:dyDescent="0.3">
      <c r="A437" t="s">
        <v>18</v>
      </c>
      <c r="B437" t="s">
        <v>62</v>
      </c>
      <c r="C437">
        <v>348</v>
      </c>
      <c r="D437" t="s">
        <v>34</v>
      </c>
      <c r="E437">
        <v>2020</v>
      </c>
      <c r="F437" t="s">
        <v>21</v>
      </c>
      <c r="G437">
        <v>158</v>
      </c>
      <c r="H437">
        <v>33</v>
      </c>
      <c r="I437">
        <v>13.6</v>
      </c>
      <c r="J437">
        <v>182031</v>
      </c>
      <c r="K437">
        <v>28</v>
      </c>
      <c r="L437">
        <v>50969</v>
      </c>
      <c r="M437">
        <v>233000</v>
      </c>
      <c r="N437">
        <v>272654</v>
      </c>
      <c r="O437">
        <v>78</v>
      </c>
      <c r="P437">
        <v>12.9</v>
      </c>
      <c r="Q437" t="s">
        <v>37</v>
      </c>
      <c r="R437" t="s">
        <v>38</v>
      </c>
    </row>
    <row r="438" spans="1:18" x14ac:dyDescent="0.3">
      <c r="A438" t="s">
        <v>32</v>
      </c>
      <c r="B438" t="s">
        <v>46</v>
      </c>
      <c r="C438">
        <v>349</v>
      </c>
      <c r="D438" t="s">
        <v>34</v>
      </c>
      <c r="E438">
        <v>2022</v>
      </c>
      <c r="F438" t="s">
        <v>35</v>
      </c>
      <c r="G438">
        <v>152</v>
      </c>
      <c r="H438">
        <v>32.799999999999997</v>
      </c>
      <c r="I438">
        <v>18.2</v>
      </c>
      <c r="J438">
        <v>123438</v>
      </c>
      <c r="K438">
        <v>28</v>
      </c>
      <c r="L438">
        <v>34562</v>
      </c>
      <c r="M438">
        <v>158000</v>
      </c>
      <c r="N438">
        <v>181398</v>
      </c>
      <c r="O438">
        <v>70</v>
      </c>
      <c r="P438">
        <v>13.4</v>
      </c>
      <c r="Q438" t="s">
        <v>37</v>
      </c>
      <c r="R438" t="s">
        <v>38</v>
      </c>
    </row>
    <row r="439" spans="1:18" x14ac:dyDescent="0.3">
      <c r="A439" t="s">
        <v>55</v>
      </c>
      <c r="B439" t="s">
        <v>96</v>
      </c>
      <c r="C439">
        <v>124</v>
      </c>
      <c r="D439" t="s">
        <v>30</v>
      </c>
      <c r="E439">
        <v>2025</v>
      </c>
      <c r="F439" t="s">
        <v>35</v>
      </c>
      <c r="G439">
        <v>112</v>
      </c>
      <c r="H439">
        <v>50.1</v>
      </c>
      <c r="I439">
        <v>12.8</v>
      </c>
      <c r="J439">
        <v>75781</v>
      </c>
      <c r="K439">
        <v>28</v>
      </c>
      <c r="L439">
        <v>21219</v>
      </c>
      <c r="M439">
        <v>97000</v>
      </c>
      <c r="N439">
        <v>111727</v>
      </c>
      <c r="O439">
        <v>65</v>
      </c>
      <c r="P439">
        <v>4.5</v>
      </c>
      <c r="Q439" t="s">
        <v>26</v>
      </c>
      <c r="R439" t="s">
        <v>27</v>
      </c>
    </row>
    <row r="440" spans="1:18" x14ac:dyDescent="0.3">
      <c r="A440" t="s">
        <v>18</v>
      </c>
      <c r="B440" t="s">
        <v>68</v>
      </c>
      <c r="C440">
        <v>109</v>
      </c>
      <c r="D440" t="s">
        <v>30</v>
      </c>
      <c r="E440">
        <v>2020</v>
      </c>
      <c r="F440" t="s">
        <v>31</v>
      </c>
      <c r="G440">
        <v>85</v>
      </c>
      <c r="H440">
        <v>70.8</v>
      </c>
      <c r="I440">
        <v>8.1999999999999993</v>
      </c>
      <c r="J440">
        <v>57812</v>
      </c>
      <c r="K440">
        <v>28</v>
      </c>
      <c r="L440">
        <v>16188</v>
      </c>
      <c r="M440">
        <v>74000</v>
      </c>
      <c r="N440">
        <v>87395</v>
      </c>
      <c r="O440">
        <v>63</v>
      </c>
      <c r="P440">
        <v>8.3000000000000007</v>
      </c>
      <c r="Q440" t="s">
        <v>37</v>
      </c>
      <c r="R440" t="s">
        <v>38</v>
      </c>
    </row>
    <row r="441" spans="1:18" x14ac:dyDescent="0.3">
      <c r="A441" t="s">
        <v>18</v>
      </c>
      <c r="B441" t="s">
        <v>105</v>
      </c>
      <c r="C441">
        <v>471</v>
      </c>
      <c r="D441" t="s">
        <v>34</v>
      </c>
      <c r="E441">
        <v>2021</v>
      </c>
      <c r="F441" t="s">
        <v>21</v>
      </c>
      <c r="G441">
        <v>178</v>
      </c>
      <c r="H441">
        <v>20.7</v>
      </c>
      <c r="I441">
        <v>16.7</v>
      </c>
      <c r="J441">
        <v>412977</v>
      </c>
      <c r="K441">
        <v>31</v>
      </c>
      <c r="L441">
        <v>128023</v>
      </c>
      <c r="M441">
        <v>541000</v>
      </c>
      <c r="N441">
        <v>627827</v>
      </c>
      <c r="O441">
        <v>83</v>
      </c>
      <c r="P441">
        <v>9.8000000000000007</v>
      </c>
      <c r="Q441" t="s">
        <v>22</v>
      </c>
      <c r="R441" t="s">
        <v>23</v>
      </c>
    </row>
    <row r="442" spans="1:18" x14ac:dyDescent="0.3">
      <c r="A442" t="s">
        <v>24</v>
      </c>
      <c r="B442" t="s">
        <v>101</v>
      </c>
      <c r="C442">
        <v>102</v>
      </c>
      <c r="D442" t="s">
        <v>30</v>
      </c>
      <c r="E442">
        <v>2024</v>
      </c>
      <c r="F442" t="s">
        <v>31</v>
      </c>
      <c r="G442">
        <v>99</v>
      </c>
      <c r="H442">
        <v>76.099999999999994</v>
      </c>
      <c r="I442">
        <v>8.9</v>
      </c>
      <c r="J442">
        <v>49219</v>
      </c>
      <c r="K442">
        <v>28</v>
      </c>
      <c r="L442">
        <v>13781</v>
      </c>
      <c r="M442">
        <v>63000</v>
      </c>
      <c r="N442">
        <v>76018</v>
      </c>
      <c r="O442">
        <v>63</v>
      </c>
      <c r="P442">
        <v>14.1</v>
      </c>
      <c r="Q442" t="s">
        <v>37</v>
      </c>
      <c r="R442" t="s">
        <v>38</v>
      </c>
    </row>
    <row r="443" spans="1:18" x14ac:dyDescent="0.3">
      <c r="A443" t="s">
        <v>55</v>
      </c>
      <c r="B443" t="s">
        <v>76</v>
      </c>
      <c r="C443">
        <v>249</v>
      </c>
      <c r="D443" t="s">
        <v>20</v>
      </c>
      <c r="E443">
        <v>2024</v>
      </c>
      <c r="F443" t="s">
        <v>21</v>
      </c>
      <c r="G443">
        <v>153</v>
      </c>
      <c r="H443">
        <v>34.9</v>
      </c>
      <c r="I443">
        <v>15.2</v>
      </c>
      <c r="J443">
        <v>136719</v>
      </c>
      <c r="K443">
        <v>28</v>
      </c>
      <c r="L443">
        <v>38281</v>
      </c>
      <c r="M443">
        <v>175000</v>
      </c>
      <c r="N443">
        <v>205246</v>
      </c>
      <c r="O443">
        <v>71</v>
      </c>
      <c r="P443">
        <v>10</v>
      </c>
      <c r="Q443" t="s">
        <v>22</v>
      </c>
      <c r="R443" t="s">
        <v>23</v>
      </c>
    </row>
    <row r="444" spans="1:18" x14ac:dyDescent="0.3">
      <c r="A444" t="s">
        <v>32</v>
      </c>
      <c r="B444" t="s">
        <v>33</v>
      </c>
      <c r="C444">
        <v>346</v>
      </c>
      <c r="D444" t="s">
        <v>34</v>
      </c>
      <c r="E444">
        <v>2020</v>
      </c>
      <c r="F444" t="s">
        <v>35</v>
      </c>
      <c r="G444">
        <v>148</v>
      </c>
      <c r="H444">
        <v>31</v>
      </c>
      <c r="I444">
        <v>16.7</v>
      </c>
      <c r="J444">
        <v>143750</v>
      </c>
      <c r="K444">
        <v>28</v>
      </c>
      <c r="L444">
        <v>40250</v>
      </c>
      <c r="M444">
        <v>184000</v>
      </c>
      <c r="N444">
        <v>209502</v>
      </c>
      <c r="O444">
        <v>68</v>
      </c>
      <c r="P444">
        <v>5.3</v>
      </c>
      <c r="Q444" t="s">
        <v>22</v>
      </c>
      <c r="R444" t="s">
        <v>23</v>
      </c>
    </row>
    <row r="445" spans="1:18" x14ac:dyDescent="0.3">
      <c r="A445" t="s">
        <v>18</v>
      </c>
      <c r="B445" t="s">
        <v>44</v>
      </c>
      <c r="C445">
        <v>348</v>
      </c>
      <c r="D445" t="s">
        <v>34</v>
      </c>
      <c r="E445">
        <v>2023</v>
      </c>
      <c r="F445" t="s">
        <v>21</v>
      </c>
      <c r="G445">
        <v>155</v>
      </c>
      <c r="H445">
        <v>35.4</v>
      </c>
      <c r="I445">
        <v>18.600000000000001</v>
      </c>
      <c r="J445">
        <v>160156</v>
      </c>
      <c r="K445">
        <v>28</v>
      </c>
      <c r="L445">
        <v>44844</v>
      </c>
      <c r="M445">
        <v>205000</v>
      </c>
      <c r="N445">
        <v>235446</v>
      </c>
      <c r="O445">
        <v>82</v>
      </c>
      <c r="P445">
        <v>1.1000000000000001</v>
      </c>
      <c r="Q445" t="s">
        <v>57</v>
      </c>
      <c r="R445" t="s">
        <v>58</v>
      </c>
    </row>
    <row r="446" spans="1:18" x14ac:dyDescent="0.3">
      <c r="A446" t="s">
        <v>24</v>
      </c>
      <c r="B446" t="s">
        <v>106</v>
      </c>
      <c r="C446">
        <v>373</v>
      </c>
      <c r="D446" t="s">
        <v>34</v>
      </c>
      <c r="E446">
        <v>2025</v>
      </c>
      <c r="F446" t="s">
        <v>21</v>
      </c>
      <c r="G446">
        <v>175</v>
      </c>
      <c r="H446">
        <v>21.7</v>
      </c>
      <c r="I446">
        <v>15.7</v>
      </c>
      <c r="J446">
        <v>191603</v>
      </c>
      <c r="K446">
        <v>31</v>
      </c>
      <c r="L446">
        <v>59397</v>
      </c>
      <c r="M446">
        <v>251000</v>
      </c>
      <c r="N446">
        <v>289357</v>
      </c>
      <c r="O446">
        <v>72</v>
      </c>
      <c r="P446">
        <v>11</v>
      </c>
      <c r="Q446" t="s">
        <v>37</v>
      </c>
      <c r="R446" t="s">
        <v>38</v>
      </c>
    </row>
    <row r="447" spans="1:18" x14ac:dyDescent="0.3">
      <c r="A447" t="s">
        <v>32</v>
      </c>
      <c r="B447" t="s">
        <v>73</v>
      </c>
      <c r="C447">
        <v>648</v>
      </c>
      <c r="D447" t="s">
        <v>34</v>
      </c>
      <c r="E447">
        <v>2025</v>
      </c>
      <c r="F447" t="s">
        <v>31</v>
      </c>
      <c r="G447">
        <v>199</v>
      </c>
      <c r="H447">
        <v>23.4</v>
      </c>
      <c r="I447">
        <v>18.2</v>
      </c>
      <c r="J447">
        <v>248092</v>
      </c>
      <c r="K447">
        <v>31</v>
      </c>
      <c r="L447">
        <v>76908</v>
      </c>
      <c r="M447">
        <v>325000</v>
      </c>
      <c r="N447">
        <v>369960</v>
      </c>
      <c r="O447">
        <v>73</v>
      </c>
      <c r="P447">
        <v>4.8</v>
      </c>
      <c r="Q447" t="s">
        <v>26</v>
      </c>
      <c r="R447" t="s">
        <v>27</v>
      </c>
    </row>
    <row r="448" spans="1:18" x14ac:dyDescent="0.3">
      <c r="A448" t="s">
        <v>39</v>
      </c>
      <c r="B448" t="s">
        <v>83</v>
      </c>
      <c r="C448">
        <v>124</v>
      </c>
      <c r="D448" t="s">
        <v>30</v>
      </c>
      <c r="E448">
        <v>2025</v>
      </c>
      <c r="F448" t="s">
        <v>21</v>
      </c>
      <c r="G448">
        <v>119</v>
      </c>
      <c r="H448">
        <v>49.9</v>
      </c>
      <c r="I448">
        <v>12.5</v>
      </c>
      <c r="J448">
        <v>73438</v>
      </c>
      <c r="K448">
        <v>28</v>
      </c>
      <c r="L448">
        <v>20562</v>
      </c>
      <c r="M448">
        <v>94000</v>
      </c>
      <c r="N448">
        <v>111078</v>
      </c>
      <c r="O448">
        <v>72</v>
      </c>
      <c r="P448">
        <v>7.3</v>
      </c>
      <c r="Q448" t="s">
        <v>22</v>
      </c>
      <c r="R448" t="s">
        <v>23</v>
      </c>
    </row>
    <row r="449" spans="1:18" x14ac:dyDescent="0.3">
      <c r="A449" t="s">
        <v>24</v>
      </c>
      <c r="B449" t="s">
        <v>65</v>
      </c>
      <c r="C449">
        <v>149</v>
      </c>
      <c r="D449" t="s">
        <v>20</v>
      </c>
      <c r="E449">
        <v>2025</v>
      </c>
      <c r="F449" t="s">
        <v>35</v>
      </c>
      <c r="G449">
        <v>108</v>
      </c>
      <c r="H449">
        <v>50.9</v>
      </c>
      <c r="I449">
        <v>11.8</v>
      </c>
      <c r="J449">
        <v>87500</v>
      </c>
      <c r="K449">
        <v>28</v>
      </c>
      <c r="L449">
        <v>24500</v>
      </c>
      <c r="M449">
        <v>112000</v>
      </c>
      <c r="N449">
        <v>129264</v>
      </c>
      <c r="O449">
        <v>66</v>
      </c>
      <c r="P449">
        <v>4.8</v>
      </c>
      <c r="Q449" t="s">
        <v>26</v>
      </c>
      <c r="R449" t="s">
        <v>27</v>
      </c>
    </row>
    <row r="450" spans="1:18" x14ac:dyDescent="0.3">
      <c r="A450" t="s">
        <v>28</v>
      </c>
      <c r="B450" t="s">
        <v>91</v>
      </c>
      <c r="C450">
        <v>97</v>
      </c>
      <c r="D450" t="s">
        <v>30</v>
      </c>
      <c r="E450">
        <v>2020</v>
      </c>
      <c r="F450" t="s">
        <v>31</v>
      </c>
      <c r="G450">
        <v>100</v>
      </c>
      <c r="H450">
        <v>68.7</v>
      </c>
      <c r="I450">
        <v>8.6999999999999993</v>
      </c>
      <c r="J450">
        <v>52344</v>
      </c>
      <c r="K450">
        <v>28</v>
      </c>
      <c r="L450">
        <v>14656</v>
      </c>
      <c r="M450">
        <v>67000</v>
      </c>
      <c r="N450">
        <v>78835</v>
      </c>
      <c r="O450">
        <v>61</v>
      </c>
      <c r="P450">
        <v>7.5</v>
      </c>
      <c r="Q450" t="s">
        <v>37</v>
      </c>
      <c r="R450" t="s">
        <v>38</v>
      </c>
    </row>
    <row r="451" spans="1:18" x14ac:dyDescent="0.3">
      <c r="A451" t="s">
        <v>18</v>
      </c>
      <c r="B451" t="s">
        <v>62</v>
      </c>
      <c r="C451">
        <v>348</v>
      </c>
      <c r="D451" t="s">
        <v>34</v>
      </c>
      <c r="E451">
        <v>2020</v>
      </c>
      <c r="F451" t="s">
        <v>21</v>
      </c>
      <c r="G451">
        <v>148</v>
      </c>
      <c r="H451">
        <v>29.6</v>
      </c>
      <c r="I451">
        <v>19.8</v>
      </c>
      <c r="J451">
        <v>159375</v>
      </c>
      <c r="K451">
        <v>28</v>
      </c>
      <c r="L451">
        <v>44625</v>
      </c>
      <c r="M451">
        <v>204000</v>
      </c>
      <c r="N451">
        <v>236986</v>
      </c>
      <c r="O451">
        <v>78</v>
      </c>
      <c r="P451">
        <v>12.6</v>
      </c>
      <c r="Q451" t="s">
        <v>37</v>
      </c>
      <c r="R451" t="s">
        <v>38</v>
      </c>
    </row>
    <row r="452" spans="1:18" x14ac:dyDescent="0.3">
      <c r="A452" t="s">
        <v>39</v>
      </c>
      <c r="B452" t="s">
        <v>40</v>
      </c>
      <c r="C452">
        <v>109</v>
      </c>
      <c r="D452" t="s">
        <v>30</v>
      </c>
      <c r="E452">
        <v>2021</v>
      </c>
      <c r="F452" t="s">
        <v>35</v>
      </c>
      <c r="G452">
        <v>88</v>
      </c>
      <c r="H452">
        <v>64.900000000000006</v>
      </c>
      <c r="I452">
        <v>8.9</v>
      </c>
      <c r="J452">
        <v>62500</v>
      </c>
      <c r="K452">
        <v>28</v>
      </c>
      <c r="L452">
        <v>17500</v>
      </c>
      <c r="M452">
        <v>80000</v>
      </c>
      <c r="N452">
        <v>94452</v>
      </c>
      <c r="O452">
        <v>69</v>
      </c>
      <c r="P452">
        <v>10.3</v>
      </c>
      <c r="Q452" t="s">
        <v>37</v>
      </c>
      <c r="R452" t="s">
        <v>38</v>
      </c>
    </row>
    <row r="453" spans="1:18" x14ac:dyDescent="0.3">
      <c r="A453" t="s">
        <v>39</v>
      </c>
      <c r="B453" t="s">
        <v>93</v>
      </c>
      <c r="C453">
        <v>225</v>
      </c>
      <c r="D453" t="s">
        <v>20</v>
      </c>
      <c r="E453">
        <v>2021</v>
      </c>
      <c r="F453" t="s">
        <v>21</v>
      </c>
      <c r="G453">
        <v>148</v>
      </c>
      <c r="H453">
        <v>32.200000000000003</v>
      </c>
      <c r="I453">
        <v>15.5</v>
      </c>
      <c r="J453">
        <v>138281</v>
      </c>
      <c r="K453">
        <v>28</v>
      </c>
      <c r="L453">
        <v>38719</v>
      </c>
      <c r="M453">
        <v>177000</v>
      </c>
      <c r="N453">
        <v>204422</v>
      </c>
      <c r="O453">
        <v>71</v>
      </c>
      <c r="P453">
        <v>9.9</v>
      </c>
      <c r="Q453" t="s">
        <v>22</v>
      </c>
      <c r="R453" t="s">
        <v>23</v>
      </c>
    </row>
    <row r="454" spans="1:18" x14ac:dyDescent="0.3">
      <c r="A454" t="s">
        <v>28</v>
      </c>
      <c r="B454" t="s">
        <v>98</v>
      </c>
      <c r="C454">
        <v>163</v>
      </c>
      <c r="D454" t="s">
        <v>20</v>
      </c>
      <c r="E454">
        <v>2024</v>
      </c>
      <c r="F454" t="s">
        <v>21</v>
      </c>
      <c r="G454">
        <v>120</v>
      </c>
      <c r="H454">
        <v>41.3</v>
      </c>
      <c r="I454">
        <v>10.5</v>
      </c>
      <c r="J454">
        <v>111719</v>
      </c>
      <c r="K454">
        <v>28</v>
      </c>
      <c r="L454">
        <v>31281</v>
      </c>
      <c r="M454">
        <v>143000</v>
      </c>
      <c r="N454">
        <v>164891</v>
      </c>
      <c r="O454">
        <v>70</v>
      </c>
      <c r="P454">
        <v>12.1</v>
      </c>
      <c r="Q454" t="s">
        <v>37</v>
      </c>
      <c r="R454" t="s">
        <v>38</v>
      </c>
    </row>
    <row r="455" spans="1:18" x14ac:dyDescent="0.3">
      <c r="A455" t="s">
        <v>39</v>
      </c>
      <c r="B455" t="s">
        <v>40</v>
      </c>
      <c r="C455">
        <v>109</v>
      </c>
      <c r="D455" t="s">
        <v>30</v>
      </c>
      <c r="E455">
        <v>2021</v>
      </c>
      <c r="F455" t="s">
        <v>35</v>
      </c>
      <c r="G455">
        <v>89</v>
      </c>
      <c r="H455">
        <v>73.2</v>
      </c>
      <c r="I455">
        <v>8.3000000000000007</v>
      </c>
      <c r="J455">
        <v>59375</v>
      </c>
      <c r="K455">
        <v>28</v>
      </c>
      <c r="L455">
        <v>16625</v>
      </c>
      <c r="M455">
        <v>76000</v>
      </c>
      <c r="N455">
        <v>89625</v>
      </c>
      <c r="O455">
        <v>66</v>
      </c>
      <c r="P455">
        <v>11.8</v>
      </c>
      <c r="Q455" t="s">
        <v>37</v>
      </c>
      <c r="R455" t="s">
        <v>38</v>
      </c>
    </row>
    <row r="456" spans="1:18" x14ac:dyDescent="0.3">
      <c r="A456" t="s">
        <v>18</v>
      </c>
      <c r="B456" t="s">
        <v>103</v>
      </c>
      <c r="C456">
        <v>124</v>
      </c>
      <c r="D456" t="s">
        <v>30</v>
      </c>
      <c r="E456">
        <v>2024</v>
      </c>
      <c r="F456" t="s">
        <v>35</v>
      </c>
      <c r="G456">
        <v>116</v>
      </c>
      <c r="H456">
        <v>49.2</v>
      </c>
      <c r="I456">
        <v>13.2</v>
      </c>
      <c r="J456">
        <v>72656</v>
      </c>
      <c r="K456">
        <v>28</v>
      </c>
      <c r="L456">
        <v>20344</v>
      </c>
      <c r="M456">
        <v>93000</v>
      </c>
      <c r="N456">
        <v>110852</v>
      </c>
      <c r="O456">
        <v>69</v>
      </c>
      <c r="P456">
        <v>3.2</v>
      </c>
      <c r="Q456" t="s">
        <v>26</v>
      </c>
      <c r="R456" t="s">
        <v>27</v>
      </c>
    </row>
    <row r="457" spans="1:18" x14ac:dyDescent="0.3">
      <c r="A457" t="s">
        <v>18</v>
      </c>
      <c r="B457" t="s">
        <v>79</v>
      </c>
      <c r="C457">
        <v>293</v>
      </c>
      <c r="D457" t="s">
        <v>34</v>
      </c>
      <c r="E457">
        <v>2020</v>
      </c>
      <c r="F457" t="s">
        <v>21</v>
      </c>
      <c r="G457">
        <v>165</v>
      </c>
      <c r="H457">
        <v>34</v>
      </c>
      <c r="I457">
        <v>17.8</v>
      </c>
      <c r="J457">
        <v>210156</v>
      </c>
      <c r="K457">
        <v>28</v>
      </c>
      <c r="L457">
        <v>58844</v>
      </c>
      <c r="M457">
        <v>269000</v>
      </c>
      <c r="N457">
        <v>309642</v>
      </c>
      <c r="O457">
        <v>79</v>
      </c>
      <c r="P457">
        <v>11.3</v>
      </c>
      <c r="Q457" t="s">
        <v>37</v>
      </c>
      <c r="R457" t="s">
        <v>38</v>
      </c>
    </row>
    <row r="458" spans="1:18" x14ac:dyDescent="0.3">
      <c r="A458" t="s">
        <v>32</v>
      </c>
      <c r="B458" t="s">
        <v>92</v>
      </c>
      <c r="C458">
        <v>452</v>
      </c>
      <c r="D458" t="s">
        <v>34</v>
      </c>
      <c r="E458">
        <v>2021</v>
      </c>
      <c r="F458" t="s">
        <v>21</v>
      </c>
      <c r="G458">
        <v>178</v>
      </c>
      <c r="H458">
        <v>21.7</v>
      </c>
      <c r="I458">
        <v>17</v>
      </c>
      <c r="J458">
        <v>225191</v>
      </c>
      <c r="K458">
        <v>31</v>
      </c>
      <c r="L458">
        <v>69809</v>
      </c>
      <c r="M458">
        <v>295000</v>
      </c>
      <c r="N458">
        <v>335535</v>
      </c>
      <c r="O458">
        <v>85</v>
      </c>
      <c r="P458">
        <v>10.8</v>
      </c>
      <c r="Q458" t="s">
        <v>37</v>
      </c>
      <c r="R458" t="s">
        <v>38</v>
      </c>
    </row>
    <row r="459" spans="1:18" x14ac:dyDescent="0.3">
      <c r="A459" t="s">
        <v>55</v>
      </c>
      <c r="B459" t="s">
        <v>76</v>
      </c>
      <c r="C459">
        <v>249</v>
      </c>
      <c r="D459" t="s">
        <v>20</v>
      </c>
      <c r="E459">
        <v>2021</v>
      </c>
      <c r="F459" t="s">
        <v>21</v>
      </c>
      <c r="G459">
        <v>157</v>
      </c>
      <c r="H459">
        <v>35.200000000000003</v>
      </c>
      <c r="I459">
        <v>16.100000000000001</v>
      </c>
      <c r="J459">
        <v>140625</v>
      </c>
      <c r="K459">
        <v>28</v>
      </c>
      <c r="L459">
        <v>39375</v>
      </c>
      <c r="M459">
        <v>180000</v>
      </c>
      <c r="N459">
        <v>210516</v>
      </c>
      <c r="O459">
        <v>71</v>
      </c>
      <c r="P459">
        <v>2</v>
      </c>
      <c r="Q459" t="s">
        <v>57</v>
      </c>
      <c r="R459" t="s">
        <v>58</v>
      </c>
    </row>
    <row r="460" spans="1:18" x14ac:dyDescent="0.3">
      <c r="A460" t="s">
        <v>39</v>
      </c>
      <c r="B460" t="s">
        <v>60</v>
      </c>
      <c r="C460">
        <v>109</v>
      </c>
      <c r="D460" t="s">
        <v>30</v>
      </c>
      <c r="E460">
        <v>2022</v>
      </c>
      <c r="F460" t="s">
        <v>35</v>
      </c>
      <c r="G460">
        <v>90</v>
      </c>
      <c r="H460">
        <v>68</v>
      </c>
      <c r="I460">
        <v>9.6</v>
      </c>
      <c r="J460">
        <v>63281</v>
      </c>
      <c r="K460">
        <v>28</v>
      </c>
      <c r="L460">
        <v>17719</v>
      </c>
      <c r="M460">
        <v>81000</v>
      </c>
      <c r="N460">
        <v>96710</v>
      </c>
      <c r="O460">
        <v>61</v>
      </c>
      <c r="P460">
        <v>9.6999999999999993</v>
      </c>
      <c r="Q460" t="s">
        <v>37</v>
      </c>
      <c r="R460" t="s">
        <v>38</v>
      </c>
    </row>
    <row r="461" spans="1:18" x14ac:dyDescent="0.3">
      <c r="A461" t="s">
        <v>39</v>
      </c>
      <c r="B461" t="s">
        <v>82</v>
      </c>
      <c r="C461">
        <v>99</v>
      </c>
      <c r="D461" t="s">
        <v>30</v>
      </c>
      <c r="E461">
        <v>2022</v>
      </c>
      <c r="F461" t="s">
        <v>31</v>
      </c>
      <c r="G461">
        <v>100</v>
      </c>
      <c r="H461">
        <v>64.8</v>
      </c>
      <c r="I461">
        <v>8.6</v>
      </c>
      <c r="J461">
        <v>51562</v>
      </c>
      <c r="K461">
        <v>28</v>
      </c>
      <c r="L461">
        <v>14438</v>
      </c>
      <c r="M461">
        <v>66000</v>
      </c>
      <c r="N461">
        <v>78291</v>
      </c>
      <c r="O461">
        <v>62</v>
      </c>
      <c r="P461">
        <v>3.2</v>
      </c>
      <c r="Q461" t="s">
        <v>26</v>
      </c>
      <c r="R461" t="s">
        <v>27</v>
      </c>
    </row>
    <row r="462" spans="1:18" x14ac:dyDescent="0.3">
      <c r="A462" t="s">
        <v>32</v>
      </c>
      <c r="B462" t="s">
        <v>88</v>
      </c>
      <c r="C462">
        <v>349</v>
      </c>
      <c r="D462" t="s">
        <v>34</v>
      </c>
      <c r="E462">
        <v>2021</v>
      </c>
      <c r="F462" t="s">
        <v>35</v>
      </c>
      <c r="G462">
        <v>141</v>
      </c>
      <c r="H462">
        <v>29.5</v>
      </c>
      <c r="I462">
        <v>13.7</v>
      </c>
      <c r="J462">
        <v>142969</v>
      </c>
      <c r="K462">
        <v>28</v>
      </c>
      <c r="L462">
        <v>40031</v>
      </c>
      <c r="M462">
        <v>183000</v>
      </c>
      <c r="N462">
        <v>209735</v>
      </c>
      <c r="O462">
        <v>69</v>
      </c>
      <c r="P462">
        <v>2.5</v>
      </c>
      <c r="Q462" t="s">
        <v>26</v>
      </c>
      <c r="R462" t="s">
        <v>27</v>
      </c>
    </row>
    <row r="463" spans="1:18" x14ac:dyDescent="0.3">
      <c r="A463" t="s">
        <v>32</v>
      </c>
      <c r="B463" t="s">
        <v>90</v>
      </c>
      <c r="C463">
        <v>648</v>
      </c>
      <c r="D463" t="s">
        <v>34</v>
      </c>
      <c r="E463">
        <v>2020</v>
      </c>
      <c r="F463" t="s">
        <v>31</v>
      </c>
      <c r="G463">
        <v>174</v>
      </c>
      <c r="H463">
        <v>19.600000000000001</v>
      </c>
      <c r="I463">
        <v>19.5</v>
      </c>
      <c r="J463">
        <v>254198</v>
      </c>
      <c r="K463">
        <v>31</v>
      </c>
      <c r="L463">
        <v>78802</v>
      </c>
      <c r="M463">
        <v>333000</v>
      </c>
      <c r="N463">
        <v>384353</v>
      </c>
      <c r="O463">
        <v>72</v>
      </c>
      <c r="P463">
        <v>11</v>
      </c>
      <c r="Q463" t="s">
        <v>37</v>
      </c>
      <c r="R463" t="s">
        <v>38</v>
      </c>
    </row>
    <row r="464" spans="1:18" x14ac:dyDescent="0.3">
      <c r="A464" t="s">
        <v>24</v>
      </c>
      <c r="B464" t="s">
        <v>67</v>
      </c>
      <c r="C464">
        <v>199</v>
      </c>
      <c r="D464" t="s">
        <v>20</v>
      </c>
      <c r="E464">
        <v>2023</v>
      </c>
      <c r="F464" t="s">
        <v>21</v>
      </c>
      <c r="G464">
        <v>121</v>
      </c>
      <c r="H464">
        <v>45</v>
      </c>
      <c r="I464">
        <v>13.3</v>
      </c>
      <c r="J464">
        <v>120312</v>
      </c>
      <c r="K464">
        <v>28</v>
      </c>
      <c r="L464">
        <v>33688</v>
      </c>
      <c r="M464">
        <v>154000</v>
      </c>
      <c r="N464">
        <v>183139</v>
      </c>
      <c r="O464">
        <v>78</v>
      </c>
      <c r="P464">
        <v>8.8000000000000007</v>
      </c>
      <c r="Q464" t="s">
        <v>22</v>
      </c>
      <c r="R464" t="s">
        <v>23</v>
      </c>
    </row>
    <row r="465" spans="1:18" x14ac:dyDescent="0.3">
      <c r="A465" t="s">
        <v>28</v>
      </c>
      <c r="B465" t="s">
        <v>99</v>
      </c>
      <c r="C465">
        <v>199</v>
      </c>
      <c r="D465" t="s">
        <v>20</v>
      </c>
      <c r="E465">
        <v>2020</v>
      </c>
      <c r="F465" t="s">
        <v>21</v>
      </c>
      <c r="G465">
        <v>122</v>
      </c>
      <c r="H465">
        <v>45.4</v>
      </c>
      <c r="I465">
        <v>10.4</v>
      </c>
      <c r="J465">
        <v>119531</v>
      </c>
      <c r="K465">
        <v>28</v>
      </c>
      <c r="L465">
        <v>33469</v>
      </c>
      <c r="M465">
        <v>153000</v>
      </c>
      <c r="N465">
        <v>173869</v>
      </c>
      <c r="O465">
        <v>77</v>
      </c>
      <c r="P465">
        <v>14.4</v>
      </c>
      <c r="Q465" t="s">
        <v>37</v>
      </c>
      <c r="R465" t="s">
        <v>38</v>
      </c>
    </row>
    <row r="466" spans="1:18" x14ac:dyDescent="0.3">
      <c r="A466" t="s">
        <v>24</v>
      </c>
      <c r="B466" t="s">
        <v>106</v>
      </c>
      <c r="C466">
        <v>373</v>
      </c>
      <c r="D466" t="s">
        <v>34</v>
      </c>
      <c r="E466">
        <v>2023</v>
      </c>
      <c r="F466" t="s">
        <v>21</v>
      </c>
      <c r="G466">
        <v>171</v>
      </c>
      <c r="H466">
        <v>22.4</v>
      </c>
      <c r="I466">
        <v>18.2</v>
      </c>
      <c r="J466">
        <v>183969</v>
      </c>
      <c r="K466">
        <v>31</v>
      </c>
      <c r="L466">
        <v>57031</v>
      </c>
      <c r="M466">
        <v>241000</v>
      </c>
      <c r="N466">
        <v>274891</v>
      </c>
      <c r="O466">
        <v>78</v>
      </c>
      <c r="P466">
        <v>11.5</v>
      </c>
      <c r="Q466" t="s">
        <v>37</v>
      </c>
      <c r="R466" t="s">
        <v>38</v>
      </c>
    </row>
    <row r="467" spans="1:18" x14ac:dyDescent="0.3">
      <c r="A467" t="s">
        <v>32</v>
      </c>
      <c r="B467" t="s">
        <v>92</v>
      </c>
      <c r="C467">
        <v>452</v>
      </c>
      <c r="D467" t="s">
        <v>34</v>
      </c>
      <c r="E467">
        <v>2022</v>
      </c>
      <c r="F467" t="s">
        <v>21</v>
      </c>
      <c r="G467">
        <v>171</v>
      </c>
      <c r="H467">
        <v>20.2</v>
      </c>
      <c r="I467">
        <v>17.600000000000001</v>
      </c>
      <c r="J467">
        <v>223664</v>
      </c>
      <c r="K467">
        <v>31</v>
      </c>
      <c r="L467">
        <v>69336</v>
      </c>
      <c r="M467">
        <v>293000</v>
      </c>
      <c r="N467">
        <v>338393</v>
      </c>
      <c r="O467">
        <v>85</v>
      </c>
      <c r="P467">
        <v>6.6</v>
      </c>
      <c r="Q467" t="s">
        <v>22</v>
      </c>
      <c r="R467" t="s">
        <v>23</v>
      </c>
    </row>
    <row r="468" spans="1:18" x14ac:dyDescent="0.3">
      <c r="A468" t="s">
        <v>55</v>
      </c>
      <c r="B468" t="s">
        <v>75</v>
      </c>
      <c r="C468">
        <v>155</v>
      </c>
      <c r="D468" t="s">
        <v>20</v>
      </c>
      <c r="E468">
        <v>2025</v>
      </c>
      <c r="F468" t="s">
        <v>35</v>
      </c>
      <c r="G468">
        <v>130</v>
      </c>
      <c r="H468">
        <v>42.5</v>
      </c>
      <c r="I468">
        <v>11.7</v>
      </c>
      <c r="J468">
        <v>122656</v>
      </c>
      <c r="K468">
        <v>28</v>
      </c>
      <c r="L468">
        <v>34344</v>
      </c>
      <c r="M468">
        <v>157000</v>
      </c>
      <c r="N468">
        <v>181448</v>
      </c>
      <c r="O468">
        <v>63</v>
      </c>
      <c r="P468">
        <v>6.8</v>
      </c>
      <c r="Q468" t="s">
        <v>37</v>
      </c>
      <c r="R468" t="s">
        <v>38</v>
      </c>
    </row>
    <row r="469" spans="1:18" x14ac:dyDescent="0.3">
      <c r="A469" t="s">
        <v>32</v>
      </c>
      <c r="B469" t="s">
        <v>88</v>
      </c>
      <c r="C469">
        <v>349</v>
      </c>
      <c r="D469" t="s">
        <v>34</v>
      </c>
      <c r="E469">
        <v>2023</v>
      </c>
      <c r="F469" t="s">
        <v>35</v>
      </c>
      <c r="G469">
        <v>148</v>
      </c>
      <c r="H469">
        <v>35.299999999999997</v>
      </c>
      <c r="I469">
        <v>19.7</v>
      </c>
      <c r="J469">
        <v>154688</v>
      </c>
      <c r="K469">
        <v>28</v>
      </c>
      <c r="L469">
        <v>43312</v>
      </c>
      <c r="M469">
        <v>198000</v>
      </c>
      <c r="N469">
        <v>229340</v>
      </c>
      <c r="O469">
        <v>77</v>
      </c>
      <c r="P469">
        <v>14.5</v>
      </c>
      <c r="Q469" t="s">
        <v>37</v>
      </c>
      <c r="R469" t="s">
        <v>38</v>
      </c>
    </row>
    <row r="470" spans="1:18" x14ac:dyDescent="0.3">
      <c r="A470" t="s">
        <v>28</v>
      </c>
      <c r="B470" t="s">
        <v>29</v>
      </c>
      <c r="C470">
        <v>97</v>
      </c>
      <c r="D470" t="s">
        <v>30</v>
      </c>
      <c r="E470">
        <v>2021</v>
      </c>
      <c r="F470" t="s">
        <v>31</v>
      </c>
      <c r="G470">
        <v>94</v>
      </c>
      <c r="H470">
        <v>63.9</v>
      </c>
      <c r="I470">
        <v>8.4</v>
      </c>
      <c r="J470">
        <v>60156</v>
      </c>
      <c r="K470">
        <v>28</v>
      </c>
      <c r="L470">
        <v>16844</v>
      </c>
      <c r="M470">
        <v>77000</v>
      </c>
      <c r="N470">
        <v>93535</v>
      </c>
      <c r="O470">
        <v>56</v>
      </c>
      <c r="P470">
        <v>5.2</v>
      </c>
      <c r="Q470" t="s">
        <v>37</v>
      </c>
      <c r="R470" t="s">
        <v>38</v>
      </c>
    </row>
    <row r="471" spans="1:18" x14ac:dyDescent="0.3">
      <c r="A471" t="s">
        <v>32</v>
      </c>
      <c r="B471" t="s">
        <v>66</v>
      </c>
      <c r="C471">
        <v>349</v>
      </c>
      <c r="D471" t="s">
        <v>34</v>
      </c>
      <c r="E471">
        <v>2024</v>
      </c>
      <c r="F471" t="s">
        <v>35</v>
      </c>
      <c r="G471">
        <v>156</v>
      </c>
      <c r="H471">
        <v>35.200000000000003</v>
      </c>
      <c r="I471">
        <v>14.1</v>
      </c>
      <c r="J471">
        <v>151562</v>
      </c>
      <c r="K471">
        <v>28</v>
      </c>
      <c r="L471">
        <v>42438</v>
      </c>
      <c r="M471">
        <v>194000</v>
      </c>
      <c r="N471">
        <v>227524</v>
      </c>
      <c r="O471">
        <v>80</v>
      </c>
      <c r="P471">
        <v>9</v>
      </c>
      <c r="Q471" t="s">
        <v>22</v>
      </c>
      <c r="R471" t="s">
        <v>23</v>
      </c>
    </row>
    <row r="472" spans="1:18" x14ac:dyDescent="0.3">
      <c r="A472" t="s">
        <v>28</v>
      </c>
      <c r="B472" t="s">
        <v>41</v>
      </c>
      <c r="C472">
        <v>125</v>
      </c>
      <c r="D472" t="s">
        <v>30</v>
      </c>
      <c r="E472">
        <v>2023</v>
      </c>
      <c r="F472" t="s">
        <v>35</v>
      </c>
      <c r="G472">
        <v>113</v>
      </c>
      <c r="H472">
        <v>51.7</v>
      </c>
      <c r="I472">
        <v>12.3</v>
      </c>
      <c r="J472">
        <v>69531</v>
      </c>
      <c r="K472">
        <v>28</v>
      </c>
      <c r="L472">
        <v>19469</v>
      </c>
      <c r="M472">
        <v>89000</v>
      </c>
      <c r="N472">
        <v>104201</v>
      </c>
      <c r="O472">
        <v>62</v>
      </c>
      <c r="P472">
        <v>2.2999999999999998</v>
      </c>
      <c r="Q472" t="s">
        <v>26</v>
      </c>
      <c r="R472" t="s">
        <v>27</v>
      </c>
    </row>
    <row r="473" spans="1:18" x14ac:dyDescent="0.3">
      <c r="A473" t="s">
        <v>24</v>
      </c>
      <c r="B473" t="s">
        <v>25</v>
      </c>
      <c r="C473">
        <v>249</v>
      </c>
      <c r="D473" t="s">
        <v>20</v>
      </c>
      <c r="E473">
        <v>2020</v>
      </c>
      <c r="F473" t="s">
        <v>21</v>
      </c>
      <c r="G473">
        <v>162</v>
      </c>
      <c r="H473">
        <v>31.9</v>
      </c>
      <c r="I473">
        <v>17.2</v>
      </c>
      <c r="J473">
        <v>133594</v>
      </c>
      <c r="K473">
        <v>28</v>
      </c>
      <c r="L473">
        <v>37406</v>
      </c>
      <c r="M473">
        <v>171000</v>
      </c>
      <c r="N473">
        <v>200179</v>
      </c>
      <c r="O473">
        <v>74</v>
      </c>
      <c r="P473">
        <v>12.5</v>
      </c>
      <c r="Q473" t="s">
        <v>37</v>
      </c>
      <c r="R473" t="s">
        <v>38</v>
      </c>
    </row>
    <row r="474" spans="1:18" x14ac:dyDescent="0.3">
      <c r="A474" t="s">
        <v>39</v>
      </c>
      <c r="B474" t="s">
        <v>47</v>
      </c>
      <c r="C474">
        <v>312</v>
      </c>
      <c r="D474" t="s">
        <v>34</v>
      </c>
      <c r="E474">
        <v>2023</v>
      </c>
      <c r="F474" t="s">
        <v>21</v>
      </c>
      <c r="G474">
        <v>150</v>
      </c>
      <c r="H474">
        <v>35.200000000000003</v>
      </c>
      <c r="I474">
        <v>15.9</v>
      </c>
      <c r="J474">
        <v>202344</v>
      </c>
      <c r="K474">
        <v>28</v>
      </c>
      <c r="L474">
        <v>56656</v>
      </c>
      <c r="M474">
        <v>259000</v>
      </c>
      <c r="N474">
        <v>300070</v>
      </c>
      <c r="O474">
        <v>80</v>
      </c>
      <c r="P474">
        <v>13.3</v>
      </c>
      <c r="Q474" t="s">
        <v>37</v>
      </c>
      <c r="R474" t="s">
        <v>38</v>
      </c>
    </row>
    <row r="475" spans="1:18" x14ac:dyDescent="0.3">
      <c r="A475" t="s">
        <v>18</v>
      </c>
      <c r="B475" t="s">
        <v>78</v>
      </c>
      <c r="C475">
        <v>184</v>
      </c>
      <c r="D475" t="s">
        <v>20</v>
      </c>
      <c r="E475">
        <v>2022</v>
      </c>
      <c r="F475" t="s">
        <v>21</v>
      </c>
      <c r="G475">
        <v>140</v>
      </c>
      <c r="H475">
        <v>46.3</v>
      </c>
      <c r="I475">
        <v>12.1</v>
      </c>
      <c r="J475">
        <v>124219</v>
      </c>
      <c r="K475">
        <v>28</v>
      </c>
      <c r="L475">
        <v>34781</v>
      </c>
      <c r="M475">
        <v>159000</v>
      </c>
      <c r="N475">
        <v>184475</v>
      </c>
      <c r="O475">
        <v>85</v>
      </c>
      <c r="P475">
        <v>6.4</v>
      </c>
      <c r="Q475" t="s">
        <v>22</v>
      </c>
      <c r="R475" t="s">
        <v>23</v>
      </c>
    </row>
    <row r="476" spans="1:18" x14ac:dyDescent="0.3">
      <c r="A476" t="s">
        <v>32</v>
      </c>
      <c r="B476" t="s">
        <v>66</v>
      </c>
      <c r="C476">
        <v>349</v>
      </c>
      <c r="D476" t="s">
        <v>34</v>
      </c>
      <c r="E476">
        <v>2024</v>
      </c>
      <c r="F476" t="s">
        <v>35</v>
      </c>
      <c r="G476">
        <v>161</v>
      </c>
      <c r="H476">
        <v>29.3</v>
      </c>
      <c r="I476">
        <v>17</v>
      </c>
      <c r="J476">
        <v>164844</v>
      </c>
      <c r="K476">
        <v>28</v>
      </c>
      <c r="L476">
        <v>46156</v>
      </c>
      <c r="M476">
        <v>211000</v>
      </c>
      <c r="N476">
        <v>240497</v>
      </c>
      <c r="O476">
        <v>72</v>
      </c>
      <c r="P476">
        <v>14.6</v>
      </c>
      <c r="Q476" t="s">
        <v>37</v>
      </c>
      <c r="R476" t="s">
        <v>38</v>
      </c>
    </row>
    <row r="477" spans="1:18" x14ac:dyDescent="0.3">
      <c r="A477" t="s">
        <v>18</v>
      </c>
      <c r="B477" t="s">
        <v>103</v>
      </c>
      <c r="C477">
        <v>124</v>
      </c>
      <c r="D477" t="s">
        <v>30</v>
      </c>
      <c r="E477">
        <v>2024</v>
      </c>
      <c r="F477" t="s">
        <v>35</v>
      </c>
      <c r="G477">
        <v>120</v>
      </c>
      <c r="H477">
        <v>52.8</v>
      </c>
      <c r="I477">
        <v>11.6</v>
      </c>
      <c r="J477">
        <v>67188</v>
      </c>
      <c r="K477">
        <v>28</v>
      </c>
      <c r="L477">
        <v>18812</v>
      </c>
      <c r="M477">
        <v>86000</v>
      </c>
      <c r="N477">
        <v>99676</v>
      </c>
      <c r="O477">
        <v>68</v>
      </c>
      <c r="P477">
        <v>11.4</v>
      </c>
      <c r="Q477" t="s">
        <v>37</v>
      </c>
      <c r="R477" t="s">
        <v>38</v>
      </c>
    </row>
    <row r="478" spans="1:18" x14ac:dyDescent="0.3">
      <c r="A478" t="s">
        <v>18</v>
      </c>
      <c r="B478" t="s">
        <v>68</v>
      </c>
      <c r="C478">
        <v>109</v>
      </c>
      <c r="D478" t="s">
        <v>30</v>
      </c>
      <c r="E478">
        <v>2024</v>
      </c>
      <c r="F478" t="s">
        <v>31</v>
      </c>
      <c r="G478">
        <v>91</v>
      </c>
      <c r="H478">
        <v>69.7</v>
      </c>
      <c r="I478">
        <v>8.4</v>
      </c>
      <c r="J478">
        <v>60156</v>
      </c>
      <c r="K478">
        <v>28</v>
      </c>
      <c r="L478">
        <v>16844</v>
      </c>
      <c r="M478">
        <v>77000</v>
      </c>
      <c r="N478">
        <v>90435</v>
      </c>
      <c r="O478">
        <v>64</v>
      </c>
      <c r="P478">
        <v>6.5</v>
      </c>
      <c r="Q478" t="s">
        <v>37</v>
      </c>
      <c r="R478" t="s">
        <v>38</v>
      </c>
    </row>
    <row r="479" spans="1:18" x14ac:dyDescent="0.3">
      <c r="A479" t="s">
        <v>55</v>
      </c>
      <c r="B479" t="s">
        <v>89</v>
      </c>
      <c r="C479">
        <v>155</v>
      </c>
      <c r="D479" t="s">
        <v>20</v>
      </c>
      <c r="E479">
        <v>2023</v>
      </c>
      <c r="F479" t="s">
        <v>35</v>
      </c>
      <c r="G479">
        <v>138</v>
      </c>
      <c r="H479">
        <v>43.9</v>
      </c>
      <c r="I479">
        <v>11.7</v>
      </c>
      <c r="J479">
        <v>101562</v>
      </c>
      <c r="K479">
        <v>28</v>
      </c>
      <c r="L479">
        <v>28438</v>
      </c>
      <c r="M479">
        <v>130000</v>
      </c>
      <c r="N479">
        <v>150016</v>
      </c>
      <c r="O479">
        <v>59</v>
      </c>
      <c r="P479">
        <v>2.6</v>
      </c>
      <c r="Q479" t="s">
        <v>26</v>
      </c>
      <c r="R479" t="s">
        <v>27</v>
      </c>
    </row>
    <row r="480" spans="1:18" x14ac:dyDescent="0.3">
      <c r="A480" t="s">
        <v>32</v>
      </c>
      <c r="B480" t="s">
        <v>33</v>
      </c>
      <c r="C480">
        <v>346</v>
      </c>
      <c r="D480" t="s">
        <v>34</v>
      </c>
      <c r="E480">
        <v>2023</v>
      </c>
      <c r="F480" t="s">
        <v>35</v>
      </c>
      <c r="G480">
        <v>151</v>
      </c>
      <c r="H480">
        <v>29.5</v>
      </c>
      <c r="I480">
        <v>17.399999999999999</v>
      </c>
      <c r="J480">
        <v>137500</v>
      </c>
      <c r="K480">
        <v>28</v>
      </c>
      <c r="L480">
        <v>38500</v>
      </c>
      <c r="M480">
        <v>176000</v>
      </c>
      <c r="N480">
        <v>203340</v>
      </c>
      <c r="O480">
        <v>75</v>
      </c>
      <c r="P480">
        <v>12.5</v>
      </c>
      <c r="Q480" t="s">
        <v>37</v>
      </c>
      <c r="R480" t="s">
        <v>38</v>
      </c>
    </row>
    <row r="481" spans="1:18" x14ac:dyDescent="0.3">
      <c r="A481" t="s">
        <v>50</v>
      </c>
      <c r="B481" t="s">
        <v>104</v>
      </c>
      <c r="C481">
        <v>373</v>
      </c>
      <c r="D481" t="s">
        <v>34</v>
      </c>
      <c r="E481">
        <v>2020</v>
      </c>
      <c r="F481" t="s">
        <v>21</v>
      </c>
      <c r="G481">
        <v>206</v>
      </c>
      <c r="H481">
        <v>20.2</v>
      </c>
      <c r="I481">
        <v>14.7</v>
      </c>
      <c r="J481">
        <v>254962</v>
      </c>
      <c r="K481">
        <v>31</v>
      </c>
      <c r="L481">
        <v>79038</v>
      </c>
      <c r="M481">
        <v>334000</v>
      </c>
      <c r="N481">
        <v>386536</v>
      </c>
      <c r="O481">
        <v>72</v>
      </c>
      <c r="P481">
        <v>2.6</v>
      </c>
      <c r="Q481" t="s">
        <v>26</v>
      </c>
      <c r="R481" t="s">
        <v>27</v>
      </c>
    </row>
    <row r="482" spans="1:18" x14ac:dyDescent="0.3">
      <c r="A482" t="s">
        <v>18</v>
      </c>
      <c r="B482" t="s">
        <v>62</v>
      </c>
      <c r="C482">
        <v>348</v>
      </c>
      <c r="D482" t="s">
        <v>34</v>
      </c>
      <c r="E482">
        <v>2022</v>
      </c>
      <c r="F482" t="s">
        <v>21</v>
      </c>
      <c r="G482">
        <v>149</v>
      </c>
      <c r="H482">
        <v>34.299999999999997</v>
      </c>
      <c r="I482">
        <v>14.5</v>
      </c>
      <c r="J482">
        <v>182031</v>
      </c>
      <c r="K482">
        <v>28</v>
      </c>
      <c r="L482">
        <v>50969</v>
      </c>
      <c r="M482">
        <v>233000</v>
      </c>
      <c r="N482">
        <v>271179</v>
      </c>
      <c r="O482">
        <v>79</v>
      </c>
      <c r="P482">
        <v>7.6</v>
      </c>
      <c r="Q482" t="s">
        <v>22</v>
      </c>
      <c r="R482" t="s">
        <v>23</v>
      </c>
    </row>
    <row r="483" spans="1:18" x14ac:dyDescent="0.3">
      <c r="A483" t="s">
        <v>55</v>
      </c>
      <c r="B483" t="s">
        <v>75</v>
      </c>
      <c r="C483">
        <v>155</v>
      </c>
      <c r="D483" t="s">
        <v>20</v>
      </c>
      <c r="E483">
        <v>2024</v>
      </c>
      <c r="F483" t="s">
        <v>35</v>
      </c>
      <c r="G483">
        <v>124</v>
      </c>
      <c r="H483">
        <v>41.8</v>
      </c>
      <c r="I483">
        <v>13.6</v>
      </c>
      <c r="J483">
        <v>107812</v>
      </c>
      <c r="K483">
        <v>28</v>
      </c>
      <c r="L483">
        <v>30188</v>
      </c>
      <c r="M483">
        <v>138000</v>
      </c>
      <c r="N483">
        <v>162514</v>
      </c>
      <c r="O483">
        <v>68</v>
      </c>
      <c r="P483">
        <v>1.3</v>
      </c>
      <c r="Q483" t="s">
        <v>57</v>
      </c>
      <c r="R483" t="s">
        <v>58</v>
      </c>
    </row>
    <row r="484" spans="1:18" x14ac:dyDescent="0.3">
      <c r="A484" t="s">
        <v>55</v>
      </c>
      <c r="B484" t="s">
        <v>89</v>
      </c>
      <c r="C484">
        <v>155</v>
      </c>
      <c r="D484" t="s">
        <v>20</v>
      </c>
      <c r="E484">
        <v>2020</v>
      </c>
      <c r="F484" t="s">
        <v>35</v>
      </c>
      <c r="G484">
        <v>121</v>
      </c>
      <c r="H484">
        <v>43.2</v>
      </c>
      <c r="I484">
        <v>10.3</v>
      </c>
      <c r="J484">
        <v>97656</v>
      </c>
      <c r="K484">
        <v>28</v>
      </c>
      <c r="L484">
        <v>27344</v>
      </c>
      <c r="M484">
        <v>125000</v>
      </c>
      <c r="N484">
        <v>145164</v>
      </c>
      <c r="O484">
        <v>65</v>
      </c>
      <c r="P484">
        <v>10.199999999999999</v>
      </c>
      <c r="Q484" t="s">
        <v>37</v>
      </c>
      <c r="R484" t="s">
        <v>38</v>
      </c>
    </row>
    <row r="485" spans="1:18" x14ac:dyDescent="0.3">
      <c r="A485" t="s">
        <v>39</v>
      </c>
      <c r="B485" t="s">
        <v>83</v>
      </c>
      <c r="C485">
        <v>124</v>
      </c>
      <c r="D485" t="s">
        <v>30</v>
      </c>
      <c r="E485">
        <v>2024</v>
      </c>
      <c r="F485" t="s">
        <v>21</v>
      </c>
      <c r="G485">
        <v>117</v>
      </c>
      <c r="H485">
        <v>48.7</v>
      </c>
      <c r="I485">
        <v>13.9</v>
      </c>
      <c r="J485">
        <v>75781</v>
      </c>
      <c r="K485">
        <v>28</v>
      </c>
      <c r="L485">
        <v>21219</v>
      </c>
      <c r="M485">
        <v>97000</v>
      </c>
      <c r="N485">
        <v>114352</v>
      </c>
      <c r="O485">
        <v>66</v>
      </c>
      <c r="P485">
        <v>14.7</v>
      </c>
      <c r="Q485" t="s">
        <v>37</v>
      </c>
      <c r="R485" t="s">
        <v>38</v>
      </c>
    </row>
    <row r="486" spans="1:18" x14ac:dyDescent="0.3">
      <c r="A486" t="s">
        <v>18</v>
      </c>
      <c r="B486" t="s">
        <v>61</v>
      </c>
      <c r="C486">
        <v>124</v>
      </c>
      <c r="D486" t="s">
        <v>30</v>
      </c>
      <c r="E486">
        <v>2020</v>
      </c>
      <c r="F486" t="s">
        <v>21</v>
      </c>
      <c r="G486">
        <v>119</v>
      </c>
      <c r="H486">
        <v>50.9</v>
      </c>
      <c r="I486">
        <v>10.199999999999999</v>
      </c>
      <c r="J486">
        <v>81250</v>
      </c>
      <c r="K486">
        <v>28</v>
      </c>
      <c r="L486">
        <v>22750</v>
      </c>
      <c r="M486">
        <v>104000</v>
      </c>
      <c r="N486">
        <v>121058</v>
      </c>
      <c r="O486">
        <v>74</v>
      </c>
      <c r="P486">
        <v>14</v>
      </c>
      <c r="Q486" t="s">
        <v>37</v>
      </c>
      <c r="R486" t="s">
        <v>38</v>
      </c>
    </row>
    <row r="487" spans="1:18" x14ac:dyDescent="0.3">
      <c r="A487" t="s">
        <v>55</v>
      </c>
      <c r="B487" t="s">
        <v>89</v>
      </c>
      <c r="C487">
        <v>155</v>
      </c>
      <c r="D487" t="s">
        <v>20</v>
      </c>
      <c r="E487">
        <v>2021</v>
      </c>
      <c r="F487" t="s">
        <v>35</v>
      </c>
      <c r="G487">
        <v>131</v>
      </c>
      <c r="H487">
        <v>40.5</v>
      </c>
      <c r="I487">
        <v>14</v>
      </c>
      <c r="J487">
        <v>102344</v>
      </c>
      <c r="K487">
        <v>28</v>
      </c>
      <c r="L487">
        <v>28656</v>
      </c>
      <c r="M487">
        <v>131000</v>
      </c>
      <c r="N487">
        <v>152003</v>
      </c>
      <c r="O487">
        <v>63</v>
      </c>
      <c r="P487">
        <v>9.8000000000000007</v>
      </c>
      <c r="Q487" t="s">
        <v>37</v>
      </c>
      <c r="R487" t="s">
        <v>38</v>
      </c>
    </row>
    <row r="488" spans="1:18" x14ac:dyDescent="0.3">
      <c r="A488" t="s">
        <v>42</v>
      </c>
      <c r="B488" t="s">
        <v>110</v>
      </c>
      <c r="C488">
        <v>321</v>
      </c>
      <c r="D488" t="s">
        <v>34</v>
      </c>
      <c r="E488">
        <v>2021</v>
      </c>
      <c r="F488" t="s">
        <v>21</v>
      </c>
      <c r="G488">
        <v>140</v>
      </c>
      <c r="H488">
        <v>35</v>
      </c>
      <c r="I488">
        <v>14.1</v>
      </c>
      <c r="J488">
        <v>339062</v>
      </c>
      <c r="K488">
        <v>28</v>
      </c>
      <c r="L488">
        <v>94938</v>
      </c>
      <c r="M488">
        <v>434000</v>
      </c>
      <c r="N488">
        <v>488638</v>
      </c>
      <c r="O488">
        <v>84</v>
      </c>
      <c r="P488">
        <v>14.3</v>
      </c>
      <c r="Q488" t="s">
        <v>37</v>
      </c>
      <c r="R488" t="s">
        <v>38</v>
      </c>
    </row>
    <row r="489" spans="1:18" x14ac:dyDescent="0.3">
      <c r="A489" t="s">
        <v>50</v>
      </c>
      <c r="B489" t="s">
        <v>94</v>
      </c>
      <c r="C489">
        <v>124</v>
      </c>
      <c r="D489" t="s">
        <v>20</v>
      </c>
      <c r="E489">
        <v>2021</v>
      </c>
      <c r="F489" t="s">
        <v>21</v>
      </c>
      <c r="G489">
        <v>112</v>
      </c>
      <c r="H489">
        <v>56.5</v>
      </c>
      <c r="I489">
        <v>11.7</v>
      </c>
      <c r="J489">
        <v>139844</v>
      </c>
      <c r="K489">
        <v>28</v>
      </c>
      <c r="L489">
        <v>39156</v>
      </c>
      <c r="M489">
        <v>179000</v>
      </c>
      <c r="N489">
        <v>205464</v>
      </c>
      <c r="O489">
        <v>76</v>
      </c>
      <c r="P489">
        <v>4.4000000000000004</v>
      </c>
      <c r="Q489" t="s">
        <v>26</v>
      </c>
      <c r="R489" t="s">
        <v>27</v>
      </c>
    </row>
    <row r="490" spans="1:18" x14ac:dyDescent="0.3">
      <c r="A490" t="s">
        <v>39</v>
      </c>
      <c r="B490" t="s">
        <v>93</v>
      </c>
      <c r="C490">
        <v>225</v>
      </c>
      <c r="D490" t="s">
        <v>20</v>
      </c>
      <c r="E490">
        <v>2021</v>
      </c>
      <c r="F490" t="s">
        <v>21</v>
      </c>
      <c r="G490">
        <v>158</v>
      </c>
      <c r="H490">
        <v>33.200000000000003</v>
      </c>
      <c r="I490">
        <v>19</v>
      </c>
      <c r="J490">
        <v>137500</v>
      </c>
      <c r="K490">
        <v>28</v>
      </c>
      <c r="L490">
        <v>38500</v>
      </c>
      <c r="M490">
        <v>176000</v>
      </c>
      <c r="N490">
        <v>202433</v>
      </c>
      <c r="O490">
        <v>72</v>
      </c>
      <c r="P490">
        <v>10.6</v>
      </c>
      <c r="Q490" t="s">
        <v>37</v>
      </c>
      <c r="R490" t="s">
        <v>38</v>
      </c>
    </row>
    <row r="491" spans="1:18" x14ac:dyDescent="0.3">
      <c r="A491" t="s">
        <v>39</v>
      </c>
      <c r="B491" t="s">
        <v>93</v>
      </c>
      <c r="C491">
        <v>225</v>
      </c>
      <c r="D491" t="s">
        <v>20</v>
      </c>
      <c r="E491">
        <v>2024</v>
      </c>
      <c r="F491" t="s">
        <v>21</v>
      </c>
      <c r="G491">
        <v>164</v>
      </c>
      <c r="H491">
        <v>35.799999999999997</v>
      </c>
      <c r="I491">
        <v>19.399999999999999</v>
      </c>
      <c r="J491">
        <v>132812</v>
      </c>
      <c r="K491">
        <v>28</v>
      </c>
      <c r="L491">
        <v>37188</v>
      </c>
      <c r="M491">
        <v>170000</v>
      </c>
      <c r="N491">
        <v>201664</v>
      </c>
      <c r="O491">
        <v>72</v>
      </c>
      <c r="P491">
        <v>10.199999999999999</v>
      </c>
      <c r="Q491" t="s">
        <v>37</v>
      </c>
      <c r="R491" t="s">
        <v>38</v>
      </c>
    </row>
    <row r="492" spans="1:18" x14ac:dyDescent="0.3">
      <c r="A492" t="s">
        <v>32</v>
      </c>
      <c r="B492" t="s">
        <v>66</v>
      </c>
      <c r="C492">
        <v>349</v>
      </c>
      <c r="D492" t="s">
        <v>34</v>
      </c>
      <c r="E492">
        <v>2023</v>
      </c>
      <c r="F492" t="s">
        <v>35</v>
      </c>
      <c r="G492">
        <v>144</v>
      </c>
      <c r="H492">
        <v>30.6</v>
      </c>
      <c r="I492">
        <v>19.7</v>
      </c>
      <c r="J492">
        <v>152344</v>
      </c>
      <c r="K492">
        <v>28</v>
      </c>
      <c r="L492">
        <v>42656</v>
      </c>
      <c r="M492">
        <v>195000</v>
      </c>
      <c r="N492">
        <v>226167</v>
      </c>
      <c r="O492">
        <v>66</v>
      </c>
      <c r="P492">
        <v>11.7</v>
      </c>
      <c r="Q492" t="s">
        <v>37</v>
      </c>
      <c r="R492" t="s">
        <v>38</v>
      </c>
    </row>
    <row r="493" spans="1:18" x14ac:dyDescent="0.3">
      <c r="A493" t="s">
        <v>39</v>
      </c>
      <c r="B493" t="s">
        <v>47</v>
      </c>
      <c r="C493">
        <v>312</v>
      </c>
      <c r="D493" t="s">
        <v>34</v>
      </c>
      <c r="E493">
        <v>2020</v>
      </c>
      <c r="F493" t="s">
        <v>21</v>
      </c>
      <c r="G493">
        <v>146</v>
      </c>
      <c r="H493">
        <v>29.3</v>
      </c>
      <c r="I493">
        <v>18.3</v>
      </c>
      <c r="J493">
        <v>216406</v>
      </c>
      <c r="K493">
        <v>28</v>
      </c>
      <c r="L493">
        <v>60594</v>
      </c>
      <c r="M493">
        <v>277000</v>
      </c>
      <c r="N493">
        <v>325891</v>
      </c>
      <c r="O493">
        <v>70</v>
      </c>
      <c r="P493">
        <v>2.8</v>
      </c>
      <c r="Q493" t="s">
        <v>26</v>
      </c>
      <c r="R493" t="s">
        <v>27</v>
      </c>
    </row>
    <row r="494" spans="1:18" x14ac:dyDescent="0.3">
      <c r="A494" t="s">
        <v>39</v>
      </c>
      <c r="B494" t="s">
        <v>83</v>
      </c>
      <c r="C494">
        <v>124</v>
      </c>
      <c r="D494" t="s">
        <v>30</v>
      </c>
      <c r="E494">
        <v>2023</v>
      </c>
      <c r="F494" t="s">
        <v>21</v>
      </c>
      <c r="G494">
        <v>116</v>
      </c>
      <c r="H494">
        <v>57.5</v>
      </c>
      <c r="I494">
        <v>10.5</v>
      </c>
      <c r="J494">
        <v>75781</v>
      </c>
      <c r="K494">
        <v>28</v>
      </c>
      <c r="L494">
        <v>21219</v>
      </c>
      <c r="M494">
        <v>97000</v>
      </c>
      <c r="N494">
        <v>114148</v>
      </c>
      <c r="O494">
        <v>64</v>
      </c>
      <c r="P494">
        <v>10.6</v>
      </c>
      <c r="Q494" t="s">
        <v>37</v>
      </c>
      <c r="R494" t="s">
        <v>38</v>
      </c>
    </row>
    <row r="495" spans="1:18" x14ac:dyDescent="0.3">
      <c r="A495" t="s">
        <v>42</v>
      </c>
      <c r="B495" t="s">
        <v>70</v>
      </c>
      <c r="C495">
        <v>249</v>
      </c>
      <c r="D495" t="s">
        <v>20</v>
      </c>
      <c r="E495">
        <v>2023</v>
      </c>
      <c r="F495" t="s">
        <v>21</v>
      </c>
      <c r="G495">
        <v>145</v>
      </c>
      <c r="H495">
        <v>31.8</v>
      </c>
      <c r="I495">
        <v>18.399999999999999</v>
      </c>
      <c r="J495">
        <v>133594</v>
      </c>
      <c r="K495">
        <v>28</v>
      </c>
      <c r="L495">
        <v>37406</v>
      </c>
      <c r="M495">
        <v>171000</v>
      </c>
      <c r="N495">
        <v>199294</v>
      </c>
      <c r="O495">
        <v>68</v>
      </c>
      <c r="P495">
        <v>4.2</v>
      </c>
      <c r="Q495" t="s">
        <v>26</v>
      </c>
      <c r="R495" t="s">
        <v>27</v>
      </c>
    </row>
    <row r="496" spans="1:18" x14ac:dyDescent="0.3">
      <c r="A496" t="s">
        <v>28</v>
      </c>
      <c r="B496" t="s">
        <v>91</v>
      </c>
      <c r="C496">
        <v>97</v>
      </c>
      <c r="D496" t="s">
        <v>30</v>
      </c>
      <c r="E496">
        <v>2023</v>
      </c>
      <c r="F496" t="s">
        <v>31</v>
      </c>
      <c r="G496">
        <v>91</v>
      </c>
      <c r="H496">
        <v>78.2</v>
      </c>
      <c r="I496">
        <v>9.6999999999999993</v>
      </c>
      <c r="J496">
        <v>58594</v>
      </c>
      <c r="K496">
        <v>28</v>
      </c>
      <c r="L496">
        <v>16406</v>
      </c>
      <c r="M496">
        <v>75000</v>
      </c>
      <c r="N496">
        <v>91183</v>
      </c>
      <c r="O496">
        <v>57</v>
      </c>
      <c r="P496">
        <v>3.5</v>
      </c>
      <c r="Q496" t="s">
        <v>26</v>
      </c>
      <c r="R496" t="s">
        <v>27</v>
      </c>
    </row>
    <row r="497" spans="1:18" x14ac:dyDescent="0.3">
      <c r="A497" t="s">
        <v>42</v>
      </c>
      <c r="B497" t="s">
        <v>54</v>
      </c>
      <c r="C497">
        <v>155</v>
      </c>
      <c r="D497" t="s">
        <v>20</v>
      </c>
      <c r="E497">
        <v>2023</v>
      </c>
      <c r="F497" t="s">
        <v>21</v>
      </c>
      <c r="G497">
        <v>121</v>
      </c>
      <c r="H497">
        <v>41</v>
      </c>
      <c r="I497">
        <v>12.9</v>
      </c>
      <c r="J497">
        <v>144531</v>
      </c>
      <c r="K497">
        <v>28</v>
      </c>
      <c r="L497">
        <v>40469</v>
      </c>
      <c r="M497">
        <v>185000</v>
      </c>
      <c r="N497">
        <v>218799</v>
      </c>
      <c r="O497">
        <v>76</v>
      </c>
      <c r="P497">
        <v>11.3</v>
      </c>
      <c r="Q497" t="s">
        <v>37</v>
      </c>
      <c r="R497" t="s">
        <v>38</v>
      </c>
    </row>
    <row r="498" spans="1:18" x14ac:dyDescent="0.3">
      <c r="A498" t="s">
        <v>50</v>
      </c>
      <c r="B498" t="s">
        <v>94</v>
      </c>
      <c r="C498">
        <v>124</v>
      </c>
      <c r="D498" t="s">
        <v>20</v>
      </c>
      <c r="E498">
        <v>2023</v>
      </c>
      <c r="F498" t="s">
        <v>21</v>
      </c>
      <c r="G498">
        <v>106</v>
      </c>
      <c r="H498">
        <v>56.9</v>
      </c>
      <c r="I498">
        <v>13.3</v>
      </c>
      <c r="J498">
        <v>139062</v>
      </c>
      <c r="K498">
        <v>28</v>
      </c>
      <c r="L498">
        <v>38938</v>
      </c>
      <c r="M498">
        <v>178000</v>
      </c>
      <c r="N498">
        <v>209131</v>
      </c>
      <c r="O498">
        <v>78</v>
      </c>
      <c r="P498">
        <v>2.5</v>
      </c>
      <c r="Q498" t="s">
        <v>26</v>
      </c>
      <c r="R498" t="s">
        <v>27</v>
      </c>
    </row>
    <row r="499" spans="1:18" x14ac:dyDescent="0.3">
      <c r="A499" t="s">
        <v>28</v>
      </c>
      <c r="B499" t="s">
        <v>69</v>
      </c>
      <c r="C499">
        <v>125</v>
      </c>
      <c r="D499" t="s">
        <v>30</v>
      </c>
      <c r="E499">
        <v>2023</v>
      </c>
      <c r="F499" t="s">
        <v>21</v>
      </c>
      <c r="G499">
        <v>106</v>
      </c>
      <c r="H499">
        <v>55.8</v>
      </c>
      <c r="I499">
        <v>13.5</v>
      </c>
      <c r="J499">
        <v>86719</v>
      </c>
      <c r="K499">
        <v>28</v>
      </c>
      <c r="L499">
        <v>24281</v>
      </c>
      <c r="M499">
        <v>111000</v>
      </c>
      <c r="N499">
        <v>127655</v>
      </c>
      <c r="O499">
        <v>68</v>
      </c>
      <c r="P499">
        <v>5.0999999999999996</v>
      </c>
      <c r="Q499" t="s">
        <v>22</v>
      </c>
      <c r="R499" t="s">
        <v>23</v>
      </c>
    </row>
    <row r="500" spans="1:18" x14ac:dyDescent="0.3">
      <c r="A500" t="s">
        <v>39</v>
      </c>
      <c r="B500" t="s">
        <v>71</v>
      </c>
      <c r="C500">
        <v>159</v>
      </c>
      <c r="D500" t="s">
        <v>20</v>
      </c>
      <c r="E500">
        <v>2023</v>
      </c>
      <c r="F500" t="s">
        <v>21</v>
      </c>
      <c r="G500">
        <v>124</v>
      </c>
      <c r="H500">
        <v>43.9</v>
      </c>
      <c r="I500">
        <v>10.4</v>
      </c>
      <c r="J500">
        <v>104688</v>
      </c>
      <c r="K500">
        <v>28</v>
      </c>
      <c r="L500">
        <v>29312</v>
      </c>
      <c r="M500">
        <v>134000</v>
      </c>
      <c r="N500">
        <v>154871</v>
      </c>
      <c r="O500">
        <v>73</v>
      </c>
      <c r="P500">
        <v>12.6</v>
      </c>
      <c r="Q500" t="s">
        <v>37</v>
      </c>
      <c r="R500" t="s">
        <v>38</v>
      </c>
    </row>
    <row r="501" spans="1:18" x14ac:dyDescent="0.3">
      <c r="A501" t="s">
        <v>42</v>
      </c>
      <c r="B501" t="s">
        <v>110</v>
      </c>
      <c r="C501">
        <v>321</v>
      </c>
      <c r="D501" t="s">
        <v>34</v>
      </c>
      <c r="E501">
        <v>2020</v>
      </c>
      <c r="F501" t="s">
        <v>21</v>
      </c>
      <c r="G501">
        <v>152</v>
      </c>
      <c r="H501">
        <v>32.4</v>
      </c>
      <c r="I501">
        <v>14.3</v>
      </c>
      <c r="J501">
        <v>329688</v>
      </c>
      <c r="K501">
        <v>28</v>
      </c>
      <c r="L501">
        <v>92312</v>
      </c>
      <c r="M501">
        <v>422000</v>
      </c>
      <c r="N501">
        <v>494331</v>
      </c>
      <c r="O501">
        <v>76</v>
      </c>
      <c r="P501">
        <v>5.5</v>
      </c>
      <c r="Q501" t="s">
        <v>22</v>
      </c>
      <c r="R501" t="s">
        <v>23</v>
      </c>
    </row>
    <row r="502" spans="1:18" x14ac:dyDescent="0.3">
      <c r="A502" t="s">
        <v>24</v>
      </c>
      <c r="B502" t="s">
        <v>77</v>
      </c>
      <c r="C502">
        <v>160</v>
      </c>
      <c r="D502" t="s">
        <v>20</v>
      </c>
      <c r="E502">
        <v>2025</v>
      </c>
      <c r="F502" t="s">
        <v>21</v>
      </c>
      <c r="G502">
        <v>125</v>
      </c>
      <c r="H502">
        <v>46.1</v>
      </c>
      <c r="I502">
        <v>11.8</v>
      </c>
      <c r="J502">
        <v>107812</v>
      </c>
      <c r="K502">
        <v>28</v>
      </c>
      <c r="L502">
        <v>30188</v>
      </c>
      <c r="M502">
        <v>138000</v>
      </c>
      <c r="N502">
        <v>159228</v>
      </c>
      <c r="O502">
        <v>74</v>
      </c>
      <c r="P502">
        <v>2.2999999999999998</v>
      </c>
      <c r="Q502" t="s">
        <v>26</v>
      </c>
      <c r="R502" t="s">
        <v>27</v>
      </c>
    </row>
    <row r="503" spans="1:18" x14ac:dyDescent="0.3">
      <c r="A503" t="s">
        <v>32</v>
      </c>
      <c r="B503" t="s">
        <v>36</v>
      </c>
      <c r="C503">
        <v>411</v>
      </c>
      <c r="D503" t="s">
        <v>34</v>
      </c>
      <c r="E503">
        <v>2020</v>
      </c>
      <c r="F503" t="s">
        <v>35</v>
      </c>
      <c r="G503">
        <v>170</v>
      </c>
      <c r="H503">
        <v>22.6</v>
      </c>
      <c r="I503">
        <v>18.399999999999999</v>
      </c>
      <c r="J503">
        <v>153435</v>
      </c>
      <c r="K503">
        <v>31</v>
      </c>
      <c r="L503">
        <v>47565</v>
      </c>
      <c r="M503">
        <v>201000</v>
      </c>
      <c r="N503">
        <v>235814</v>
      </c>
      <c r="O503">
        <v>76</v>
      </c>
      <c r="P503">
        <v>8.6999999999999993</v>
      </c>
      <c r="Q503" t="s">
        <v>22</v>
      </c>
      <c r="R503" t="s">
        <v>23</v>
      </c>
    </row>
    <row r="504" spans="1:18" x14ac:dyDescent="0.3">
      <c r="A504" t="s">
        <v>32</v>
      </c>
      <c r="B504" t="s">
        <v>85</v>
      </c>
      <c r="C504">
        <v>346</v>
      </c>
      <c r="D504" t="s">
        <v>34</v>
      </c>
      <c r="E504">
        <v>2022</v>
      </c>
      <c r="F504" t="s">
        <v>31</v>
      </c>
      <c r="G504">
        <v>162</v>
      </c>
      <c r="H504">
        <v>29.5</v>
      </c>
      <c r="I504">
        <v>18.100000000000001</v>
      </c>
      <c r="J504">
        <v>138281</v>
      </c>
      <c r="K504">
        <v>28</v>
      </c>
      <c r="L504">
        <v>38719</v>
      </c>
      <c r="M504">
        <v>177000</v>
      </c>
      <c r="N504">
        <v>204263</v>
      </c>
      <c r="O504">
        <v>59</v>
      </c>
      <c r="P504">
        <v>6.9</v>
      </c>
      <c r="Q504" t="s">
        <v>37</v>
      </c>
      <c r="R504" t="s">
        <v>38</v>
      </c>
    </row>
    <row r="505" spans="1:18" x14ac:dyDescent="0.3">
      <c r="A505" t="s">
        <v>42</v>
      </c>
      <c r="B505" t="s">
        <v>102</v>
      </c>
      <c r="C505">
        <v>113</v>
      </c>
      <c r="D505" t="s">
        <v>30</v>
      </c>
      <c r="E505">
        <v>2023</v>
      </c>
      <c r="F505" t="s">
        <v>31</v>
      </c>
      <c r="G505">
        <v>113</v>
      </c>
      <c r="H505">
        <v>48.4</v>
      </c>
      <c r="I505">
        <v>12.2</v>
      </c>
      <c r="J505">
        <v>56250</v>
      </c>
      <c r="K505">
        <v>28</v>
      </c>
      <c r="L505">
        <v>15750</v>
      </c>
      <c r="M505">
        <v>72000</v>
      </c>
      <c r="N505">
        <v>84564</v>
      </c>
      <c r="O505">
        <v>50</v>
      </c>
      <c r="P505">
        <v>7.4</v>
      </c>
      <c r="Q505" t="s">
        <v>37</v>
      </c>
      <c r="R505" t="s">
        <v>38</v>
      </c>
    </row>
    <row r="506" spans="1:18" x14ac:dyDescent="0.3">
      <c r="A506" t="s">
        <v>28</v>
      </c>
      <c r="B506" t="s">
        <v>29</v>
      </c>
      <c r="C506">
        <v>97</v>
      </c>
      <c r="D506" t="s">
        <v>30</v>
      </c>
      <c r="E506">
        <v>2024</v>
      </c>
      <c r="F506" t="s">
        <v>31</v>
      </c>
      <c r="G506">
        <v>98</v>
      </c>
      <c r="H506">
        <v>69.599999999999994</v>
      </c>
      <c r="I506">
        <v>8</v>
      </c>
      <c r="J506">
        <v>58594</v>
      </c>
      <c r="K506">
        <v>28</v>
      </c>
      <c r="L506">
        <v>16406</v>
      </c>
      <c r="M506">
        <v>75000</v>
      </c>
      <c r="N506">
        <v>89757</v>
      </c>
      <c r="O506">
        <v>63</v>
      </c>
      <c r="P506">
        <v>2.1</v>
      </c>
      <c r="Q506" t="s">
        <v>26</v>
      </c>
      <c r="R506" t="s">
        <v>27</v>
      </c>
    </row>
    <row r="507" spans="1:18" x14ac:dyDescent="0.3">
      <c r="A507" t="s">
        <v>55</v>
      </c>
      <c r="B507" t="s">
        <v>108</v>
      </c>
      <c r="C507">
        <v>249</v>
      </c>
      <c r="D507" t="s">
        <v>20</v>
      </c>
      <c r="E507">
        <v>2020</v>
      </c>
      <c r="F507" t="s">
        <v>21</v>
      </c>
      <c r="G507">
        <v>144</v>
      </c>
      <c r="H507">
        <v>28.5</v>
      </c>
      <c r="I507">
        <v>14</v>
      </c>
      <c r="J507">
        <v>146875</v>
      </c>
      <c r="K507">
        <v>28</v>
      </c>
      <c r="L507">
        <v>41125</v>
      </c>
      <c r="M507">
        <v>188000</v>
      </c>
      <c r="N507">
        <v>219341</v>
      </c>
      <c r="O507">
        <v>63</v>
      </c>
      <c r="P507">
        <v>10.1</v>
      </c>
      <c r="Q507" t="s">
        <v>37</v>
      </c>
      <c r="R507" t="s">
        <v>38</v>
      </c>
    </row>
    <row r="508" spans="1:18" x14ac:dyDescent="0.3">
      <c r="A508" t="s">
        <v>28</v>
      </c>
      <c r="B508" t="s">
        <v>41</v>
      </c>
      <c r="C508">
        <v>125</v>
      </c>
      <c r="D508" t="s">
        <v>30</v>
      </c>
      <c r="E508">
        <v>2022</v>
      </c>
      <c r="F508" t="s">
        <v>35</v>
      </c>
      <c r="G508">
        <v>118</v>
      </c>
      <c r="H508">
        <v>49</v>
      </c>
      <c r="I508">
        <v>12.4</v>
      </c>
      <c r="J508">
        <v>71875</v>
      </c>
      <c r="K508">
        <v>28</v>
      </c>
      <c r="L508">
        <v>20125</v>
      </c>
      <c r="M508">
        <v>92000</v>
      </c>
      <c r="N508">
        <v>108112</v>
      </c>
      <c r="O508">
        <v>60</v>
      </c>
      <c r="P508">
        <v>3.3</v>
      </c>
      <c r="Q508" t="s">
        <v>26</v>
      </c>
      <c r="R508" t="s">
        <v>27</v>
      </c>
    </row>
    <row r="509" spans="1:18" x14ac:dyDescent="0.3">
      <c r="A509" t="s">
        <v>55</v>
      </c>
      <c r="B509" t="s">
        <v>56</v>
      </c>
      <c r="C509">
        <v>249</v>
      </c>
      <c r="D509" t="s">
        <v>34</v>
      </c>
      <c r="E509">
        <v>2023</v>
      </c>
      <c r="F509" t="s">
        <v>21</v>
      </c>
      <c r="G509">
        <v>149</v>
      </c>
      <c r="H509">
        <v>28.9</v>
      </c>
      <c r="I509">
        <v>18.7</v>
      </c>
      <c r="J509">
        <v>163281</v>
      </c>
      <c r="K509">
        <v>28</v>
      </c>
      <c r="L509">
        <v>45719</v>
      </c>
      <c r="M509">
        <v>209000</v>
      </c>
      <c r="N509">
        <v>240363</v>
      </c>
      <c r="O509">
        <v>73</v>
      </c>
      <c r="P509">
        <v>6.2</v>
      </c>
      <c r="Q509" t="s">
        <v>22</v>
      </c>
      <c r="R509" t="s">
        <v>23</v>
      </c>
    </row>
    <row r="510" spans="1:18" x14ac:dyDescent="0.3">
      <c r="A510" t="s">
        <v>50</v>
      </c>
      <c r="B510" t="s">
        <v>81</v>
      </c>
      <c r="C510">
        <v>199</v>
      </c>
      <c r="D510" t="s">
        <v>20</v>
      </c>
      <c r="E510">
        <v>2024</v>
      </c>
      <c r="F510" t="s">
        <v>21</v>
      </c>
      <c r="G510">
        <v>128</v>
      </c>
      <c r="H510">
        <v>44</v>
      </c>
      <c r="I510">
        <v>10.8</v>
      </c>
      <c r="J510">
        <v>177344</v>
      </c>
      <c r="K510">
        <v>28</v>
      </c>
      <c r="L510">
        <v>49656</v>
      </c>
      <c r="M510">
        <v>227000</v>
      </c>
      <c r="N510">
        <v>257196</v>
      </c>
      <c r="O510">
        <v>73</v>
      </c>
      <c r="P510">
        <v>8.4</v>
      </c>
      <c r="Q510" t="s">
        <v>22</v>
      </c>
      <c r="R510" t="s">
        <v>23</v>
      </c>
    </row>
    <row r="511" spans="1:18" x14ac:dyDescent="0.3">
      <c r="A511" t="s">
        <v>24</v>
      </c>
      <c r="B511" t="s">
        <v>67</v>
      </c>
      <c r="C511">
        <v>199</v>
      </c>
      <c r="D511" t="s">
        <v>20</v>
      </c>
      <c r="E511">
        <v>2024</v>
      </c>
      <c r="F511" t="s">
        <v>21</v>
      </c>
      <c r="G511">
        <v>122</v>
      </c>
      <c r="H511">
        <v>42.3</v>
      </c>
      <c r="I511">
        <v>13.7</v>
      </c>
      <c r="J511">
        <v>119531</v>
      </c>
      <c r="K511">
        <v>28</v>
      </c>
      <c r="L511">
        <v>33469</v>
      </c>
      <c r="M511">
        <v>153000</v>
      </c>
      <c r="N511">
        <v>177308</v>
      </c>
      <c r="O511">
        <v>74</v>
      </c>
      <c r="P511">
        <v>11.1</v>
      </c>
      <c r="Q511" t="s">
        <v>37</v>
      </c>
      <c r="R511" t="s">
        <v>38</v>
      </c>
    </row>
    <row r="512" spans="1:18" x14ac:dyDescent="0.3">
      <c r="A512" t="s">
        <v>39</v>
      </c>
      <c r="B512" t="s">
        <v>71</v>
      </c>
      <c r="C512">
        <v>159</v>
      </c>
      <c r="D512" t="s">
        <v>20</v>
      </c>
      <c r="E512">
        <v>2023</v>
      </c>
      <c r="F512" t="s">
        <v>21</v>
      </c>
      <c r="G512">
        <v>131</v>
      </c>
      <c r="H512">
        <v>47</v>
      </c>
      <c r="I512">
        <v>12.1</v>
      </c>
      <c r="J512">
        <v>103906</v>
      </c>
      <c r="K512">
        <v>28</v>
      </c>
      <c r="L512">
        <v>29094</v>
      </c>
      <c r="M512">
        <v>133000</v>
      </c>
      <c r="N512">
        <v>157186</v>
      </c>
      <c r="O512">
        <v>74</v>
      </c>
      <c r="P512">
        <v>9.6</v>
      </c>
      <c r="Q512" t="s">
        <v>22</v>
      </c>
      <c r="R512" t="s">
        <v>23</v>
      </c>
    </row>
    <row r="513" spans="1:18" x14ac:dyDescent="0.3">
      <c r="A513" t="s">
        <v>42</v>
      </c>
      <c r="B513" t="s">
        <v>86</v>
      </c>
      <c r="C513">
        <v>155</v>
      </c>
      <c r="D513" t="s">
        <v>20</v>
      </c>
      <c r="E513">
        <v>2023</v>
      </c>
      <c r="F513" t="s">
        <v>21</v>
      </c>
      <c r="G513">
        <v>126</v>
      </c>
      <c r="H513">
        <v>39.9</v>
      </c>
      <c r="I513">
        <v>12.5</v>
      </c>
      <c r="J513">
        <v>156250</v>
      </c>
      <c r="K513">
        <v>28</v>
      </c>
      <c r="L513">
        <v>43750</v>
      </c>
      <c r="M513">
        <v>200000</v>
      </c>
      <c r="N513">
        <v>230779</v>
      </c>
      <c r="O513">
        <v>67</v>
      </c>
      <c r="P513">
        <v>2.7</v>
      </c>
      <c r="Q513" t="s">
        <v>26</v>
      </c>
      <c r="R513" t="s">
        <v>27</v>
      </c>
    </row>
    <row r="514" spans="1:18" x14ac:dyDescent="0.3">
      <c r="A514" t="s">
        <v>18</v>
      </c>
      <c r="B514" t="s">
        <v>78</v>
      </c>
      <c r="C514">
        <v>184</v>
      </c>
      <c r="D514" t="s">
        <v>20</v>
      </c>
      <c r="E514">
        <v>2025</v>
      </c>
      <c r="F514" t="s">
        <v>21</v>
      </c>
      <c r="G514">
        <v>130</v>
      </c>
      <c r="H514">
        <v>41.1</v>
      </c>
      <c r="I514">
        <v>10.8</v>
      </c>
      <c r="J514">
        <v>121875</v>
      </c>
      <c r="K514">
        <v>28</v>
      </c>
      <c r="L514">
        <v>34125</v>
      </c>
      <c r="M514">
        <v>156000</v>
      </c>
      <c r="N514">
        <v>180072</v>
      </c>
      <c r="O514">
        <v>74</v>
      </c>
      <c r="P514">
        <v>8.8000000000000007</v>
      </c>
      <c r="Q514" t="s">
        <v>22</v>
      </c>
      <c r="R514" t="s">
        <v>23</v>
      </c>
    </row>
    <row r="515" spans="1:18" x14ac:dyDescent="0.3">
      <c r="A515" t="s">
        <v>24</v>
      </c>
      <c r="B515" t="s">
        <v>77</v>
      </c>
      <c r="C515">
        <v>160</v>
      </c>
      <c r="D515" t="s">
        <v>20</v>
      </c>
      <c r="E515">
        <v>2022</v>
      </c>
      <c r="F515" t="s">
        <v>21</v>
      </c>
      <c r="G515">
        <v>130</v>
      </c>
      <c r="H515">
        <v>42.1</v>
      </c>
      <c r="I515">
        <v>11.4</v>
      </c>
      <c r="J515">
        <v>104688</v>
      </c>
      <c r="K515">
        <v>28</v>
      </c>
      <c r="L515">
        <v>29312</v>
      </c>
      <c r="M515">
        <v>134000</v>
      </c>
      <c r="N515">
        <v>153514</v>
      </c>
      <c r="O515">
        <v>67</v>
      </c>
      <c r="P515">
        <v>2.6</v>
      </c>
      <c r="Q515" t="s">
        <v>26</v>
      </c>
      <c r="R515" t="s">
        <v>27</v>
      </c>
    </row>
    <row r="516" spans="1:18" x14ac:dyDescent="0.3">
      <c r="A516" t="s">
        <v>28</v>
      </c>
      <c r="B516" t="s">
        <v>63</v>
      </c>
      <c r="C516">
        <v>125</v>
      </c>
      <c r="D516" t="s">
        <v>30</v>
      </c>
      <c r="E516">
        <v>2023</v>
      </c>
      <c r="F516" t="s">
        <v>35</v>
      </c>
      <c r="G516">
        <v>120</v>
      </c>
      <c r="H516">
        <v>54.7</v>
      </c>
      <c r="I516">
        <v>10.6</v>
      </c>
      <c r="J516">
        <v>78125</v>
      </c>
      <c r="K516">
        <v>28</v>
      </c>
      <c r="L516">
        <v>21875</v>
      </c>
      <c r="M516">
        <v>100000</v>
      </c>
      <c r="N516">
        <v>118198</v>
      </c>
      <c r="O516">
        <v>58</v>
      </c>
      <c r="P516">
        <v>10</v>
      </c>
      <c r="Q516" t="s">
        <v>37</v>
      </c>
      <c r="R516" t="s">
        <v>38</v>
      </c>
    </row>
    <row r="517" spans="1:18" x14ac:dyDescent="0.3">
      <c r="A517" t="s">
        <v>42</v>
      </c>
      <c r="B517" t="s">
        <v>43</v>
      </c>
      <c r="C517">
        <v>149</v>
      </c>
      <c r="D517" t="s">
        <v>20</v>
      </c>
      <c r="E517">
        <v>2025</v>
      </c>
      <c r="F517" t="s">
        <v>35</v>
      </c>
      <c r="G517">
        <v>106</v>
      </c>
      <c r="H517">
        <v>60.6</v>
      </c>
      <c r="I517">
        <v>12.7</v>
      </c>
      <c r="J517">
        <v>107812</v>
      </c>
      <c r="K517">
        <v>28</v>
      </c>
      <c r="L517">
        <v>30188</v>
      </c>
      <c r="M517">
        <v>138000</v>
      </c>
      <c r="N517">
        <v>160764</v>
      </c>
      <c r="O517">
        <v>75</v>
      </c>
      <c r="P517">
        <v>5.2</v>
      </c>
      <c r="Q517" t="s">
        <v>22</v>
      </c>
      <c r="R517" t="s">
        <v>23</v>
      </c>
    </row>
    <row r="518" spans="1:18" x14ac:dyDescent="0.3">
      <c r="A518" t="s">
        <v>55</v>
      </c>
      <c r="B518" t="s">
        <v>56</v>
      </c>
      <c r="C518">
        <v>249</v>
      </c>
      <c r="D518" t="s">
        <v>34</v>
      </c>
      <c r="E518">
        <v>2022</v>
      </c>
      <c r="F518" t="s">
        <v>21</v>
      </c>
      <c r="G518">
        <v>144</v>
      </c>
      <c r="H518">
        <v>28.7</v>
      </c>
      <c r="I518">
        <v>19.899999999999999</v>
      </c>
      <c r="J518">
        <v>172656</v>
      </c>
      <c r="K518">
        <v>28</v>
      </c>
      <c r="L518">
        <v>48344</v>
      </c>
      <c r="M518">
        <v>221000</v>
      </c>
      <c r="N518">
        <v>253629</v>
      </c>
      <c r="O518">
        <v>72</v>
      </c>
      <c r="P518">
        <v>12.8</v>
      </c>
      <c r="Q518" t="s">
        <v>37</v>
      </c>
      <c r="R518" t="s">
        <v>38</v>
      </c>
    </row>
    <row r="519" spans="1:18" x14ac:dyDescent="0.3">
      <c r="A519" t="s">
        <v>55</v>
      </c>
      <c r="B519" t="s">
        <v>75</v>
      </c>
      <c r="C519">
        <v>155</v>
      </c>
      <c r="D519" t="s">
        <v>20</v>
      </c>
      <c r="E519">
        <v>2022</v>
      </c>
      <c r="F519" t="s">
        <v>35</v>
      </c>
      <c r="G519">
        <v>129</v>
      </c>
      <c r="H519">
        <v>38.1</v>
      </c>
      <c r="I519">
        <v>11.7</v>
      </c>
      <c r="J519">
        <v>119531</v>
      </c>
      <c r="K519">
        <v>28</v>
      </c>
      <c r="L519">
        <v>33469</v>
      </c>
      <c r="M519">
        <v>153000</v>
      </c>
      <c r="N519">
        <v>178953</v>
      </c>
      <c r="O519">
        <v>63</v>
      </c>
      <c r="P519">
        <v>10.9</v>
      </c>
      <c r="Q519" t="s">
        <v>37</v>
      </c>
      <c r="R519" t="s">
        <v>38</v>
      </c>
    </row>
    <row r="520" spans="1:18" x14ac:dyDescent="0.3">
      <c r="A520" t="s">
        <v>42</v>
      </c>
      <c r="B520" t="s">
        <v>86</v>
      </c>
      <c r="C520">
        <v>155</v>
      </c>
      <c r="D520" t="s">
        <v>20</v>
      </c>
      <c r="E520">
        <v>2020</v>
      </c>
      <c r="F520" t="s">
        <v>21</v>
      </c>
      <c r="G520">
        <v>129</v>
      </c>
      <c r="H520">
        <v>39.1</v>
      </c>
      <c r="I520">
        <v>13.1</v>
      </c>
      <c r="J520">
        <v>165625</v>
      </c>
      <c r="K520">
        <v>28</v>
      </c>
      <c r="L520">
        <v>46375</v>
      </c>
      <c r="M520">
        <v>212000</v>
      </c>
      <c r="N520">
        <v>245227</v>
      </c>
      <c r="O520">
        <v>69</v>
      </c>
      <c r="P520">
        <v>2.6</v>
      </c>
      <c r="Q520" t="s">
        <v>26</v>
      </c>
      <c r="R520" t="s">
        <v>27</v>
      </c>
    </row>
    <row r="521" spans="1:18" x14ac:dyDescent="0.3">
      <c r="A521" t="s">
        <v>18</v>
      </c>
      <c r="B521" t="s">
        <v>103</v>
      </c>
      <c r="C521">
        <v>124</v>
      </c>
      <c r="D521" t="s">
        <v>30</v>
      </c>
      <c r="E521">
        <v>2024</v>
      </c>
      <c r="F521" t="s">
        <v>35</v>
      </c>
      <c r="G521">
        <v>115</v>
      </c>
      <c r="H521">
        <v>50.4</v>
      </c>
      <c r="I521">
        <v>11.2</v>
      </c>
      <c r="J521">
        <v>69531</v>
      </c>
      <c r="K521">
        <v>28</v>
      </c>
      <c r="L521">
        <v>19469</v>
      </c>
      <c r="M521">
        <v>89000</v>
      </c>
      <c r="N521">
        <v>103786</v>
      </c>
      <c r="O521">
        <v>66</v>
      </c>
      <c r="P521">
        <v>11.3</v>
      </c>
      <c r="Q521" t="s">
        <v>37</v>
      </c>
      <c r="R521" t="s">
        <v>38</v>
      </c>
    </row>
    <row r="522" spans="1:18" x14ac:dyDescent="0.3">
      <c r="A522" t="s">
        <v>32</v>
      </c>
      <c r="B522" t="s">
        <v>88</v>
      </c>
      <c r="C522">
        <v>349</v>
      </c>
      <c r="D522" t="s">
        <v>34</v>
      </c>
      <c r="E522">
        <v>2023</v>
      </c>
      <c r="F522" t="s">
        <v>35</v>
      </c>
      <c r="G522">
        <v>144</v>
      </c>
      <c r="H522">
        <v>33.4</v>
      </c>
      <c r="I522">
        <v>15.7</v>
      </c>
      <c r="J522">
        <v>143750</v>
      </c>
      <c r="K522">
        <v>28</v>
      </c>
      <c r="L522">
        <v>40250</v>
      </c>
      <c r="M522">
        <v>184000</v>
      </c>
      <c r="N522">
        <v>217796</v>
      </c>
      <c r="O522">
        <v>69</v>
      </c>
      <c r="P522">
        <v>11.1</v>
      </c>
      <c r="Q522" t="s">
        <v>37</v>
      </c>
      <c r="R522" t="s">
        <v>38</v>
      </c>
    </row>
    <row r="523" spans="1:18" x14ac:dyDescent="0.3">
      <c r="A523" t="s">
        <v>55</v>
      </c>
      <c r="B523" t="s">
        <v>96</v>
      </c>
      <c r="C523">
        <v>124</v>
      </c>
      <c r="D523" t="s">
        <v>30</v>
      </c>
      <c r="E523">
        <v>2020</v>
      </c>
      <c r="F523" t="s">
        <v>35</v>
      </c>
      <c r="G523">
        <v>115</v>
      </c>
      <c r="H523">
        <v>59.9</v>
      </c>
      <c r="I523">
        <v>12.1</v>
      </c>
      <c r="J523">
        <v>65625</v>
      </c>
      <c r="K523">
        <v>28</v>
      </c>
      <c r="L523">
        <v>18375</v>
      </c>
      <c r="M523">
        <v>84000</v>
      </c>
      <c r="N523">
        <v>98793</v>
      </c>
      <c r="O523">
        <v>62</v>
      </c>
      <c r="P523">
        <v>13.4</v>
      </c>
      <c r="Q523" t="s">
        <v>37</v>
      </c>
      <c r="R523" t="s">
        <v>38</v>
      </c>
    </row>
    <row r="524" spans="1:18" x14ac:dyDescent="0.3">
      <c r="A524" t="s">
        <v>39</v>
      </c>
      <c r="B524" t="s">
        <v>93</v>
      </c>
      <c r="C524">
        <v>225</v>
      </c>
      <c r="D524" t="s">
        <v>20</v>
      </c>
      <c r="E524">
        <v>2022</v>
      </c>
      <c r="F524" t="s">
        <v>21</v>
      </c>
      <c r="G524">
        <v>146</v>
      </c>
      <c r="H524">
        <v>30.6</v>
      </c>
      <c r="I524">
        <v>18.399999999999999</v>
      </c>
      <c r="J524">
        <v>118750</v>
      </c>
      <c r="K524">
        <v>28</v>
      </c>
      <c r="L524">
        <v>33250</v>
      </c>
      <c r="M524">
        <v>152000</v>
      </c>
      <c r="N524">
        <v>178133</v>
      </c>
      <c r="O524">
        <v>68</v>
      </c>
      <c r="P524">
        <v>4.9000000000000004</v>
      </c>
      <c r="Q524" t="s">
        <v>26</v>
      </c>
      <c r="R524" t="s">
        <v>27</v>
      </c>
    </row>
    <row r="525" spans="1:18" x14ac:dyDescent="0.3">
      <c r="A525" t="s">
        <v>18</v>
      </c>
      <c r="B525" t="s">
        <v>78</v>
      </c>
      <c r="C525">
        <v>184</v>
      </c>
      <c r="D525" t="s">
        <v>20</v>
      </c>
      <c r="E525">
        <v>2024</v>
      </c>
      <c r="F525" t="s">
        <v>21</v>
      </c>
      <c r="G525">
        <v>123</v>
      </c>
      <c r="H525">
        <v>42.6</v>
      </c>
      <c r="I525">
        <v>11.3</v>
      </c>
      <c r="J525">
        <v>113281</v>
      </c>
      <c r="K525">
        <v>28</v>
      </c>
      <c r="L525">
        <v>31719</v>
      </c>
      <c r="M525">
        <v>145000</v>
      </c>
      <c r="N525">
        <v>166746</v>
      </c>
      <c r="O525">
        <v>72</v>
      </c>
      <c r="P525">
        <v>8.6</v>
      </c>
      <c r="Q525" t="s">
        <v>22</v>
      </c>
      <c r="R525" t="s">
        <v>23</v>
      </c>
    </row>
    <row r="526" spans="1:18" x14ac:dyDescent="0.3">
      <c r="A526" t="s">
        <v>18</v>
      </c>
      <c r="B526" t="s">
        <v>62</v>
      </c>
      <c r="C526">
        <v>348</v>
      </c>
      <c r="D526" t="s">
        <v>34</v>
      </c>
      <c r="E526">
        <v>2020</v>
      </c>
      <c r="F526" t="s">
        <v>21</v>
      </c>
      <c r="G526">
        <v>159</v>
      </c>
      <c r="H526">
        <v>28.7</v>
      </c>
      <c r="I526">
        <v>13.9</v>
      </c>
      <c r="J526">
        <v>184375</v>
      </c>
      <c r="K526">
        <v>28</v>
      </c>
      <c r="L526">
        <v>51625</v>
      </c>
      <c r="M526">
        <v>236000</v>
      </c>
      <c r="N526">
        <v>274960</v>
      </c>
      <c r="O526">
        <v>77</v>
      </c>
      <c r="P526">
        <v>8.6</v>
      </c>
      <c r="Q526" t="s">
        <v>22</v>
      </c>
      <c r="R526" t="s">
        <v>23</v>
      </c>
    </row>
    <row r="527" spans="1:18" x14ac:dyDescent="0.3">
      <c r="A527" t="s">
        <v>42</v>
      </c>
      <c r="B527" t="s">
        <v>70</v>
      </c>
      <c r="C527">
        <v>249</v>
      </c>
      <c r="D527" t="s">
        <v>20</v>
      </c>
      <c r="E527">
        <v>2025</v>
      </c>
      <c r="F527" t="s">
        <v>21</v>
      </c>
      <c r="G527">
        <v>145</v>
      </c>
      <c r="H527">
        <v>31.4</v>
      </c>
      <c r="I527">
        <v>18.899999999999999</v>
      </c>
      <c r="J527">
        <v>137500</v>
      </c>
      <c r="K527">
        <v>28</v>
      </c>
      <c r="L527">
        <v>38500</v>
      </c>
      <c r="M527">
        <v>176000</v>
      </c>
      <c r="N527">
        <v>199417</v>
      </c>
      <c r="O527">
        <v>74</v>
      </c>
      <c r="P527">
        <v>13.5</v>
      </c>
      <c r="Q527" t="s">
        <v>37</v>
      </c>
      <c r="R527" t="s">
        <v>38</v>
      </c>
    </row>
    <row r="528" spans="1:18" x14ac:dyDescent="0.3">
      <c r="A528" t="s">
        <v>42</v>
      </c>
      <c r="B528" t="s">
        <v>102</v>
      </c>
      <c r="C528">
        <v>113</v>
      </c>
      <c r="D528" t="s">
        <v>30</v>
      </c>
      <c r="E528">
        <v>2020</v>
      </c>
      <c r="F528" t="s">
        <v>31</v>
      </c>
      <c r="G528">
        <v>107</v>
      </c>
      <c r="H528">
        <v>58.4</v>
      </c>
      <c r="I528">
        <v>13.3</v>
      </c>
      <c r="J528">
        <v>59375</v>
      </c>
      <c r="K528">
        <v>28</v>
      </c>
      <c r="L528">
        <v>16625</v>
      </c>
      <c r="M528">
        <v>76000</v>
      </c>
      <c r="N528">
        <v>91472</v>
      </c>
      <c r="O528">
        <v>57</v>
      </c>
      <c r="P528">
        <v>8.9</v>
      </c>
      <c r="Q528" t="s">
        <v>37</v>
      </c>
      <c r="R528" t="s">
        <v>38</v>
      </c>
    </row>
    <row r="529" spans="1:18" x14ac:dyDescent="0.3">
      <c r="A529" t="s">
        <v>42</v>
      </c>
      <c r="B529" t="s">
        <v>45</v>
      </c>
      <c r="C529">
        <v>149</v>
      </c>
      <c r="D529" t="s">
        <v>20</v>
      </c>
      <c r="E529">
        <v>2024</v>
      </c>
      <c r="F529" t="s">
        <v>21</v>
      </c>
      <c r="G529">
        <v>112</v>
      </c>
      <c r="H529">
        <v>54.6</v>
      </c>
      <c r="I529">
        <v>11</v>
      </c>
      <c r="J529">
        <v>98438</v>
      </c>
      <c r="K529">
        <v>28</v>
      </c>
      <c r="L529">
        <v>27562</v>
      </c>
      <c r="M529">
        <v>126000</v>
      </c>
      <c r="N529">
        <v>146954</v>
      </c>
      <c r="O529">
        <v>71</v>
      </c>
      <c r="P529">
        <v>13.1</v>
      </c>
      <c r="Q529" t="s">
        <v>37</v>
      </c>
      <c r="R529" t="s">
        <v>38</v>
      </c>
    </row>
    <row r="530" spans="1:18" x14ac:dyDescent="0.3">
      <c r="A530" t="s">
        <v>32</v>
      </c>
      <c r="B530" t="s">
        <v>36</v>
      </c>
      <c r="C530">
        <v>411</v>
      </c>
      <c r="D530" t="s">
        <v>34</v>
      </c>
      <c r="E530">
        <v>2022</v>
      </c>
      <c r="F530" t="s">
        <v>35</v>
      </c>
      <c r="G530">
        <v>161</v>
      </c>
      <c r="H530">
        <v>21.8</v>
      </c>
      <c r="I530">
        <v>16.399999999999999</v>
      </c>
      <c r="J530">
        <v>161069</v>
      </c>
      <c r="K530">
        <v>31</v>
      </c>
      <c r="L530">
        <v>49931</v>
      </c>
      <c r="M530">
        <v>211000</v>
      </c>
      <c r="N530">
        <v>246252</v>
      </c>
      <c r="O530">
        <v>71</v>
      </c>
      <c r="P530">
        <v>7.7</v>
      </c>
      <c r="Q530" t="s">
        <v>22</v>
      </c>
      <c r="R530" t="s">
        <v>23</v>
      </c>
    </row>
    <row r="531" spans="1:18" x14ac:dyDescent="0.3">
      <c r="A531" t="s">
        <v>24</v>
      </c>
      <c r="B531" t="s">
        <v>101</v>
      </c>
      <c r="C531">
        <v>102</v>
      </c>
      <c r="D531" t="s">
        <v>30</v>
      </c>
      <c r="E531">
        <v>2020</v>
      </c>
      <c r="F531" t="s">
        <v>31</v>
      </c>
      <c r="G531">
        <v>88</v>
      </c>
      <c r="H531">
        <v>63.3</v>
      </c>
      <c r="I531">
        <v>9.6</v>
      </c>
      <c r="J531">
        <v>51562</v>
      </c>
      <c r="K531">
        <v>28</v>
      </c>
      <c r="L531">
        <v>14438</v>
      </c>
      <c r="M531">
        <v>66000</v>
      </c>
      <c r="N531">
        <v>79019</v>
      </c>
      <c r="O531">
        <v>60</v>
      </c>
      <c r="P531">
        <v>8.8000000000000007</v>
      </c>
      <c r="Q531" t="s">
        <v>37</v>
      </c>
      <c r="R531" t="s">
        <v>38</v>
      </c>
    </row>
    <row r="532" spans="1:18" x14ac:dyDescent="0.3">
      <c r="A532" t="s">
        <v>55</v>
      </c>
      <c r="B532" t="s">
        <v>75</v>
      </c>
      <c r="C532">
        <v>155</v>
      </c>
      <c r="D532" t="s">
        <v>20</v>
      </c>
      <c r="E532">
        <v>2021</v>
      </c>
      <c r="F532" t="s">
        <v>35</v>
      </c>
      <c r="G532">
        <v>135</v>
      </c>
      <c r="H532">
        <v>42.5</v>
      </c>
      <c r="I532">
        <v>13.3</v>
      </c>
      <c r="J532">
        <v>112500</v>
      </c>
      <c r="K532">
        <v>28</v>
      </c>
      <c r="L532">
        <v>31500</v>
      </c>
      <c r="M532">
        <v>144000</v>
      </c>
      <c r="N532">
        <v>166927</v>
      </c>
      <c r="O532">
        <v>64</v>
      </c>
      <c r="P532">
        <v>1.9</v>
      </c>
      <c r="Q532" t="s">
        <v>57</v>
      </c>
      <c r="R532" t="s">
        <v>58</v>
      </c>
    </row>
    <row r="533" spans="1:18" x14ac:dyDescent="0.3">
      <c r="A533" t="s">
        <v>50</v>
      </c>
      <c r="B533" t="s">
        <v>109</v>
      </c>
      <c r="C533">
        <v>373</v>
      </c>
      <c r="D533" t="s">
        <v>34</v>
      </c>
      <c r="E533">
        <v>2025</v>
      </c>
      <c r="F533" t="s">
        <v>21</v>
      </c>
      <c r="G533">
        <v>171</v>
      </c>
      <c r="H533">
        <v>23</v>
      </c>
      <c r="I533">
        <v>19.5</v>
      </c>
      <c r="J533">
        <v>267176</v>
      </c>
      <c r="K533">
        <v>31</v>
      </c>
      <c r="L533">
        <v>82824</v>
      </c>
      <c r="M533">
        <v>350000</v>
      </c>
      <c r="N533">
        <v>404336</v>
      </c>
      <c r="O533">
        <v>81</v>
      </c>
      <c r="P533">
        <v>10.4</v>
      </c>
      <c r="Q533" t="s">
        <v>37</v>
      </c>
      <c r="R533" t="s">
        <v>38</v>
      </c>
    </row>
    <row r="534" spans="1:18" x14ac:dyDescent="0.3">
      <c r="A534" t="s">
        <v>42</v>
      </c>
      <c r="B534" t="s">
        <v>54</v>
      </c>
      <c r="C534">
        <v>155</v>
      </c>
      <c r="D534" t="s">
        <v>20</v>
      </c>
      <c r="E534">
        <v>2020</v>
      </c>
      <c r="F534" t="s">
        <v>21</v>
      </c>
      <c r="G534">
        <v>125</v>
      </c>
      <c r="H534">
        <v>45.2</v>
      </c>
      <c r="I534">
        <v>12.4</v>
      </c>
      <c r="J534">
        <v>132031</v>
      </c>
      <c r="K534">
        <v>28</v>
      </c>
      <c r="L534">
        <v>36969</v>
      </c>
      <c r="M534">
        <v>169000</v>
      </c>
      <c r="N534">
        <v>195118</v>
      </c>
      <c r="O534">
        <v>77</v>
      </c>
      <c r="P534">
        <v>14.4</v>
      </c>
      <c r="Q534" t="s">
        <v>37</v>
      </c>
      <c r="R534" t="s">
        <v>38</v>
      </c>
    </row>
    <row r="535" spans="1:18" x14ac:dyDescent="0.3">
      <c r="A535" t="s">
        <v>32</v>
      </c>
      <c r="B535" t="s">
        <v>73</v>
      </c>
      <c r="C535">
        <v>648</v>
      </c>
      <c r="D535" t="s">
        <v>34</v>
      </c>
      <c r="E535">
        <v>2021</v>
      </c>
      <c r="F535" t="s">
        <v>31</v>
      </c>
      <c r="G535">
        <v>197</v>
      </c>
      <c r="H535">
        <v>23.7</v>
      </c>
      <c r="I535">
        <v>17.600000000000001</v>
      </c>
      <c r="J535">
        <v>252672</v>
      </c>
      <c r="K535">
        <v>31</v>
      </c>
      <c r="L535">
        <v>78328</v>
      </c>
      <c r="M535">
        <v>331000</v>
      </c>
      <c r="N535">
        <v>379248</v>
      </c>
      <c r="O535">
        <v>73</v>
      </c>
      <c r="P535">
        <v>12.3</v>
      </c>
      <c r="Q535" t="s">
        <v>37</v>
      </c>
      <c r="R535" t="s">
        <v>38</v>
      </c>
    </row>
    <row r="536" spans="1:18" x14ac:dyDescent="0.3">
      <c r="A536" t="s">
        <v>42</v>
      </c>
      <c r="B536" t="s">
        <v>102</v>
      </c>
      <c r="C536">
        <v>113</v>
      </c>
      <c r="D536" t="s">
        <v>30</v>
      </c>
      <c r="E536">
        <v>2025</v>
      </c>
      <c r="F536" t="s">
        <v>31</v>
      </c>
      <c r="G536">
        <v>115</v>
      </c>
      <c r="H536">
        <v>51.1</v>
      </c>
      <c r="I536">
        <v>11.2</v>
      </c>
      <c r="J536">
        <v>58594</v>
      </c>
      <c r="K536">
        <v>28</v>
      </c>
      <c r="L536">
        <v>16406</v>
      </c>
      <c r="M536">
        <v>75000</v>
      </c>
      <c r="N536">
        <v>88088</v>
      </c>
      <c r="O536">
        <v>54</v>
      </c>
      <c r="P536">
        <v>9</v>
      </c>
      <c r="Q536" t="s">
        <v>37</v>
      </c>
      <c r="R536" t="s">
        <v>38</v>
      </c>
    </row>
    <row r="537" spans="1:18" x14ac:dyDescent="0.3">
      <c r="A537" t="s">
        <v>50</v>
      </c>
      <c r="B537" t="s">
        <v>109</v>
      </c>
      <c r="C537">
        <v>373</v>
      </c>
      <c r="D537" t="s">
        <v>34</v>
      </c>
      <c r="E537">
        <v>2022</v>
      </c>
      <c r="F537" t="s">
        <v>21</v>
      </c>
      <c r="G537">
        <v>192</v>
      </c>
      <c r="H537">
        <v>19.399999999999999</v>
      </c>
      <c r="I537">
        <v>13.4</v>
      </c>
      <c r="J537">
        <v>264885</v>
      </c>
      <c r="K537">
        <v>31</v>
      </c>
      <c r="L537">
        <v>82115</v>
      </c>
      <c r="M537">
        <v>347000</v>
      </c>
      <c r="N537">
        <v>409130</v>
      </c>
      <c r="O537">
        <v>77</v>
      </c>
      <c r="P537">
        <v>12.9</v>
      </c>
      <c r="Q537" t="s">
        <v>37</v>
      </c>
      <c r="R537" t="s">
        <v>38</v>
      </c>
    </row>
    <row r="538" spans="1:18" x14ac:dyDescent="0.3">
      <c r="A538" t="s">
        <v>55</v>
      </c>
      <c r="B538" t="s">
        <v>108</v>
      </c>
      <c r="C538">
        <v>249</v>
      </c>
      <c r="D538" t="s">
        <v>20</v>
      </c>
      <c r="E538">
        <v>2025</v>
      </c>
      <c r="F538" t="s">
        <v>21</v>
      </c>
      <c r="G538">
        <v>149</v>
      </c>
      <c r="H538">
        <v>29</v>
      </c>
      <c r="I538">
        <v>17.100000000000001</v>
      </c>
      <c r="J538">
        <v>164062</v>
      </c>
      <c r="K538">
        <v>28</v>
      </c>
      <c r="L538">
        <v>45938</v>
      </c>
      <c r="M538">
        <v>210000</v>
      </c>
      <c r="N538">
        <v>238930</v>
      </c>
      <c r="O538">
        <v>63</v>
      </c>
      <c r="P538">
        <v>4.3</v>
      </c>
      <c r="Q538" t="s">
        <v>26</v>
      </c>
      <c r="R538" t="s">
        <v>27</v>
      </c>
    </row>
    <row r="539" spans="1:18" x14ac:dyDescent="0.3">
      <c r="A539" t="s">
        <v>32</v>
      </c>
      <c r="B539" t="s">
        <v>66</v>
      </c>
      <c r="C539">
        <v>349</v>
      </c>
      <c r="D539" t="s">
        <v>34</v>
      </c>
      <c r="E539">
        <v>2023</v>
      </c>
      <c r="F539" t="s">
        <v>35</v>
      </c>
      <c r="G539">
        <v>155</v>
      </c>
      <c r="H539">
        <v>33.200000000000003</v>
      </c>
      <c r="I539">
        <v>18.899999999999999</v>
      </c>
      <c r="J539">
        <v>169531</v>
      </c>
      <c r="K539">
        <v>28</v>
      </c>
      <c r="L539">
        <v>47469</v>
      </c>
      <c r="M539">
        <v>217000</v>
      </c>
      <c r="N539">
        <v>249148</v>
      </c>
      <c r="O539">
        <v>68</v>
      </c>
      <c r="P539">
        <v>3.6</v>
      </c>
      <c r="Q539" t="s">
        <v>26</v>
      </c>
      <c r="R539" t="s">
        <v>27</v>
      </c>
    </row>
    <row r="540" spans="1:18" x14ac:dyDescent="0.3">
      <c r="A540" t="s">
        <v>32</v>
      </c>
      <c r="B540" t="s">
        <v>36</v>
      </c>
      <c r="C540">
        <v>411</v>
      </c>
      <c r="D540" t="s">
        <v>34</v>
      </c>
      <c r="E540">
        <v>2021</v>
      </c>
      <c r="F540" t="s">
        <v>35</v>
      </c>
      <c r="G540">
        <v>160</v>
      </c>
      <c r="H540">
        <v>20</v>
      </c>
      <c r="I540">
        <v>18</v>
      </c>
      <c r="J540">
        <v>173282</v>
      </c>
      <c r="K540">
        <v>31</v>
      </c>
      <c r="L540">
        <v>53718</v>
      </c>
      <c r="M540">
        <v>227000</v>
      </c>
      <c r="N540">
        <v>262643</v>
      </c>
      <c r="O540">
        <v>71</v>
      </c>
      <c r="P540">
        <v>10.1</v>
      </c>
      <c r="Q540" t="s">
        <v>37</v>
      </c>
      <c r="R540" t="s">
        <v>38</v>
      </c>
    </row>
    <row r="541" spans="1:18" x14ac:dyDescent="0.3">
      <c r="A541" t="s">
        <v>42</v>
      </c>
      <c r="B541" t="s">
        <v>54</v>
      </c>
      <c r="C541">
        <v>155</v>
      </c>
      <c r="D541" t="s">
        <v>20</v>
      </c>
      <c r="E541">
        <v>2025</v>
      </c>
      <c r="F541" t="s">
        <v>21</v>
      </c>
      <c r="G541">
        <v>133</v>
      </c>
      <c r="H541">
        <v>43.4</v>
      </c>
      <c r="I541">
        <v>12.4</v>
      </c>
      <c r="J541">
        <v>144531</v>
      </c>
      <c r="K541">
        <v>28</v>
      </c>
      <c r="L541">
        <v>40469</v>
      </c>
      <c r="M541">
        <v>185000</v>
      </c>
      <c r="N541">
        <v>215629</v>
      </c>
      <c r="O541">
        <v>74</v>
      </c>
      <c r="P541">
        <v>13.5</v>
      </c>
      <c r="Q541" t="s">
        <v>37</v>
      </c>
      <c r="R541" t="s">
        <v>38</v>
      </c>
    </row>
    <row r="542" spans="1:18" x14ac:dyDescent="0.3">
      <c r="A542" t="s">
        <v>50</v>
      </c>
      <c r="B542" t="s">
        <v>81</v>
      </c>
      <c r="C542">
        <v>199</v>
      </c>
      <c r="D542" t="s">
        <v>20</v>
      </c>
      <c r="E542">
        <v>2020</v>
      </c>
      <c r="F542" t="s">
        <v>21</v>
      </c>
      <c r="G542">
        <v>127</v>
      </c>
      <c r="H542">
        <v>40.799999999999997</v>
      </c>
      <c r="I542">
        <v>12.3</v>
      </c>
      <c r="J542">
        <v>171094</v>
      </c>
      <c r="K542">
        <v>28</v>
      </c>
      <c r="L542">
        <v>47906</v>
      </c>
      <c r="M542">
        <v>219000</v>
      </c>
      <c r="N542">
        <v>252771</v>
      </c>
      <c r="O542">
        <v>70</v>
      </c>
      <c r="P542">
        <v>6.9</v>
      </c>
      <c r="Q542" t="s">
        <v>22</v>
      </c>
      <c r="R542" t="s">
        <v>23</v>
      </c>
    </row>
    <row r="543" spans="1:18" x14ac:dyDescent="0.3">
      <c r="A543" t="s">
        <v>39</v>
      </c>
      <c r="B543" t="s">
        <v>82</v>
      </c>
      <c r="C543">
        <v>99</v>
      </c>
      <c r="D543" t="s">
        <v>30</v>
      </c>
      <c r="E543">
        <v>2022</v>
      </c>
      <c r="F543" t="s">
        <v>31</v>
      </c>
      <c r="G543">
        <v>86</v>
      </c>
      <c r="H543">
        <v>67.8</v>
      </c>
      <c r="I543">
        <v>8.1999999999999993</v>
      </c>
      <c r="J543">
        <v>54688</v>
      </c>
      <c r="K543">
        <v>28</v>
      </c>
      <c r="L543">
        <v>15312</v>
      </c>
      <c r="M543">
        <v>70000</v>
      </c>
      <c r="N543">
        <v>84111</v>
      </c>
      <c r="O543">
        <v>63</v>
      </c>
      <c r="P543">
        <v>7.8</v>
      </c>
      <c r="Q543" t="s">
        <v>37</v>
      </c>
      <c r="R543" t="s">
        <v>38</v>
      </c>
    </row>
    <row r="544" spans="1:18" x14ac:dyDescent="0.3">
      <c r="A544" t="s">
        <v>42</v>
      </c>
      <c r="B544" t="s">
        <v>59</v>
      </c>
      <c r="C544">
        <v>155</v>
      </c>
      <c r="D544" t="s">
        <v>20</v>
      </c>
      <c r="E544">
        <v>2024</v>
      </c>
      <c r="F544" t="s">
        <v>21</v>
      </c>
      <c r="G544">
        <v>128</v>
      </c>
      <c r="H544">
        <v>46.9</v>
      </c>
      <c r="I544">
        <v>13.6</v>
      </c>
      <c r="J544">
        <v>142969</v>
      </c>
      <c r="K544">
        <v>28</v>
      </c>
      <c r="L544">
        <v>40031</v>
      </c>
      <c r="M544">
        <v>183000</v>
      </c>
      <c r="N544">
        <v>210545</v>
      </c>
      <c r="O544">
        <v>80</v>
      </c>
      <c r="P544">
        <v>8.1999999999999993</v>
      </c>
      <c r="Q544" t="s">
        <v>22</v>
      </c>
      <c r="R544" t="s">
        <v>23</v>
      </c>
    </row>
    <row r="545" spans="1:18" x14ac:dyDescent="0.3">
      <c r="A545" t="s">
        <v>18</v>
      </c>
      <c r="B545" t="s">
        <v>103</v>
      </c>
      <c r="C545">
        <v>124</v>
      </c>
      <c r="D545" t="s">
        <v>30</v>
      </c>
      <c r="E545">
        <v>2022</v>
      </c>
      <c r="F545" t="s">
        <v>35</v>
      </c>
      <c r="G545">
        <v>114</v>
      </c>
      <c r="H545">
        <v>49.4</v>
      </c>
      <c r="I545">
        <v>12.1</v>
      </c>
      <c r="J545">
        <v>67188</v>
      </c>
      <c r="K545">
        <v>28</v>
      </c>
      <c r="L545">
        <v>18812</v>
      </c>
      <c r="M545">
        <v>86000</v>
      </c>
      <c r="N545">
        <v>103510</v>
      </c>
      <c r="O545">
        <v>68</v>
      </c>
      <c r="P545">
        <v>1.7</v>
      </c>
      <c r="Q545" t="s">
        <v>57</v>
      </c>
      <c r="R545" t="s">
        <v>58</v>
      </c>
    </row>
    <row r="546" spans="1:18" x14ac:dyDescent="0.3">
      <c r="A546" t="s">
        <v>28</v>
      </c>
      <c r="B546" t="s">
        <v>91</v>
      </c>
      <c r="C546">
        <v>97</v>
      </c>
      <c r="D546" t="s">
        <v>30</v>
      </c>
      <c r="E546">
        <v>2025</v>
      </c>
      <c r="F546" t="s">
        <v>31</v>
      </c>
      <c r="G546">
        <v>94</v>
      </c>
      <c r="H546">
        <v>68.7</v>
      </c>
      <c r="I546">
        <v>9.8000000000000007</v>
      </c>
      <c r="J546">
        <v>54688</v>
      </c>
      <c r="K546">
        <v>28</v>
      </c>
      <c r="L546">
        <v>15312</v>
      </c>
      <c r="M546">
        <v>70000</v>
      </c>
      <c r="N546">
        <v>83149</v>
      </c>
      <c r="O546">
        <v>60</v>
      </c>
      <c r="P546">
        <v>3.3</v>
      </c>
      <c r="Q546" t="s">
        <v>26</v>
      </c>
      <c r="R546" t="s">
        <v>27</v>
      </c>
    </row>
    <row r="547" spans="1:18" x14ac:dyDescent="0.3">
      <c r="A547" t="s">
        <v>39</v>
      </c>
      <c r="B547" t="s">
        <v>47</v>
      </c>
      <c r="C547">
        <v>312</v>
      </c>
      <c r="D547" t="s">
        <v>34</v>
      </c>
      <c r="E547">
        <v>2022</v>
      </c>
      <c r="F547" t="s">
        <v>21</v>
      </c>
      <c r="G547">
        <v>158</v>
      </c>
      <c r="H547">
        <v>32.6</v>
      </c>
      <c r="I547">
        <v>18.7</v>
      </c>
      <c r="J547">
        <v>226562</v>
      </c>
      <c r="K547">
        <v>28</v>
      </c>
      <c r="L547">
        <v>63438</v>
      </c>
      <c r="M547">
        <v>290000</v>
      </c>
      <c r="N547">
        <v>332733</v>
      </c>
      <c r="O547">
        <v>69</v>
      </c>
      <c r="P547">
        <v>10.199999999999999</v>
      </c>
      <c r="Q547" t="s">
        <v>37</v>
      </c>
      <c r="R547" t="s">
        <v>38</v>
      </c>
    </row>
    <row r="548" spans="1:18" x14ac:dyDescent="0.3">
      <c r="A548" t="s">
        <v>28</v>
      </c>
      <c r="B548" t="s">
        <v>63</v>
      </c>
      <c r="C548">
        <v>125</v>
      </c>
      <c r="D548" t="s">
        <v>30</v>
      </c>
      <c r="E548">
        <v>2020</v>
      </c>
      <c r="F548" t="s">
        <v>35</v>
      </c>
      <c r="G548">
        <v>113</v>
      </c>
      <c r="H548">
        <v>51.7</v>
      </c>
      <c r="I548">
        <v>13</v>
      </c>
      <c r="J548">
        <v>71875</v>
      </c>
      <c r="K548">
        <v>28</v>
      </c>
      <c r="L548">
        <v>20125</v>
      </c>
      <c r="M548">
        <v>92000</v>
      </c>
      <c r="N548">
        <v>106492</v>
      </c>
      <c r="O548">
        <v>62</v>
      </c>
      <c r="P548">
        <v>13</v>
      </c>
      <c r="Q548" t="s">
        <v>37</v>
      </c>
      <c r="R548" t="s">
        <v>38</v>
      </c>
    </row>
    <row r="549" spans="1:18" x14ac:dyDescent="0.3">
      <c r="A549" t="s">
        <v>24</v>
      </c>
      <c r="B549" t="s">
        <v>100</v>
      </c>
      <c r="C549">
        <v>115</v>
      </c>
      <c r="D549" t="s">
        <v>30</v>
      </c>
      <c r="E549">
        <v>2024</v>
      </c>
      <c r="F549" t="s">
        <v>35</v>
      </c>
      <c r="G549">
        <v>113</v>
      </c>
      <c r="H549">
        <v>59.1</v>
      </c>
      <c r="I549">
        <v>13.4</v>
      </c>
      <c r="J549">
        <v>66406</v>
      </c>
      <c r="K549">
        <v>28</v>
      </c>
      <c r="L549">
        <v>18594</v>
      </c>
      <c r="M549">
        <v>85000</v>
      </c>
      <c r="N549">
        <v>101497</v>
      </c>
      <c r="O549">
        <v>60</v>
      </c>
      <c r="P549">
        <v>7.8</v>
      </c>
      <c r="Q549" t="s">
        <v>37</v>
      </c>
      <c r="R549" t="s">
        <v>38</v>
      </c>
    </row>
    <row r="550" spans="1:18" x14ac:dyDescent="0.3">
      <c r="A550" t="s">
        <v>32</v>
      </c>
      <c r="B550" t="s">
        <v>46</v>
      </c>
      <c r="C550">
        <v>349</v>
      </c>
      <c r="D550" t="s">
        <v>34</v>
      </c>
      <c r="E550">
        <v>2021</v>
      </c>
      <c r="F550" t="s">
        <v>35</v>
      </c>
      <c r="G550">
        <v>164</v>
      </c>
      <c r="H550">
        <v>34.6</v>
      </c>
      <c r="I550">
        <v>17.600000000000001</v>
      </c>
      <c r="J550">
        <v>139062</v>
      </c>
      <c r="K550">
        <v>28</v>
      </c>
      <c r="L550">
        <v>38938</v>
      </c>
      <c r="M550">
        <v>178000</v>
      </c>
      <c r="N550">
        <v>209219</v>
      </c>
      <c r="O550">
        <v>72</v>
      </c>
      <c r="P550">
        <v>11.8</v>
      </c>
      <c r="Q550" t="s">
        <v>37</v>
      </c>
      <c r="R550" t="s">
        <v>38</v>
      </c>
    </row>
    <row r="551" spans="1:18" x14ac:dyDescent="0.3">
      <c r="A551" t="s">
        <v>24</v>
      </c>
      <c r="B551" t="s">
        <v>101</v>
      </c>
      <c r="C551">
        <v>102</v>
      </c>
      <c r="D551" t="s">
        <v>30</v>
      </c>
      <c r="E551">
        <v>2023</v>
      </c>
      <c r="F551" t="s">
        <v>31</v>
      </c>
      <c r="G551">
        <v>88</v>
      </c>
      <c r="H551">
        <v>66</v>
      </c>
      <c r="I551">
        <v>9</v>
      </c>
      <c r="J551">
        <v>50781</v>
      </c>
      <c r="K551">
        <v>28</v>
      </c>
      <c r="L551">
        <v>14219</v>
      </c>
      <c r="M551">
        <v>65000</v>
      </c>
      <c r="N551">
        <v>79138</v>
      </c>
      <c r="O551">
        <v>55</v>
      </c>
      <c r="P551">
        <v>3.3</v>
      </c>
      <c r="Q551" t="s">
        <v>26</v>
      </c>
      <c r="R551" t="s">
        <v>27</v>
      </c>
    </row>
    <row r="552" spans="1:18" x14ac:dyDescent="0.3">
      <c r="A552" t="s">
        <v>42</v>
      </c>
      <c r="B552" t="s">
        <v>70</v>
      </c>
      <c r="C552">
        <v>249</v>
      </c>
      <c r="D552" t="s">
        <v>20</v>
      </c>
      <c r="E552">
        <v>2024</v>
      </c>
      <c r="F552" t="s">
        <v>21</v>
      </c>
      <c r="G552">
        <v>152</v>
      </c>
      <c r="H552">
        <v>33.4</v>
      </c>
      <c r="I552">
        <v>19.100000000000001</v>
      </c>
      <c r="J552">
        <v>133594</v>
      </c>
      <c r="K552">
        <v>28</v>
      </c>
      <c r="L552">
        <v>37406</v>
      </c>
      <c r="M552">
        <v>171000</v>
      </c>
      <c r="N552">
        <v>200333</v>
      </c>
      <c r="O552">
        <v>72</v>
      </c>
      <c r="P552">
        <v>4.7</v>
      </c>
      <c r="Q552" t="s">
        <v>26</v>
      </c>
      <c r="R552" t="s">
        <v>27</v>
      </c>
    </row>
    <row r="553" spans="1:18" x14ac:dyDescent="0.3">
      <c r="A553" t="s">
        <v>28</v>
      </c>
      <c r="B553" t="s">
        <v>91</v>
      </c>
      <c r="C553">
        <v>97</v>
      </c>
      <c r="D553" t="s">
        <v>30</v>
      </c>
      <c r="E553">
        <v>2025</v>
      </c>
      <c r="F553" t="s">
        <v>31</v>
      </c>
      <c r="G553">
        <v>86</v>
      </c>
      <c r="H553">
        <v>77.8</v>
      </c>
      <c r="I553">
        <v>8.6999999999999993</v>
      </c>
      <c r="J553">
        <v>53125</v>
      </c>
      <c r="K553">
        <v>28</v>
      </c>
      <c r="L553">
        <v>14875</v>
      </c>
      <c r="M553">
        <v>68000</v>
      </c>
      <c r="N553">
        <v>81461</v>
      </c>
      <c r="O553">
        <v>57</v>
      </c>
      <c r="P553">
        <v>13.8</v>
      </c>
      <c r="Q553" t="s">
        <v>37</v>
      </c>
      <c r="R553" t="s">
        <v>38</v>
      </c>
    </row>
    <row r="554" spans="1:18" x14ac:dyDescent="0.3">
      <c r="A554" t="s">
        <v>50</v>
      </c>
      <c r="B554" t="s">
        <v>109</v>
      </c>
      <c r="C554">
        <v>373</v>
      </c>
      <c r="D554" t="s">
        <v>34</v>
      </c>
      <c r="E554">
        <v>2023</v>
      </c>
      <c r="F554" t="s">
        <v>21</v>
      </c>
      <c r="G554">
        <v>166</v>
      </c>
      <c r="H554">
        <v>20.8</v>
      </c>
      <c r="I554">
        <v>16.2</v>
      </c>
      <c r="J554">
        <v>260305</v>
      </c>
      <c r="K554">
        <v>31</v>
      </c>
      <c r="L554">
        <v>80695</v>
      </c>
      <c r="M554">
        <v>341000</v>
      </c>
      <c r="N554">
        <v>392370</v>
      </c>
      <c r="O554">
        <v>75</v>
      </c>
      <c r="P554">
        <v>10.199999999999999</v>
      </c>
      <c r="Q554" t="s">
        <v>37</v>
      </c>
      <c r="R554" t="s">
        <v>38</v>
      </c>
    </row>
    <row r="555" spans="1:18" x14ac:dyDescent="0.3">
      <c r="A555" t="s">
        <v>39</v>
      </c>
      <c r="B555" t="s">
        <v>82</v>
      </c>
      <c r="C555">
        <v>99</v>
      </c>
      <c r="D555" t="s">
        <v>30</v>
      </c>
      <c r="E555">
        <v>2025</v>
      </c>
      <c r="F555" t="s">
        <v>31</v>
      </c>
      <c r="G555">
        <v>90</v>
      </c>
      <c r="H555">
        <v>73</v>
      </c>
      <c r="I555">
        <v>8</v>
      </c>
      <c r="J555">
        <v>55469</v>
      </c>
      <c r="K555">
        <v>28</v>
      </c>
      <c r="L555">
        <v>15531</v>
      </c>
      <c r="M555">
        <v>71000</v>
      </c>
      <c r="N555">
        <v>84141</v>
      </c>
      <c r="O555">
        <v>59</v>
      </c>
      <c r="P555">
        <v>8.6999999999999993</v>
      </c>
      <c r="Q555" t="s">
        <v>37</v>
      </c>
      <c r="R555" t="s">
        <v>38</v>
      </c>
    </row>
    <row r="556" spans="1:18" x14ac:dyDescent="0.3">
      <c r="A556" t="s">
        <v>28</v>
      </c>
      <c r="B556" t="s">
        <v>49</v>
      </c>
      <c r="C556">
        <v>199</v>
      </c>
      <c r="D556" t="s">
        <v>20</v>
      </c>
      <c r="E556">
        <v>2020</v>
      </c>
      <c r="F556" t="s">
        <v>21</v>
      </c>
      <c r="G556">
        <v>129</v>
      </c>
      <c r="H556">
        <v>40.5</v>
      </c>
      <c r="I556">
        <v>12.5</v>
      </c>
      <c r="J556">
        <v>111719</v>
      </c>
      <c r="K556">
        <v>28</v>
      </c>
      <c r="L556">
        <v>31281</v>
      </c>
      <c r="M556">
        <v>143000</v>
      </c>
      <c r="N556">
        <v>163412</v>
      </c>
      <c r="O556">
        <v>72</v>
      </c>
      <c r="P556">
        <v>3.7</v>
      </c>
      <c r="Q556" t="s">
        <v>26</v>
      </c>
      <c r="R556" t="s">
        <v>27</v>
      </c>
    </row>
    <row r="557" spans="1:18" x14ac:dyDescent="0.3">
      <c r="A557" t="s">
        <v>28</v>
      </c>
      <c r="B557" t="s">
        <v>99</v>
      </c>
      <c r="C557">
        <v>199</v>
      </c>
      <c r="D557" t="s">
        <v>20</v>
      </c>
      <c r="E557">
        <v>2021</v>
      </c>
      <c r="F557" t="s">
        <v>21</v>
      </c>
      <c r="G557">
        <v>123</v>
      </c>
      <c r="H557">
        <v>43.4</v>
      </c>
      <c r="I557">
        <v>11.5</v>
      </c>
      <c r="J557">
        <v>121094</v>
      </c>
      <c r="K557">
        <v>28</v>
      </c>
      <c r="L557">
        <v>33906</v>
      </c>
      <c r="M557">
        <v>155000</v>
      </c>
      <c r="N557">
        <v>183166</v>
      </c>
      <c r="O557">
        <v>69</v>
      </c>
      <c r="P557">
        <v>13</v>
      </c>
      <c r="Q557" t="s">
        <v>37</v>
      </c>
      <c r="R557" t="s">
        <v>38</v>
      </c>
    </row>
    <row r="558" spans="1:18" x14ac:dyDescent="0.3">
      <c r="A558" t="s">
        <v>24</v>
      </c>
      <c r="B558" t="s">
        <v>84</v>
      </c>
      <c r="C558">
        <v>124</v>
      </c>
      <c r="D558" t="s">
        <v>30</v>
      </c>
      <c r="E558">
        <v>2022</v>
      </c>
      <c r="F558" t="s">
        <v>35</v>
      </c>
      <c r="G558">
        <v>107</v>
      </c>
      <c r="H558">
        <v>57.1</v>
      </c>
      <c r="I558">
        <v>13.1</v>
      </c>
      <c r="J558">
        <v>78906</v>
      </c>
      <c r="K558">
        <v>28</v>
      </c>
      <c r="L558">
        <v>22094</v>
      </c>
      <c r="M558">
        <v>101000</v>
      </c>
      <c r="N558">
        <v>119344</v>
      </c>
      <c r="O558">
        <v>67</v>
      </c>
      <c r="P558">
        <v>7.3</v>
      </c>
      <c r="Q558" t="s">
        <v>22</v>
      </c>
      <c r="R558" t="s">
        <v>23</v>
      </c>
    </row>
    <row r="559" spans="1:18" x14ac:dyDescent="0.3">
      <c r="A559" t="s">
        <v>32</v>
      </c>
      <c r="B559" t="s">
        <v>88</v>
      </c>
      <c r="C559">
        <v>349</v>
      </c>
      <c r="D559" t="s">
        <v>34</v>
      </c>
      <c r="E559">
        <v>2022</v>
      </c>
      <c r="F559" t="s">
        <v>35</v>
      </c>
      <c r="G559">
        <v>150</v>
      </c>
      <c r="H559">
        <v>31.1</v>
      </c>
      <c r="I559">
        <v>14.2</v>
      </c>
      <c r="J559">
        <v>146094</v>
      </c>
      <c r="K559">
        <v>28</v>
      </c>
      <c r="L559">
        <v>40906</v>
      </c>
      <c r="M559">
        <v>187000</v>
      </c>
      <c r="N559">
        <v>216702</v>
      </c>
      <c r="O559">
        <v>66</v>
      </c>
      <c r="P559">
        <v>4.5999999999999996</v>
      </c>
      <c r="Q559" t="s">
        <v>26</v>
      </c>
      <c r="R559" t="s">
        <v>27</v>
      </c>
    </row>
    <row r="560" spans="1:18" x14ac:dyDescent="0.3">
      <c r="A560" t="s">
        <v>28</v>
      </c>
      <c r="B560" t="s">
        <v>49</v>
      </c>
      <c r="C560">
        <v>199</v>
      </c>
      <c r="D560" t="s">
        <v>20</v>
      </c>
      <c r="E560">
        <v>2023</v>
      </c>
      <c r="F560" t="s">
        <v>21</v>
      </c>
      <c r="G560">
        <v>123</v>
      </c>
      <c r="H560">
        <v>43.5</v>
      </c>
      <c r="I560">
        <v>10.9</v>
      </c>
      <c r="J560">
        <v>121094</v>
      </c>
      <c r="K560">
        <v>28</v>
      </c>
      <c r="L560">
        <v>33906</v>
      </c>
      <c r="M560">
        <v>155000</v>
      </c>
      <c r="N560">
        <v>182429</v>
      </c>
      <c r="O560">
        <v>70</v>
      </c>
      <c r="P560">
        <v>8.6</v>
      </c>
      <c r="Q560" t="s">
        <v>22</v>
      </c>
      <c r="R560" t="s">
        <v>23</v>
      </c>
    </row>
    <row r="561" spans="1:18" x14ac:dyDescent="0.3">
      <c r="A561" t="s">
        <v>18</v>
      </c>
      <c r="B561" t="s">
        <v>95</v>
      </c>
      <c r="C561">
        <v>160</v>
      </c>
      <c r="D561" t="s">
        <v>20</v>
      </c>
      <c r="E561">
        <v>2023</v>
      </c>
      <c r="F561" t="s">
        <v>35</v>
      </c>
      <c r="G561">
        <v>128</v>
      </c>
      <c r="H561">
        <v>37.700000000000003</v>
      </c>
      <c r="I561">
        <v>10.6</v>
      </c>
      <c r="J561">
        <v>96094</v>
      </c>
      <c r="K561">
        <v>28</v>
      </c>
      <c r="L561">
        <v>26906</v>
      </c>
      <c r="M561">
        <v>123000</v>
      </c>
      <c r="N561">
        <v>142602</v>
      </c>
      <c r="O561">
        <v>69</v>
      </c>
      <c r="P561">
        <v>1.3</v>
      </c>
      <c r="Q561" t="s">
        <v>57</v>
      </c>
      <c r="R561" t="s">
        <v>58</v>
      </c>
    </row>
    <row r="562" spans="1:18" x14ac:dyDescent="0.3">
      <c r="A562" t="s">
        <v>28</v>
      </c>
      <c r="B562" t="s">
        <v>29</v>
      </c>
      <c r="C562">
        <v>97</v>
      </c>
      <c r="D562" t="s">
        <v>30</v>
      </c>
      <c r="E562">
        <v>2025</v>
      </c>
      <c r="F562" t="s">
        <v>31</v>
      </c>
      <c r="G562">
        <v>97</v>
      </c>
      <c r="H562">
        <v>67.099999999999994</v>
      </c>
      <c r="I562">
        <v>9.9</v>
      </c>
      <c r="J562">
        <v>61719</v>
      </c>
      <c r="K562">
        <v>28</v>
      </c>
      <c r="L562">
        <v>17281</v>
      </c>
      <c r="M562">
        <v>79000</v>
      </c>
      <c r="N562">
        <v>95078</v>
      </c>
      <c r="O562">
        <v>65</v>
      </c>
      <c r="P562">
        <v>1.1000000000000001</v>
      </c>
      <c r="Q562" t="s">
        <v>57</v>
      </c>
      <c r="R562" t="s">
        <v>58</v>
      </c>
    </row>
    <row r="563" spans="1:18" x14ac:dyDescent="0.3">
      <c r="A563" t="s">
        <v>42</v>
      </c>
      <c r="B563" t="s">
        <v>54</v>
      </c>
      <c r="C563">
        <v>155</v>
      </c>
      <c r="D563" t="s">
        <v>20</v>
      </c>
      <c r="E563">
        <v>2023</v>
      </c>
      <c r="F563" t="s">
        <v>21</v>
      </c>
      <c r="G563">
        <v>120</v>
      </c>
      <c r="H563">
        <v>42.4</v>
      </c>
      <c r="I563">
        <v>10.5</v>
      </c>
      <c r="J563">
        <v>139844</v>
      </c>
      <c r="K563">
        <v>28</v>
      </c>
      <c r="L563">
        <v>39156</v>
      </c>
      <c r="M563">
        <v>179000</v>
      </c>
      <c r="N563">
        <v>206474</v>
      </c>
      <c r="O563">
        <v>73</v>
      </c>
      <c r="P563">
        <v>14.4</v>
      </c>
      <c r="Q563" t="s">
        <v>37</v>
      </c>
      <c r="R563" t="s">
        <v>38</v>
      </c>
    </row>
    <row r="564" spans="1:18" x14ac:dyDescent="0.3">
      <c r="A564" t="s">
        <v>55</v>
      </c>
      <c r="B564" t="s">
        <v>75</v>
      </c>
      <c r="C564">
        <v>155</v>
      </c>
      <c r="D564" t="s">
        <v>20</v>
      </c>
      <c r="E564">
        <v>2022</v>
      </c>
      <c r="F564" t="s">
        <v>35</v>
      </c>
      <c r="G564">
        <v>140</v>
      </c>
      <c r="H564">
        <v>37.5</v>
      </c>
      <c r="I564">
        <v>10.3</v>
      </c>
      <c r="J564">
        <v>121094</v>
      </c>
      <c r="K564">
        <v>28</v>
      </c>
      <c r="L564">
        <v>33906</v>
      </c>
      <c r="M564">
        <v>155000</v>
      </c>
      <c r="N564">
        <v>180029</v>
      </c>
      <c r="O564">
        <v>59</v>
      </c>
      <c r="P564">
        <v>6.1</v>
      </c>
      <c r="Q564" t="s">
        <v>37</v>
      </c>
      <c r="R564" t="s">
        <v>38</v>
      </c>
    </row>
    <row r="565" spans="1:18" x14ac:dyDescent="0.3">
      <c r="A565" t="s">
        <v>42</v>
      </c>
      <c r="B565" t="s">
        <v>43</v>
      </c>
      <c r="C565">
        <v>149</v>
      </c>
      <c r="D565" t="s">
        <v>20</v>
      </c>
      <c r="E565">
        <v>2025</v>
      </c>
      <c r="F565" t="s">
        <v>35</v>
      </c>
      <c r="G565">
        <v>117</v>
      </c>
      <c r="H565">
        <v>48.9</v>
      </c>
      <c r="I565">
        <v>11.6</v>
      </c>
      <c r="J565">
        <v>105469</v>
      </c>
      <c r="K565">
        <v>28</v>
      </c>
      <c r="L565">
        <v>29531</v>
      </c>
      <c r="M565">
        <v>135000</v>
      </c>
      <c r="N565">
        <v>156235</v>
      </c>
      <c r="O565">
        <v>72</v>
      </c>
      <c r="P565">
        <v>3.7</v>
      </c>
      <c r="Q565" t="s">
        <v>26</v>
      </c>
      <c r="R565" t="s">
        <v>27</v>
      </c>
    </row>
    <row r="566" spans="1:18" x14ac:dyDescent="0.3">
      <c r="A566" t="s">
        <v>18</v>
      </c>
      <c r="B566" t="s">
        <v>95</v>
      </c>
      <c r="C566">
        <v>160</v>
      </c>
      <c r="D566" t="s">
        <v>20</v>
      </c>
      <c r="E566">
        <v>2020</v>
      </c>
      <c r="F566" t="s">
        <v>35</v>
      </c>
      <c r="G566">
        <v>126</v>
      </c>
      <c r="H566">
        <v>41.4</v>
      </c>
      <c r="I566">
        <v>12.9</v>
      </c>
      <c r="J566">
        <v>91406</v>
      </c>
      <c r="K566">
        <v>28</v>
      </c>
      <c r="L566">
        <v>25594</v>
      </c>
      <c r="M566">
        <v>117000</v>
      </c>
      <c r="N566">
        <v>136341</v>
      </c>
      <c r="O566">
        <v>64</v>
      </c>
      <c r="P566">
        <v>1.5</v>
      </c>
      <c r="Q566" t="s">
        <v>57</v>
      </c>
      <c r="R566" t="s">
        <v>58</v>
      </c>
    </row>
    <row r="567" spans="1:18" x14ac:dyDescent="0.3">
      <c r="A567" t="s">
        <v>39</v>
      </c>
      <c r="B567" t="s">
        <v>82</v>
      </c>
      <c r="C567">
        <v>99</v>
      </c>
      <c r="D567" t="s">
        <v>30</v>
      </c>
      <c r="E567">
        <v>2020</v>
      </c>
      <c r="F567" t="s">
        <v>31</v>
      </c>
      <c r="G567">
        <v>99</v>
      </c>
      <c r="H567">
        <v>70</v>
      </c>
      <c r="I567">
        <v>8.6999999999999993</v>
      </c>
      <c r="J567">
        <v>53125</v>
      </c>
      <c r="K567">
        <v>28</v>
      </c>
      <c r="L567">
        <v>14875</v>
      </c>
      <c r="M567">
        <v>68000</v>
      </c>
      <c r="N567">
        <v>79646</v>
      </c>
      <c r="O567">
        <v>54</v>
      </c>
      <c r="P567">
        <v>1.5</v>
      </c>
      <c r="Q567" t="s">
        <v>57</v>
      </c>
      <c r="R567" t="s">
        <v>58</v>
      </c>
    </row>
    <row r="568" spans="1:18" x14ac:dyDescent="0.3">
      <c r="A568" t="s">
        <v>28</v>
      </c>
      <c r="B568" t="s">
        <v>69</v>
      </c>
      <c r="C568">
        <v>125</v>
      </c>
      <c r="D568" t="s">
        <v>30</v>
      </c>
      <c r="E568">
        <v>2020</v>
      </c>
      <c r="F568" t="s">
        <v>21</v>
      </c>
      <c r="G568">
        <v>109</v>
      </c>
      <c r="H568">
        <v>54.5</v>
      </c>
      <c r="I568">
        <v>10.1</v>
      </c>
      <c r="J568">
        <v>80469</v>
      </c>
      <c r="K568">
        <v>28</v>
      </c>
      <c r="L568">
        <v>22531</v>
      </c>
      <c r="M568">
        <v>103000</v>
      </c>
      <c r="N568">
        <v>120691</v>
      </c>
      <c r="O568">
        <v>74</v>
      </c>
      <c r="P568">
        <v>4.3</v>
      </c>
      <c r="Q568" t="s">
        <v>26</v>
      </c>
      <c r="R568" t="s">
        <v>27</v>
      </c>
    </row>
    <row r="569" spans="1:18" x14ac:dyDescent="0.3">
      <c r="A569" t="s">
        <v>18</v>
      </c>
      <c r="B569" t="s">
        <v>62</v>
      </c>
      <c r="C569">
        <v>348</v>
      </c>
      <c r="D569" t="s">
        <v>34</v>
      </c>
      <c r="E569">
        <v>2021</v>
      </c>
      <c r="F569" t="s">
        <v>21</v>
      </c>
      <c r="G569">
        <v>162</v>
      </c>
      <c r="H569">
        <v>28.5</v>
      </c>
      <c r="I569">
        <v>17.399999999999999</v>
      </c>
      <c r="J569">
        <v>171875</v>
      </c>
      <c r="K569">
        <v>28</v>
      </c>
      <c r="L569">
        <v>48125</v>
      </c>
      <c r="M569">
        <v>220000</v>
      </c>
      <c r="N569">
        <v>252891</v>
      </c>
      <c r="O569">
        <v>82</v>
      </c>
      <c r="P569">
        <v>2.8</v>
      </c>
      <c r="Q569" t="s">
        <v>26</v>
      </c>
      <c r="R569" t="s">
        <v>27</v>
      </c>
    </row>
    <row r="570" spans="1:18" x14ac:dyDescent="0.3">
      <c r="A570" t="s">
        <v>39</v>
      </c>
      <c r="B570" t="s">
        <v>93</v>
      </c>
      <c r="C570">
        <v>225</v>
      </c>
      <c r="D570" t="s">
        <v>20</v>
      </c>
      <c r="E570">
        <v>2024</v>
      </c>
      <c r="F570" t="s">
        <v>21</v>
      </c>
      <c r="G570">
        <v>143</v>
      </c>
      <c r="H570">
        <v>28.7</v>
      </c>
      <c r="I570">
        <v>14.5</v>
      </c>
      <c r="J570">
        <v>135156</v>
      </c>
      <c r="K570">
        <v>28</v>
      </c>
      <c r="L570">
        <v>37844</v>
      </c>
      <c r="M570">
        <v>173000</v>
      </c>
      <c r="N570">
        <v>199238</v>
      </c>
      <c r="O570">
        <v>65</v>
      </c>
      <c r="P570">
        <v>8</v>
      </c>
      <c r="Q570" t="s">
        <v>37</v>
      </c>
      <c r="R570" t="s">
        <v>38</v>
      </c>
    </row>
    <row r="571" spans="1:18" x14ac:dyDescent="0.3">
      <c r="A571" t="s">
        <v>24</v>
      </c>
      <c r="B571" t="s">
        <v>77</v>
      </c>
      <c r="C571">
        <v>160</v>
      </c>
      <c r="D571" t="s">
        <v>20</v>
      </c>
      <c r="E571">
        <v>2021</v>
      </c>
      <c r="F571" t="s">
        <v>21</v>
      </c>
      <c r="G571">
        <v>123</v>
      </c>
      <c r="H571">
        <v>41</v>
      </c>
      <c r="I571">
        <v>11.3</v>
      </c>
      <c r="J571">
        <v>100000</v>
      </c>
      <c r="K571">
        <v>28</v>
      </c>
      <c r="L571">
        <v>28000</v>
      </c>
      <c r="M571">
        <v>128000</v>
      </c>
      <c r="N571">
        <v>153527</v>
      </c>
      <c r="O571">
        <v>77</v>
      </c>
      <c r="P571">
        <v>9.1</v>
      </c>
      <c r="Q571" t="s">
        <v>22</v>
      </c>
      <c r="R571" t="s">
        <v>23</v>
      </c>
    </row>
    <row r="572" spans="1:18" x14ac:dyDescent="0.3">
      <c r="A572" t="s">
        <v>24</v>
      </c>
      <c r="B572" t="s">
        <v>25</v>
      </c>
      <c r="C572">
        <v>249</v>
      </c>
      <c r="D572" t="s">
        <v>20</v>
      </c>
      <c r="E572">
        <v>2022</v>
      </c>
      <c r="F572" t="s">
        <v>21</v>
      </c>
      <c r="G572">
        <v>164</v>
      </c>
      <c r="H572">
        <v>30.3</v>
      </c>
      <c r="I572">
        <v>16.899999999999999</v>
      </c>
      <c r="J572">
        <v>134375</v>
      </c>
      <c r="K572">
        <v>28</v>
      </c>
      <c r="L572">
        <v>37625</v>
      </c>
      <c r="M572">
        <v>172000</v>
      </c>
      <c r="N572">
        <v>198649</v>
      </c>
      <c r="O572">
        <v>71</v>
      </c>
      <c r="P572">
        <v>3.4</v>
      </c>
      <c r="Q572" t="s">
        <v>26</v>
      </c>
      <c r="R572" t="s">
        <v>27</v>
      </c>
    </row>
    <row r="573" spans="1:18" x14ac:dyDescent="0.3">
      <c r="A573" t="s">
        <v>50</v>
      </c>
      <c r="B573" t="s">
        <v>104</v>
      </c>
      <c r="C573">
        <v>373</v>
      </c>
      <c r="D573" t="s">
        <v>34</v>
      </c>
      <c r="E573">
        <v>2023</v>
      </c>
      <c r="F573" t="s">
        <v>21</v>
      </c>
      <c r="G573">
        <v>209</v>
      </c>
      <c r="H573">
        <v>22.6</v>
      </c>
      <c r="I573">
        <v>13.6</v>
      </c>
      <c r="J573">
        <v>263359</v>
      </c>
      <c r="K573">
        <v>31</v>
      </c>
      <c r="L573">
        <v>81641</v>
      </c>
      <c r="M573">
        <v>345000</v>
      </c>
      <c r="N573">
        <v>396491</v>
      </c>
      <c r="O573">
        <v>73</v>
      </c>
      <c r="P573">
        <v>1.2</v>
      </c>
      <c r="Q573" t="s">
        <v>57</v>
      </c>
      <c r="R573" t="s">
        <v>58</v>
      </c>
    </row>
    <row r="574" spans="1:18" x14ac:dyDescent="0.3">
      <c r="A574" t="s">
        <v>28</v>
      </c>
      <c r="B574" t="s">
        <v>29</v>
      </c>
      <c r="C574">
        <v>97</v>
      </c>
      <c r="D574" t="s">
        <v>30</v>
      </c>
      <c r="E574">
        <v>2025</v>
      </c>
      <c r="F574" t="s">
        <v>31</v>
      </c>
      <c r="G574">
        <v>100</v>
      </c>
      <c r="H574">
        <v>68.599999999999994</v>
      </c>
      <c r="I574">
        <v>8.5</v>
      </c>
      <c r="J574">
        <v>54688</v>
      </c>
      <c r="K574">
        <v>28</v>
      </c>
      <c r="L574">
        <v>15312</v>
      </c>
      <c r="M574">
        <v>70000</v>
      </c>
      <c r="N574">
        <v>82024</v>
      </c>
      <c r="O574">
        <v>58</v>
      </c>
      <c r="P574">
        <v>3.9</v>
      </c>
      <c r="Q574" t="s">
        <v>26</v>
      </c>
      <c r="R574" t="s">
        <v>27</v>
      </c>
    </row>
    <row r="575" spans="1:18" x14ac:dyDescent="0.3">
      <c r="A575" t="s">
        <v>42</v>
      </c>
      <c r="B575" t="s">
        <v>102</v>
      </c>
      <c r="C575">
        <v>113</v>
      </c>
      <c r="D575" t="s">
        <v>30</v>
      </c>
      <c r="E575">
        <v>2025</v>
      </c>
      <c r="F575" t="s">
        <v>31</v>
      </c>
      <c r="G575">
        <v>120</v>
      </c>
      <c r="H575">
        <v>56.3</v>
      </c>
      <c r="I575">
        <v>13.3</v>
      </c>
      <c r="J575">
        <v>57812</v>
      </c>
      <c r="K575">
        <v>28</v>
      </c>
      <c r="L575">
        <v>16188</v>
      </c>
      <c r="M575">
        <v>74000</v>
      </c>
      <c r="N575">
        <v>87974</v>
      </c>
      <c r="O575">
        <v>59</v>
      </c>
      <c r="P575">
        <v>14.3</v>
      </c>
      <c r="Q575" t="s">
        <v>37</v>
      </c>
      <c r="R575" t="s">
        <v>38</v>
      </c>
    </row>
    <row r="576" spans="1:18" x14ac:dyDescent="0.3">
      <c r="A576" t="s">
        <v>39</v>
      </c>
      <c r="B576" t="s">
        <v>47</v>
      </c>
      <c r="C576">
        <v>312</v>
      </c>
      <c r="D576" t="s">
        <v>34</v>
      </c>
      <c r="E576">
        <v>2024</v>
      </c>
      <c r="F576" t="s">
        <v>21</v>
      </c>
      <c r="G576">
        <v>143</v>
      </c>
      <c r="H576">
        <v>35.700000000000003</v>
      </c>
      <c r="I576">
        <v>16.600000000000001</v>
      </c>
      <c r="J576">
        <v>213281</v>
      </c>
      <c r="K576">
        <v>28</v>
      </c>
      <c r="L576">
        <v>59719</v>
      </c>
      <c r="M576">
        <v>273000</v>
      </c>
      <c r="N576">
        <v>306847</v>
      </c>
      <c r="O576">
        <v>84</v>
      </c>
      <c r="P576">
        <v>6.1</v>
      </c>
      <c r="Q576" t="s">
        <v>22</v>
      </c>
      <c r="R576" t="s">
        <v>23</v>
      </c>
    </row>
    <row r="577" spans="1:18" x14ac:dyDescent="0.3">
      <c r="A577" t="s">
        <v>42</v>
      </c>
      <c r="B577" t="s">
        <v>45</v>
      </c>
      <c r="C577">
        <v>149</v>
      </c>
      <c r="D577" t="s">
        <v>20</v>
      </c>
      <c r="E577">
        <v>2023</v>
      </c>
      <c r="F577" t="s">
        <v>21</v>
      </c>
      <c r="G577">
        <v>109</v>
      </c>
      <c r="H577">
        <v>49.9</v>
      </c>
      <c r="I577">
        <v>12</v>
      </c>
      <c r="J577">
        <v>110156</v>
      </c>
      <c r="K577">
        <v>28</v>
      </c>
      <c r="L577">
        <v>30844</v>
      </c>
      <c r="M577">
        <v>141000</v>
      </c>
      <c r="N577">
        <v>163801</v>
      </c>
      <c r="O577">
        <v>79</v>
      </c>
      <c r="P577">
        <v>12.8</v>
      </c>
      <c r="Q577" t="s">
        <v>37</v>
      </c>
      <c r="R577" t="s">
        <v>38</v>
      </c>
    </row>
    <row r="578" spans="1:18" x14ac:dyDescent="0.3">
      <c r="A578" t="s">
        <v>24</v>
      </c>
      <c r="B578" t="s">
        <v>107</v>
      </c>
      <c r="C578">
        <v>102</v>
      </c>
      <c r="D578" t="s">
        <v>30</v>
      </c>
      <c r="E578">
        <v>2023</v>
      </c>
      <c r="F578" t="s">
        <v>31</v>
      </c>
      <c r="G578">
        <v>93</v>
      </c>
      <c r="H578">
        <v>65.099999999999994</v>
      </c>
      <c r="I578">
        <v>8.1</v>
      </c>
      <c r="J578">
        <v>48438</v>
      </c>
      <c r="K578">
        <v>28</v>
      </c>
      <c r="L578">
        <v>13562</v>
      </c>
      <c r="M578">
        <v>62000</v>
      </c>
      <c r="N578">
        <v>72894</v>
      </c>
      <c r="O578">
        <v>60</v>
      </c>
      <c r="P578">
        <v>9.6</v>
      </c>
      <c r="Q578" t="s">
        <v>37</v>
      </c>
      <c r="R578" t="s">
        <v>38</v>
      </c>
    </row>
    <row r="579" spans="1:18" x14ac:dyDescent="0.3">
      <c r="A579" t="s">
        <v>28</v>
      </c>
      <c r="B579" t="s">
        <v>98</v>
      </c>
      <c r="C579">
        <v>163</v>
      </c>
      <c r="D579" t="s">
        <v>20</v>
      </c>
      <c r="E579">
        <v>2024</v>
      </c>
      <c r="F579" t="s">
        <v>21</v>
      </c>
      <c r="G579">
        <v>122</v>
      </c>
      <c r="H579">
        <v>42.2</v>
      </c>
      <c r="I579">
        <v>12.3</v>
      </c>
      <c r="J579">
        <v>112500</v>
      </c>
      <c r="K579">
        <v>28</v>
      </c>
      <c r="L579">
        <v>31500</v>
      </c>
      <c r="M579">
        <v>144000</v>
      </c>
      <c r="N579">
        <v>167101</v>
      </c>
      <c r="O579">
        <v>71</v>
      </c>
      <c r="P579">
        <v>11.1</v>
      </c>
      <c r="Q579" t="s">
        <v>37</v>
      </c>
      <c r="R579" t="s">
        <v>38</v>
      </c>
    </row>
    <row r="580" spans="1:18" x14ac:dyDescent="0.3">
      <c r="A580" t="s">
        <v>50</v>
      </c>
      <c r="B580" t="s">
        <v>72</v>
      </c>
      <c r="C580">
        <v>373</v>
      </c>
      <c r="D580" t="s">
        <v>34</v>
      </c>
      <c r="E580">
        <v>2021</v>
      </c>
      <c r="F580" t="s">
        <v>21</v>
      </c>
      <c r="G580">
        <v>166</v>
      </c>
      <c r="H580">
        <v>21.1</v>
      </c>
      <c r="I580">
        <v>15.6</v>
      </c>
      <c r="J580">
        <v>225191</v>
      </c>
      <c r="K580">
        <v>31</v>
      </c>
      <c r="L580">
        <v>69809</v>
      </c>
      <c r="M580">
        <v>295000</v>
      </c>
      <c r="N580">
        <v>339809</v>
      </c>
      <c r="O580">
        <v>74</v>
      </c>
      <c r="P580">
        <v>11.3</v>
      </c>
      <c r="Q580" t="s">
        <v>37</v>
      </c>
      <c r="R580" t="s">
        <v>38</v>
      </c>
    </row>
    <row r="581" spans="1:18" x14ac:dyDescent="0.3">
      <c r="A581" t="s">
        <v>24</v>
      </c>
      <c r="B581" t="s">
        <v>74</v>
      </c>
      <c r="C581">
        <v>199</v>
      </c>
      <c r="D581" t="s">
        <v>20</v>
      </c>
      <c r="E581">
        <v>2022</v>
      </c>
      <c r="F581" t="s">
        <v>21</v>
      </c>
      <c r="G581">
        <v>139</v>
      </c>
      <c r="H581">
        <v>38.4</v>
      </c>
      <c r="I581">
        <v>10.5</v>
      </c>
      <c r="J581">
        <v>127344</v>
      </c>
      <c r="K581">
        <v>28</v>
      </c>
      <c r="L581">
        <v>35656</v>
      </c>
      <c r="M581">
        <v>163000</v>
      </c>
      <c r="N581">
        <v>188707</v>
      </c>
      <c r="O581">
        <v>74</v>
      </c>
      <c r="P581">
        <v>3.5</v>
      </c>
      <c r="Q581" t="s">
        <v>26</v>
      </c>
      <c r="R581" t="s">
        <v>27</v>
      </c>
    </row>
    <row r="582" spans="1:18" x14ac:dyDescent="0.3">
      <c r="A582" t="s">
        <v>24</v>
      </c>
      <c r="B582" t="s">
        <v>65</v>
      </c>
      <c r="C582">
        <v>149</v>
      </c>
      <c r="D582" t="s">
        <v>20</v>
      </c>
      <c r="E582">
        <v>2023</v>
      </c>
      <c r="F582" t="s">
        <v>35</v>
      </c>
      <c r="G582">
        <v>106</v>
      </c>
      <c r="H582">
        <v>48.8</v>
      </c>
      <c r="I582">
        <v>11.8</v>
      </c>
      <c r="J582">
        <v>91406</v>
      </c>
      <c r="K582">
        <v>28</v>
      </c>
      <c r="L582">
        <v>25594</v>
      </c>
      <c r="M582">
        <v>117000</v>
      </c>
      <c r="N582">
        <v>137430</v>
      </c>
      <c r="O582">
        <v>66</v>
      </c>
      <c r="P582">
        <v>2.9</v>
      </c>
      <c r="Q582" t="s">
        <v>26</v>
      </c>
      <c r="R582" t="s">
        <v>27</v>
      </c>
    </row>
    <row r="583" spans="1:18" x14ac:dyDescent="0.3">
      <c r="A583" t="s">
        <v>24</v>
      </c>
      <c r="B583" t="s">
        <v>101</v>
      </c>
      <c r="C583">
        <v>102</v>
      </c>
      <c r="D583" t="s">
        <v>30</v>
      </c>
      <c r="E583">
        <v>2021</v>
      </c>
      <c r="F583" t="s">
        <v>31</v>
      </c>
      <c r="G583">
        <v>90</v>
      </c>
      <c r="H583">
        <v>74.900000000000006</v>
      </c>
      <c r="I583">
        <v>8.1999999999999993</v>
      </c>
      <c r="J583">
        <v>55469</v>
      </c>
      <c r="K583">
        <v>28</v>
      </c>
      <c r="L583">
        <v>15531</v>
      </c>
      <c r="M583">
        <v>71000</v>
      </c>
      <c r="N583">
        <v>82496</v>
      </c>
      <c r="O583">
        <v>64</v>
      </c>
      <c r="P583">
        <v>14.6</v>
      </c>
      <c r="Q583" t="s">
        <v>37</v>
      </c>
      <c r="R583" t="s">
        <v>38</v>
      </c>
    </row>
    <row r="584" spans="1:18" x14ac:dyDescent="0.3">
      <c r="A584" t="s">
        <v>55</v>
      </c>
      <c r="B584" t="s">
        <v>96</v>
      </c>
      <c r="C584">
        <v>124</v>
      </c>
      <c r="D584" t="s">
        <v>30</v>
      </c>
      <c r="E584">
        <v>2023</v>
      </c>
      <c r="F584" t="s">
        <v>35</v>
      </c>
      <c r="G584">
        <v>118</v>
      </c>
      <c r="H584">
        <v>52.1</v>
      </c>
      <c r="I584">
        <v>12.3</v>
      </c>
      <c r="J584">
        <v>70312</v>
      </c>
      <c r="K584">
        <v>28</v>
      </c>
      <c r="L584">
        <v>19688</v>
      </c>
      <c r="M584">
        <v>90000</v>
      </c>
      <c r="N584">
        <v>108444</v>
      </c>
      <c r="O584">
        <v>58</v>
      </c>
      <c r="P584">
        <v>4.5</v>
      </c>
      <c r="Q584" t="s">
        <v>26</v>
      </c>
      <c r="R584" t="s">
        <v>27</v>
      </c>
    </row>
    <row r="585" spans="1:18" x14ac:dyDescent="0.3">
      <c r="A585" t="s">
        <v>18</v>
      </c>
      <c r="B585" t="s">
        <v>105</v>
      </c>
      <c r="C585">
        <v>471</v>
      </c>
      <c r="D585" t="s">
        <v>34</v>
      </c>
      <c r="E585">
        <v>2024</v>
      </c>
      <c r="F585" t="s">
        <v>21</v>
      </c>
      <c r="G585">
        <v>190</v>
      </c>
      <c r="H585">
        <v>19.600000000000001</v>
      </c>
      <c r="I585">
        <v>15.8</v>
      </c>
      <c r="J585">
        <v>471756</v>
      </c>
      <c r="K585">
        <v>31</v>
      </c>
      <c r="L585">
        <v>146244</v>
      </c>
      <c r="M585">
        <v>618000</v>
      </c>
      <c r="N585">
        <v>715529</v>
      </c>
      <c r="O585">
        <v>84</v>
      </c>
      <c r="P585">
        <v>1.5</v>
      </c>
      <c r="Q585" t="s">
        <v>111</v>
      </c>
      <c r="R585" t="s">
        <v>58</v>
      </c>
    </row>
    <row r="586" spans="1:18" x14ac:dyDescent="0.3">
      <c r="A586" t="s">
        <v>18</v>
      </c>
      <c r="B586" t="s">
        <v>61</v>
      </c>
      <c r="C586">
        <v>124</v>
      </c>
      <c r="D586" t="s">
        <v>30</v>
      </c>
      <c r="E586">
        <v>2022</v>
      </c>
      <c r="F586" t="s">
        <v>21</v>
      </c>
      <c r="G586">
        <v>118</v>
      </c>
      <c r="H586">
        <v>57.5</v>
      </c>
      <c r="I586">
        <v>11</v>
      </c>
      <c r="J586">
        <v>75781</v>
      </c>
      <c r="K586">
        <v>28</v>
      </c>
      <c r="L586">
        <v>21219</v>
      </c>
      <c r="M586">
        <v>97000</v>
      </c>
      <c r="N586">
        <v>111737</v>
      </c>
      <c r="O586">
        <v>69</v>
      </c>
      <c r="P586">
        <v>2.9</v>
      </c>
      <c r="Q586" t="s">
        <v>26</v>
      </c>
      <c r="R586" t="s">
        <v>27</v>
      </c>
    </row>
    <row r="587" spans="1:18" x14ac:dyDescent="0.3">
      <c r="A587" t="s">
        <v>18</v>
      </c>
      <c r="B587" t="s">
        <v>103</v>
      </c>
      <c r="C587">
        <v>124</v>
      </c>
      <c r="D587" t="s">
        <v>30</v>
      </c>
      <c r="E587">
        <v>2021</v>
      </c>
      <c r="F587" t="s">
        <v>35</v>
      </c>
      <c r="G587">
        <v>105</v>
      </c>
      <c r="H587">
        <v>59.7</v>
      </c>
      <c r="I587">
        <v>13.5</v>
      </c>
      <c r="J587">
        <v>64844</v>
      </c>
      <c r="K587">
        <v>28</v>
      </c>
      <c r="L587">
        <v>18156</v>
      </c>
      <c r="M587">
        <v>83000</v>
      </c>
      <c r="N587">
        <v>98501</v>
      </c>
      <c r="O587">
        <v>66</v>
      </c>
      <c r="P587">
        <v>7.5</v>
      </c>
      <c r="Q587" t="s">
        <v>37</v>
      </c>
      <c r="R587" t="s">
        <v>38</v>
      </c>
    </row>
    <row r="588" spans="1:18" x14ac:dyDescent="0.3">
      <c r="A588" t="s">
        <v>50</v>
      </c>
      <c r="B588" t="s">
        <v>52</v>
      </c>
      <c r="C588">
        <v>199</v>
      </c>
      <c r="D588" t="s">
        <v>20</v>
      </c>
      <c r="E588">
        <v>2025</v>
      </c>
      <c r="F588" t="s">
        <v>21</v>
      </c>
      <c r="G588">
        <v>140</v>
      </c>
      <c r="H588">
        <v>43.3</v>
      </c>
      <c r="I588">
        <v>11.3</v>
      </c>
      <c r="J588">
        <v>148438</v>
      </c>
      <c r="K588">
        <v>28</v>
      </c>
      <c r="L588">
        <v>41562</v>
      </c>
      <c r="M588">
        <v>190000</v>
      </c>
      <c r="N588">
        <v>224789</v>
      </c>
      <c r="O588">
        <v>69</v>
      </c>
      <c r="P588">
        <v>6.4</v>
      </c>
      <c r="Q588" t="s">
        <v>22</v>
      </c>
      <c r="R588" t="s">
        <v>23</v>
      </c>
    </row>
    <row r="589" spans="1:18" x14ac:dyDescent="0.3">
      <c r="A589" t="s">
        <v>28</v>
      </c>
      <c r="B589" t="s">
        <v>41</v>
      </c>
      <c r="C589">
        <v>125</v>
      </c>
      <c r="D589" t="s">
        <v>30</v>
      </c>
      <c r="E589">
        <v>2022</v>
      </c>
      <c r="F589" t="s">
        <v>35</v>
      </c>
      <c r="G589">
        <v>111</v>
      </c>
      <c r="H589">
        <v>55.6</v>
      </c>
      <c r="I589">
        <v>12.9</v>
      </c>
      <c r="J589">
        <v>67969</v>
      </c>
      <c r="K589">
        <v>28</v>
      </c>
      <c r="L589">
        <v>19031</v>
      </c>
      <c r="M589">
        <v>87000</v>
      </c>
      <c r="N589">
        <v>104913</v>
      </c>
      <c r="O589">
        <v>68</v>
      </c>
      <c r="P589">
        <v>2.1</v>
      </c>
      <c r="Q589" t="s">
        <v>26</v>
      </c>
      <c r="R589" t="s">
        <v>27</v>
      </c>
    </row>
    <row r="590" spans="1:18" x14ac:dyDescent="0.3">
      <c r="A590" t="s">
        <v>28</v>
      </c>
      <c r="B590" t="s">
        <v>99</v>
      </c>
      <c r="C590">
        <v>199</v>
      </c>
      <c r="D590" t="s">
        <v>20</v>
      </c>
      <c r="E590">
        <v>2022</v>
      </c>
      <c r="F590" t="s">
        <v>21</v>
      </c>
      <c r="G590">
        <v>131</v>
      </c>
      <c r="H590">
        <v>38.1</v>
      </c>
      <c r="I590">
        <v>11.5</v>
      </c>
      <c r="J590">
        <v>113281</v>
      </c>
      <c r="K590">
        <v>28</v>
      </c>
      <c r="L590">
        <v>31719</v>
      </c>
      <c r="M590">
        <v>145000</v>
      </c>
      <c r="N590">
        <v>169495</v>
      </c>
      <c r="O590">
        <v>75</v>
      </c>
      <c r="P590">
        <v>9.6999999999999993</v>
      </c>
      <c r="Q590" t="s">
        <v>22</v>
      </c>
      <c r="R590" t="s">
        <v>23</v>
      </c>
    </row>
    <row r="591" spans="1:18" x14ac:dyDescent="0.3">
      <c r="A591" t="s">
        <v>55</v>
      </c>
      <c r="B591" t="s">
        <v>56</v>
      </c>
      <c r="C591">
        <v>249</v>
      </c>
      <c r="D591" t="s">
        <v>34</v>
      </c>
      <c r="E591">
        <v>2023</v>
      </c>
      <c r="F591" t="s">
        <v>21</v>
      </c>
      <c r="G591">
        <v>147</v>
      </c>
      <c r="H591">
        <v>35.700000000000003</v>
      </c>
      <c r="I591">
        <v>18.2</v>
      </c>
      <c r="J591">
        <v>177344</v>
      </c>
      <c r="K591">
        <v>28</v>
      </c>
      <c r="L591">
        <v>49656</v>
      </c>
      <c r="M591">
        <v>227000</v>
      </c>
      <c r="N591">
        <v>263140</v>
      </c>
      <c r="O591">
        <v>82</v>
      </c>
      <c r="P591">
        <v>2.6</v>
      </c>
      <c r="Q591" t="s">
        <v>26</v>
      </c>
      <c r="R591" t="s">
        <v>27</v>
      </c>
    </row>
    <row r="592" spans="1:18" x14ac:dyDescent="0.3">
      <c r="A592" t="s">
        <v>24</v>
      </c>
      <c r="B592" t="s">
        <v>67</v>
      </c>
      <c r="C592">
        <v>199</v>
      </c>
      <c r="D592" t="s">
        <v>20</v>
      </c>
      <c r="E592">
        <v>2022</v>
      </c>
      <c r="F592" t="s">
        <v>21</v>
      </c>
      <c r="G592">
        <v>133</v>
      </c>
      <c r="H592">
        <v>42</v>
      </c>
      <c r="I592">
        <v>11.4</v>
      </c>
      <c r="J592">
        <v>121875</v>
      </c>
      <c r="K592">
        <v>28</v>
      </c>
      <c r="L592">
        <v>34125</v>
      </c>
      <c r="M592">
        <v>156000</v>
      </c>
      <c r="N592">
        <v>182003</v>
      </c>
      <c r="O592">
        <v>71</v>
      </c>
      <c r="P592">
        <v>1.8</v>
      </c>
      <c r="Q592" t="s">
        <v>57</v>
      </c>
      <c r="R592" t="s">
        <v>58</v>
      </c>
    </row>
    <row r="593" spans="1:18" x14ac:dyDescent="0.3">
      <c r="A593" t="s">
        <v>42</v>
      </c>
      <c r="B593" t="s">
        <v>54</v>
      </c>
      <c r="C593">
        <v>155</v>
      </c>
      <c r="D593" t="s">
        <v>20</v>
      </c>
      <c r="E593">
        <v>2022</v>
      </c>
      <c r="F593" t="s">
        <v>21</v>
      </c>
      <c r="G593">
        <v>137</v>
      </c>
      <c r="H593">
        <v>43.8</v>
      </c>
      <c r="I593">
        <v>13.2</v>
      </c>
      <c r="J593">
        <v>140625</v>
      </c>
      <c r="K593">
        <v>28</v>
      </c>
      <c r="L593">
        <v>39375</v>
      </c>
      <c r="M593">
        <v>180000</v>
      </c>
      <c r="N593">
        <v>211643</v>
      </c>
      <c r="O593">
        <v>71</v>
      </c>
      <c r="P593">
        <v>7.3</v>
      </c>
      <c r="Q593" t="s">
        <v>22</v>
      </c>
      <c r="R593" t="s">
        <v>23</v>
      </c>
    </row>
    <row r="594" spans="1:18" x14ac:dyDescent="0.3">
      <c r="A594" t="s">
        <v>28</v>
      </c>
      <c r="B594" t="s">
        <v>49</v>
      </c>
      <c r="C594">
        <v>199</v>
      </c>
      <c r="D594" t="s">
        <v>20</v>
      </c>
      <c r="E594">
        <v>2022</v>
      </c>
      <c r="F594" t="s">
        <v>21</v>
      </c>
      <c r="G594">
        <v>129</v>
      </c>
      <c r="H594">
        <v>46</v>
      </c>
      <c r="I594">
        <v>10.4</v>
      </c>
      <c r="J594">
        <v>114844</v>
      </c>
      <c r="K594">
        <v>28</v>
      </c>
      <c r="L594">
        <v>32156</v>
      </c>
      <c r="M594">
        <v>147000</v>
      </c>
      <c r="N594">
        <v>172224</v>
      </c>
      <c r="O594">
        <v>75</v>
      </c>
      <c r="P594">
        <v>2.5</v>
      </c>
      <c r="Q594" t="s">
        <v>26</v>
      </c>
      <c r="R594" t="s">
        <v>27</v>
      </c>
    </row>
    <row r="595" spans="1:18" x14ac:dyDescent="0.3">
      <c r="A595" t="s">
        <v>18</v>
      </c>
      <c r="B595" t="s">
        <v>62</v>
      </c>
      <c r="C595">
        <v>348</v>
      </c>
      <c r="D595" t="s">
        <v>34</v>
      </c>
      <c r="E595">
        <v>2021</v>
      </c>
      <c r="F595" t="s">
        <v>21</v>
      </c>
      <c r="G595">
        <v>153</v>
      </c>
      <c r="H595">
        <v>28.3</v>
      </c>
      <c r="I595">
        <v>16.3</v>
      </c>
      <c r="J595">
        <v>171875</v>
      </c>
      <c r="K595">
        <v>28</v>
      </c>
      <c r="L595">
        <v>48125</v>
      </c>
      <c r="M595">
        <v>220000</v>
      </c>
      <c r="N595">
        <v>258760</v>
      </c>
      <c r="O595">
        <v>82</v>
      </c>
      <c r="P595">
        <v>8.6</v>
      </c>
      <c r="Q595" t="s">
        <v>22</v>
      </c>
      <c r="R595" t="s">
        <v>23</v>
      </c>
    </row>
    <row r="596" spans="1:18" x14ac:dyDescent="0.3">
      <c r="A596" t="s">
        <v>50</v>
      </c>
      <c r="B596" t="s">
        <v>72</v>
      </c>
      <c r="C596">
        <v>373</v>
      </c>
      <c r="D596" t="s">
        <v>34</v>
      </c>
      <c r="E596">
        <v>2023</v>
      </c>
      <c r="F596" t="s">
        <v>21</v>
      </c>
      <c r="G596">
        <v>174</v>
      </c>
      <c r="H596">
        <v>19.5</v>
      </c>
      <c r="I596">
        <v>17.100000000000001</v>
      </c>
      <c r="J596">
        <v>234351</v>
      </c>
      <c r="K596">
        <v>31</v>
      </c>
      <c r="L596">
        <v>72649</v>
      </c>
      <c r="M596">
        <v>307000</v>
      </c>
      <c r="N596">
        <v>352734</v>
      </c>
      <c r="O596">
        <v>79</v>
      </c>
      <c r="P596">
        <v>10</v>
      </c>
      <c r="Q596" t="s">
        <v>22</v>
      </c>
      <c r="R596" t="s">
        <v>23</v>
      </c>
    </row>
    <row r="597" spans="1:18" x14ac:dyDescent="0.3">
      <c r="A597" t="s">
        <v>32</v>
      </c>
      <c r="B597" t="s">
        <v>88</v>
      </c>
      <c r="C597">
        <v>349</v>
      </c>
      <c r="D597" t="s">
        <v>34</v>
      </c>
      <c r="E597">
        <v>2022</v>
      </c>
      <c r="F597" t="s">
        <v>35</v>
      </c>
      <c r="G597">
        <v>149</v>
      </c>
      <c r="H597">
        <v>31.6</v>
      </c>
      <c r="I597">
        <v>14.2</v>
      </c>
      <c r="J597">
        <v>152344</v>
      </c>
      <c r="K597">
        <v>28</v>
      </c>
      <c r="L597">
        <v>42656</v>
      </c>
      <c r="M597">
        <v>195000</v>
      </c>
      <c r="N597">
        <v>227957</v>
      </c>
      <c r="O597">
        <v>75</v>
      </c>
      <c r="P597">
        <v>2.8</v>
      </c>
      <c r="Q597" t="s">
        <v>26</v>
      </c>
      <c r="R597" t="s">
        <v>27</v>
      </c>
    </row>
    <row r="598" spans="1:18" x14ac:dyDescent="0.3">
      <c r="A598" t="s">
        <v>39</v>
      </c>
      <c r="B598" t="s">
        <v>60</v>
      </c>
      <c r="C598">
        <v>109</v>
      </c>
      <c r="D598" t="s">
        <v>30</v>
      </c>
      <c r="E598">
        <v>2024</v>
      </c>
      <c r="F598" t="s">
        <v>35</v>
      </c>
      <c r="G598">
        <v>94</v>
      </c>
      <c r="H598">
        <v>64.099999999999994</v>
      </c>
      <c r="I598">
        <v>9.8000000000000007</v>
      </c>
      <c r="J598">
        <v>60156</v>
      </c>
      <c r="K598">
        <v>28</v>
      </c>
      <c r="L598">
        <v>16844</v>
      </c>
      <c r="M598">
        <v>77000</v>
      </c>
      <c r="N598">
        <v>89252</v>
      </c>
      <c r="O598">
        <v>68</v>
      </c>
      <c r="P598">
        <v>14.4</v>
      </c>
      <c r="Q598" t="s">
        <v>37</v>
      </c>
      <c r="R598" t="s">
        <v>38</v>
      </c>
    </row>
    <row r="599" spans="1:18" x14ac:dyDescent="0.3">
      <c r="A599" t="s">
        <v>55</v>
      </c>
      <c r="B599" t="s">
        <v>75</v>
      </c>
      <c r="C599">
        <v>155</v>
      </c>
      <c r="D599" t="s">
        <v>20</v>
      </c>
      <c r="E599">
        <v>2020</v>
      </c>
      <c r="F599" t="s">
        <v>35</v>
      </c>
      <c r="G599">
        <v>124</v>
      </c>
      <c r="H599">
        <v>46.1</v>
      </c>
      <c r="I599">
        <v>14</v>
      </c>
      <c r="J599">
        <v>109375</v>
      </c>
      <c r="K599">
        <v>28</v>
      </c>
      <c r="L599">
        <v>30625</v>
      </c>
      <c r="M599">
        <v>140000</v>
      </c>
      <c r="N599">
        <v>168037</v>
      </c>
      <c r="O599">
        <v>66</v>
      </c>
      <c r="P599">
        <v>4.3</v>
      </c>
      <c r="Q599" t="s">
        <v>26</v>
      </c>
      <c r="R599" t="s">
        <v>27</v>
      </c>
    </row>
    <row r="600" spans="1:18" x14ac:dyDescent="0.3">
      <c r="A600" t="s">
        <v>18</v>
      </c>
      <c r="B600" t="s">
        <v>79</v>
      </c>
      <c r="C600">
        <v>293</v>
      </c>
      <c r="D600" t="s">
        <v>34</v>
      </c>
      <c r="E600">
        <v>2023</v>
      </c>
      <c r="F600" t="s">
        <v>21</v>
      </c>
      <c r="G600">
        <v>150</v>
      </c>
      <c r="H600">
        <v>28.4</v>
      </c>
      <c r="I600">
        <v>16.8</v>
      </c>
      <c r="J600">
        <v>208594</v>
      </c>
      <c r="K600">
        <v>28</v>
      </c>
      <c r="L600">
        <v>58406</v>
      </c>
      <c r="M600">
        <v>267000</v>
      </c>
      <c r="N600">
        <v>306310</v>
      </c>
      <c r="O600">
        <v>77</v>
      </c>
      <c r="P600">
        <v>3.1</v>
      </c>
      <c r="Q600" t="s">
        <v>26</v>
      </c>
      <c r="R600" t="s">
        <v>27</v>
      </c>
    </row>
    <row r="601" spans="1:18" x14ac:dyDescent="0.3">
      <c r="A601" t="s">
        <v>24</v>
      </c>
      <c r="B601" t="s">
        <v>107</v>
      </c>
      <c r="C601">
        <v>102</v>
      </c>
      <c r="D601" t="s">
        <v>30</v>
      </c>
      <c r="E601">
        <v>2025</v>
      </c>
      <c r="F601" t="s">
        <v>31</v>
      </c>
      <c r="G601">
        <v>99</v>
      </c>
      <c r="H601">
        <v>74.5</v>
      </c>
      <c r="I601">
        <v>9.1</v>
      </c>
      <c r="J601">
        <v>46875</v>
      </c>
      <c r="K601">
        <v>28</v>
      </c>
      <c r="L601">
        <v>13125</v>
      </c>
      <c r="M601">
        <v>60000</v>
      </c>
      <c r="N601">
        <v>70966</v>
      </c>
      <c r="O601">
        <v>60</v>
      </c>
      <c r="P601">
        <v>3.2</v>
      </c>
      <c r="Q601" t="s">
        <v>26</v>
      </c>
      <c r="R601" t="s">
        <v>27</v>
      </c>
    </row>
    <row r="602" spans="1:18" x14ac:dyDescent="0.3">
      <c r="A602" t="s">
        <v>42</v>
      </c>
      <c r="B602" t="s">
        <v>110</v>
      </c>
      <c r="C602">
        <v>321</v>
      </c>
      <c r="D602" t="s">
        <v>34</v>
      </c>
      <c r="E602">
        <v>2024</v>
      </c>
      <c r="F602" t="s">
        <v>21</v>
      </c>
      <c r="G602">
        <v>164</v>
      </c>
      <c r="H602">
        <v>35.6</v>
      </c>
      <c r="I602">
        <v>18.100000000000001</v>
      </c>
      <c r="J602">
        <v>342188</v>
      </c>
      <c r="K602">
        <v>28</v>
      </c>
      <c r="L602">
        <v>95812</v>
      </c>
      <c r="M602">
        <v>438000</v>
      </c>
      <c r="N602">
        <v>505878</v>
      </c>
      <c r="O602">
        <v>85</v>
      </c>
      <c r="P602">
        <v>10.3</v>
      </c>
      <c r="Q602" t="s">
        <v>37</v>
      </c>
      <c r="R602" t="s">
        <v>38</v>
      </c>
    </row>
    <row r="603" spans="1:18" x14ac:dyDescent="0.3">
      <c r="A603" t="s">
        <v>50</v>
      </c>
      <c r="B603" t="s">
        <v>104</v>
      </c>
      <c r="C603">
        <v>373</v>
      </c>
      <c r="D603" t="s">
        <v>34</v>
      </c>
      <c r="E603">
        <v>2023</v>
      </c>
      <c r="F603" t="s">
        <v>21</v>
      </c>
      <c r="G603">
        <v>195</v>
      </c>
      <c r="H603">
        <v>20.100000000000001</v>
      </c>
      <c r="I603">
        <v>17.3</v>
      </c>
      <c r="J603">
        <v>267939</v>
      </c>
      <c r="K603">
        <v>31</v>
      </c>
      <c r="L603">
        <v>83061</v>
      </c>
      <c r="M603">
        <v>351000</v>
      </c>
      <c r="N603">
        <v>396713</v>
      </c>
      <c r="O603">
        <v>72</v>
      </c>
      <c r="P603">
        <v>5.3</v>
      </c>
      <c r="Q603" t="s">
        <v>22</v>
      </c>
      <c r="R603" t="s">
        <v>23</v>
      </c>
    </row>
    <row r="604" spans="1:18" x14ac:dyDescent="0.3">
      <c r="A604" t="s">
        <v>24</v>
      </c>
      <c r="B604" t="s">
        <v>74</v>
      </c>
      <c r="C604">
        <v>199</v>
      </c>
      <c r="D604" t="s">
        <v>20</v>
      </c>
      <c r="E604">
        <v>2022</v>
      </c>
      <c r="F604" t="s">
        <v>21</v>
      </c>
      <c r="G604">
        <v>136</v>
      </c>
      <c r="H604">
        <v>38.9</v>
      </c>
      <c r="I604">
        <v>10.8</v>
      </c>
      <c r="J604">
        <v>135156</v>
      </c>
      <c r="K604">
        <v>28</v>
      </c>
      <c r="L604">
        <v>37844</v>
      </c>
      <c r="M604">
        <v>173000</v>
      </c>
      <c r="N604">
        <v>197486</v>
      </c>
      <c r="O604">
        <v>70</v>
      </c>
      <c r="P604">
        <v>11.9</v>
      </c>
      <c r="Q604" t="s">
        <v>37</v>
      </c>
      <c r="R604" t="s">
        <v>38</v>
      </c>
    </row>
    <row r="605" spans="1:18" x14ac:dyDescent="0.3">
      <c r="A605" t="s">
        <v>18</v>
      </c>
      <c r="B605" t="s">
        <v>68</v>
      </c>
      <c r="C605">
        <v>109</v>
      </c>
      <c r="D605" t="s">
        <v>30</v>
      </c>
      <c r="E605">
        <v>2024</v>
      </c>
      <c r="F605" t="s">
        <v>31</v>
      </c>
      <c r="G605">
        <v>97</v>
      </c>
      <c r="H605">
        <v>78</v>
      </c>
      <c r="I605">
        <v>9.1999999999999993</v>
      </c>
      <c r="J605">
        <v>60938</v>
      </c>
      <c r="K605">
        <v>28</v>
      </c>
      <c r="L605">
        <v>17062</v>
      </c>
      <c r="M605">
        <v>78000</v>
      </c>
      <c r="N605">
        <v>91374</v>
      </c>
      <c r="O605">
        <v>60</v>
      </c>
      <c r="P605">
        <v>7.9</v>
      </c>
      <c r="Q605" t="s">
        <v>37</v>
      </c>
      <c r="R605" t="s">
        <v>38</v>
      </c>
    </row>
    <row r="606" spans="1:18" x14ac:dyDescent="0.3">
      <c r="A606" t="s">
        <v>28</v>
      </c>
      <c r="B606" t="s">
        <v>99</v>
      </c>
      <c r="C606">
        <v>199</v>
      </c>
      <c r="D606" t="s">
        <v>20</v>
      </c>
      <c r="E606">
        <v>2022</v>
      </c>
      <c r="F606" t="s">
        <v>21</v>
      </c>
      <c r="G606">
        <v>131</v>
      </c>
      <c r="H606">
        <v>40.700000000000003</v>
      </c>
      <c r="I606">
        <v>11.2</v>
      </c>
      <c r="J606">
        <v>120312</v>
      </c>
      <c r="K606">
        <v>28</v>
      </c>
      <c r="L606">
        <v>33688</v>
      </c>
      <c r="M606">
        <v>154000</v>
      </c>
      <c r="N606">
        <v>177371</v>
      </c>
      <c r="O606">
        <v>68</v>
      </c>
      <c r="P606">
        <v>5</v>
      </c>
      <c r="Q606" t="s">
        <v>26</v>
      </c>
      <c r="R606" t="s">
        <v>27</v>
      </c>
    </row>
    <row r="607" spans="1:18" x14ac:dyDescent="0.3">
      <c r="A607" t="s">
        <v>42</v>
      </c>
      <c r="B607" t="s">
        <v>102</v>
      </c>
      <c r="C607">
        <v>113</v>
      </c>
      <c r="D607" t="s">
        <v>30</v>
      </c>
      <c r="E607">
        <v>2025</v>
      </c>
      <c r="F607" t="s">
        <v>31</v>
      </c>
      <c r="G607">
        <v>118</v>
      </c>
      <c r="H607">
        <v>58.2</v>
      </c>
      <c r="I607">
        <v>13.9</v>
      </c>
      <c r="J607">
        <v>61719</v>
      </c>
      <c r="K607">
        <v>28</v>
      </c>
      <c r="L607">
        <v>17281</v>
      </c>
      <c r="M607">
        <v>79000</v>
      </c>
      <c r="N607">
        <v>92936</v>
      </c>
      <c r="O607">
        <v>57</v>
      </c>
      <c r="P607">
        <v>5</v>
      </c>
      <c r="Q607" t="s">
        <v>26</v>
      </c>
      <c r="R607" t="s">
        <v>27</v>
      </c>
    </row>
    <row r="608" spans="1:18" x14ac:dyDescent="0.3">
      <c r="A608" t="s">
        <v>50</v>
      </c>
      <c r="B608" t="s">
        <v>81</v>
      </c>
      <c r="C608">
        <v>199</v>
      </c>
      <c r="D608" t="s">
        <v>20</v>
      </c>
      <c r="E608">
        <v>2024</v>
      </c>
      <c r="F608" t="s">
        <v>21</v>
      </c>
      <c r="G608">
        <v>126</v>
      </c>
      <c r="H608">
        <v>37.799999999999997</v>
      </c>
      <c r="I608">
        <v>13.9</v>
      </c>
      <c r="J608">
        <v>174219</v>
      </c>
      <c r="K608">
        <v>28</v>
      </c>
      <c r="L608">
        <v>48781</v>
      </c>
      <c r="M608">
        <v>223000</v>
      </c>
      <c r="N608">
        <v>259400</v>
      </c>
      <c r="O608">
        <v>72</v>
      </c>
      <c r="P608">
        <v>7.6</v>
      </c>
      <c r="Q608" t="s">
        <v>22</v>
      </c>
      <c r="R608" t="s">
        <v>23</v>
      </c>
    </row>
    <row r="609" spans="1:18" x14ac:dyDescent="0.3">
      <c r="A609" t="s">
        <v>28</v>
      </c>
      <c r="B609" t="s">
        <v>49</v>
      </c>
      <c r="C609">
        <v>199</v>
      </c>
      <c r="D609" t="s">
        <v>20</v>
      </c>
      <c r="E609">
        <v>2023</v>
      </c>
      <c r="F609" t="s">
        <v>21</v>
      </c>
      <c r="G609">
        <v>128</v>
      </c>
      <c r="H609">
        <v>41.1</v>
      </c>
      <c r="I609">
        <v>12.8</v>
      </c>
      <c r="J609">
        <v>129688</v>
      </c>
      <c r="K609">
        <v>28</v>
      </c>
      <c r="L609">
        <v>36312</v>
      </c>
      <c r="M609">
        <v>166000</v>
      </c>
      <c r="N609">
        <v>191457</v>
      </c>
      <c r="O609">
        <v>74</v>
      </c>
      <c r="P609">
        <v>3.4</v>
      </c>
      <c r="Q609" t="s">
        <v>26</v>
      </c>
      <c r="R609" t="s">
        <v>27</v>
      </c>
    </row>
    <row r="610" spans="1:18" x14ac:dyDescent="0.3">
      <c r="A610" t="s">
        <v>18</v>
      </c>
      <c r="B610" t="s">
        <v>44</v>
      </c>
      <c r="C610">
        <v>348</v>
      </c>
      <c r="D610" t="s">
        <v>34</v>
      </c>
      <c r="E610">
        <v>2024</v>
      </c>
      <c r="F610" t="s">
        <v>21</v>
      </c>
      <c r="G610">
        <v>149</v>
      </c>
      <c r="H610">
        <v>28.5</v>
      </c>
      <c r="I610">
        <v>18.2</v>
      </c>
      <c r="J610">
        <v>156250</v>
      </c>
      <c r="K610">
        <v>28</v>
      </c>
      <c r="L610">
        <v>43750</v>
      </c>
      <c r="M610">
        <v>200000</v>
      </c>
      <c r="N610">
        <v>233825</v>
      </c>
      <c r="O610">
        <v>81</v>
      </c>
      <c r="P610">
        <v>5.3</v>
      </c>
      <c r="Q610" t="s">
        <v>22</v>
      </c>
      <c r="R610" t="s">
        <v>23</v>
      </c>
    </row>
    <row r="611" spans="1:18" x14ac:dyDescent="0.3">
      <c r="A611" t="s">
        <v>24</v>
      </c>
      <c r="B611" t="s">
        <v>74</v>
      </c>
      <c r="C611">
        <v>199</v>
      </c>
      <c r="D611" t="s">
        <v>20</v>
      </c>
      <c r="E611">
        <v>2022</v>
      </c>
      <c r="F611" t="s">
        <v>21</v>
      </c>
      <c r="G611">
        <v>135</v>
      </c>
      <c r="H611">
        <v>45.4</v>
      </c>
      <c r="I611">
        <v>11.7</v>
      </c>
      <c r="J611">
        <v>126562</v>
      </c>
      <c r="K611">
        <v>28</v>
      </c>
      <c r="L611">
        <v>35438</v>
      </c>
      <c r="M611">
        <v>162000</v>
      </c>
      <c r="N611">
        <v>185310</v>
      </c>
      <c r="O611">
        <v>74</v>
      </c>
      <c r="P611">
        <v>10.199999999999999</v>
      </c>
      <c r="Q611" t="s">
        <v>37</v>
      </c>
      <c r="R611" t="s">
        <v>38</v>
      </c>
    </row>
    <row r="612" spans="1:18" x14ac:dyDescent="0.3">
      <c r="A612" t="s">
        <v>42</v>
      </c>
      <c r="B612" t="s">
        <v>54</v>
      </c>
      <c r="C612">
        <v>155</v>
      </c>
      <c r="D612" t="s">
        <v>20</v>
      </c>
      <c r="E612">
        <v>2024</v>
      </c>
      <c r="F612" t="s">
        <v>21</v>
      </c>
      <c r="G612">
        <v>122</v>
      </c>
      <c r="H612">
        <v>41.9</v>
      </c>
      <c r="I612">
        <v>11.9</v>
      </c>
      <c r="J612">
        <v>150000</v>
      </c>
      <c r="K612">
        <v>28</v>
      </c>
      <c r="L612">
        <v>42000</v>
      </c>
      <c r="M612">
        <v>192000</v>
      </c>
      <c r="N612">
        <v>221316</v>
      </c>
      <c r="O612">
        <v>76</v>
      </c>
      <c r="P612">
        <v>11.4</v>
      </c>
      <c r="Q612" t="s">
        <v>37</v>
      </c>
      <c r="R612" t="s">
        <v>38</v>
      </c>
    </row>
    <row r="613" spans="1:18" x14ac:dyDescent="0.3">
      <c r="A613" t="s">
        <v>50</v>
      </c>
      <c r="B613" t="s">
        <v>109</v>
      </c>
      <c r="C613">
        <v>373</v>
      </c>
      <c r="D613" t="s">
        <v>34</v>
      </c>
      <c r="E613">
        <v>2020</v>
      </c>
      <c r="F613" t="s">
        <v>21</v>
      </c>
      <c r="G613">
        <v>183</v>
      </c>
      <c r="H613">
        <v>23.7</v>
      </c>
      <c r="I613">
        <v>18.899999999999999</v>
      </c>
      <c r="J613">
        <v>270992</v>
      </c>
      <c r="K613">
        <v>31</v>
      </c>
      <c r="L613">
        <v>84008</v>
      </c>
      <c r="M613">
        <v>355000</v>
      </c>
      <c r="N613">
        <v>411190</v>
      </c>
      <c r="O613">
        <v>79</v>
      </c>
      <c r="P613">
        <v>11.3</v>
      </c>
      <c r="Q613" t="s">
        <v>37</v>
      </c>
      <c r="R613" t="s">
        <v>38</v>
      </c>
    </row>
    <row r="614" spans="1:18" x14ac:dyDescent="0.3">
      <c r="A614" t="s">
        <v>24</v>
      </c>
      <c r="B614" t="s">
        <v>107</v>
      </c>
      <c r="C614">
        <v>102</v>
      </c>
      <c r="D614" t="s">
        <v>30</v>
      </c>
      <c r="E614">
        <v>2023</v>
      </c>
      <c r="F614" t="s">
        <v>31</v>
      </c>
      <c r="G614">
        <v>90</v>
      </c>
      <c r="H614">
        <v>63.9</v>
      </c>
      <c r="I614">
        <v>9.3000000000000007</v>
      </c>
      <c r="J614">
        <v>47656</v>
      </c>
      <c r="K614">
        <v>28</v>
      </c>
      <c r="L614">
        <v>13344</v>
      </c>
      <c r="M614">
        <v>61000</v>
      </c>
      <c r="N614">
        <v>73468</v>
      </c>
      <c r="O614">
        <v>55</v>
      </c>
      <c r="P614">
        <v>4.8</v>
      </c>
      <c r="Q614" t="s">
        <v>26</v>
      </c>
      <c r="R614" t="s">
        <v>27</v>
      </c>
    </row>
    <row r="615" spans="1:18" x14ac:dyDescent="0.3">
      <c r="A615" t="s">
        <v>32</v>
      </c>
      <c r="B615" t="s">
        <v>92</v>
      </c>
      <c r="C615">
        <v>452</v>
      </c>
      <c r="D615" t="s">
        <v>34</v>
      </c>
      <c r="E615">
        <v>2020</v>
      </c>
      <c r="F615" t="s">
        <v>21</v>
      </c>
      <c r="G615">
        <v>209</v>
      </c>
      <c r="H615">
        <v>22.1</v>
      </c>
      <c r="I615">
        <v>17.2</v>
      </c>
      <c r="J615">
        <v>201527</v>
      </c>
      <c r="K615">
        <v>31</v>
      </c>
      <c r="L615">
        <v>62473</v>
      </c>
      <c r="M615">
        <v>264000</v>
      </c>
      <c r="N615">
        <v>301808</v>
      </c>
      <c r="O615">
        <v>87</v>
      </c>
      <c r="P615">
        <v>3.6</v>
      </c>
      <c r="Q615" t="s">
        <v>26</v>
      </c>
      <c r="R615" t="s">
        <v>27</v>
      </c>
    </row>
    <row r="616" spans="1:18" x14ac:dyDescent="0.3">
      <c r="A616" t="s">
        <v>24</v>
      </c>
      <c r="B616" t="s">
        <v>101</v>
      </c>
      <c r="C616">
        <v>102</v>
      </c>
      <c r="D616" t="s">
        <v>30</v>
      </c>
      <c r="E616">
        <v>2022</v>
      </c>
      <c r="F616" t="s">
        <v>31</v>
      </c>
      <c r="G616">
        <v>93</v>
      </c>
      <c r="H616">
        <v>75</v>
      </c>
      <c r="I616">
        <v>8.1999999999999993</v>
      </c>
      <c r="J616">
        <v>53125</v>
      </c>
      <c r="K616">
        <v>28</v>
      </c>
      <c r="L616">
        <v>14875</v>
      </c>
      <c r="M616">
        <v>68000</v>
      </c>
      <c r="N616">
        <v>83783</v>
      </c>
      <c r="O616">
        <v>65</v>
      </c>
      <c r="P616">
        <v>10.8</v>
      </c>
      <c r="Q616" t="s">
        <v>37</v>
      </c>
      <c r="R616" t="s">
        <v>38</v>
      </c>
    </row>
    <row r="617" spans="1:18" x14ac:dyDescent="0.3">
      <c r="A617" t="s">
        <v>32</v>
      </c>
      <c r="B617" t="s">
        <v>92</v>
      </c>
      <c r="C617">
        <v>452</v>
      </c>
      <c r="D617" t="s">
        <v>34</v>
      </c>
      <c r="E617">
        <v>2021</v>
      </c>
      <c r="F617" t="s">
        <v>21</v>
      </c>
      <c r="G617">
        <v>186</v>
      </c>
      <c r="H617">
        <v>23.5</v>
      </c>
      <c r="I617">
        <v>13.7</v>
      </c>
      <c r="J617">
        <v>229008</v>
      </c>
      <c r="K617">
        <v>31</v>
      </c>
      <c r="L617">
        <v>70992</v>
      </c>
      <c r="M617">
        <v>300000</v>
      </c>
      <c r="N617">
        <v>339791</v>
      </c>
      <c r="O617">
        <v>82</v>
      </c>
      <c r="P617">
        <v>13.9</v>
      </c>
      <c r="Q617" t="s">
        <v>37</v>
      </c>
      <c r="R617" t="s">
        <v>38</v>
      </c>
    </row>
    <row r="618" spans="1:18" x14ac:dyDescent="0.3">
      <c r="A618" t="s">
        <v>18</v>
      </c>
      <c r="B618" t="s">
        <v>105</v>
      </c>
      <c r="C618">
        <v>471</v>
      </c>
      <c r="D618" t="s">
        <v>34</v>
      </c>
      <c r="E618">
        <v>2025</v>
      </c>
      <c r="F618" t="s">
        <v>21</v>
      </c>
      <c r="G618">
        <v>193</v>
      </c>
      <c r="H618">
        <v>22.6</v>
      </c>
      <c r="I618">
        <v>18.3</v>
      </c>
      <c r="J618">
        <v>442748</v>
      </c>
      <c r="K618">
        <v>31</v>
      </c>
      <c r="L618">
        <v>137252</v>
      </c>
      <c r="M618">
        <v>580000</v>
      </c>
      <c r="N618">
        <v>676604</v>
      </c>
      <c r="O618">
        <v>84</v>
      </c>
      <c r="P618">
        <v>11</v>
      </c>
      <c r="Q618" t="s">
        <v>37</v>
      </c>
      <c r="R618" t="s">
        <v>38</v>
      </c>
    </row>
    <row r="619" spans="1:18" x14ac:dyDescent="0.3">
      <c r="A619" t="s">
        <v>18</v>
      </c>
      <c r="B619" t="s">
        <v>19</v>
      </c>
      <c r="C619">
        <v>184</v>
      </c>
      <c r="D619" t="s">
        <v>20</v>
      </c>
      <c r="E619">
        <v>2022</v>
      </c>
      <c r="F619" t="s">
        <v>21</v>
      </c>
      <c r="G619">
        <v>135</v>
      </c>
      <c r="H619">
        <v>46.3</v>
      </c>
      <c r="I619">
        <v>10.6</v>
      </c>
      <c r="J619">
        <v>107812</v>
      </c>
      <c r="K619">
        <v>28</v>
      </c>
      <c r="L619">
        <v>30188</v>
      </c>
      <c r="M619">
        <v>138000</v>
      </c>
      <c r="N619">
        <v>161095</v>
      </c>
      <c r="O619">
        <v>80</v>
      </c>
      <c r="P619">
        <v>5.4</v>
      </c>
      <c r="Q619" t="s">
        <v>22</v>
      </c>
      <c r="R619" t="s">
        <v>23</v>
      </c>
    </row>
    <row r="620" spans="1:18" x14ac:dyDescent="0.3">
      <c r="A620" t="s">
        <v>50</v>
      </c>
      <c r="B620" t="s">
        <v>104</v>
      </c>
      <c r="C620">
        <v>373</v>
      </c>
      <c r="D620" t="s">
        <v>34</v>
      </c>
      <c r="E620">
        <v>2020</v>
      </c>
      <c r="F620" t="s">
        <v>21</v>
      </c>
      <c r="G620">
        <v>179</v>
      </c>
      <c r="H620">
        <v>20.3</v>
      </c>
      <c r="I620">
        <v>14.6</v>
      </c>
      <c r="J620">
        <v>291603</v>
      </c>
      <c r="K620">
        <v>31</v>
      </c>
      <c r="L620">
        <v>90397</v>
      </c>
      <c r="M620">
        <v>382000</v>
      </c>
      <c r="N620">
        <v>442387</v>
      </c>
      <c r="O620">
        <v>71</v>
      </c>
      <c r="P620">
        <v>11.4</v>
      </c>
      <c r="Q620" t="s">
        <v>37</v>
      </c>
      <c r="R620" t="s">
        <v>38</v>
      </c>
    </row>
    <row r="621" spans="1:18" x14ac:dyDescent="0.3">
      <c r="A621" t="s">
        <v>18</v>
      </c>
      <c r="B621" t="s">
        <v>62</v>
      </c>
      <c r="C621">
        <v>348</v>
      </c>
      <c r="D621" t="s">
        <v>34</v>
      </c>
      <c r="E621">
        <v>2023</v>
      </c>
      <c r="F621" t="s">
        <v>21</v>
      </c>
      <c r="G621">
        <v>164</v>
      </c>
      <c r="H621">
        <v>31.4</v>
      </c>
      <c r="I621">
        <v>18.3</v>
      </c>
      <c r="J621">
        <v>177344</v>
      </c>
      <c r="K621">
        <v>28</v>
      </c>
      <c r="L621">
        <v>49656</v>
      </c>
      <c r="M621">
        <v>227000</v>
      </c>
      <c r="N621">
        <v>258035</v>
      </c>
      <c r="O621">
        <v>73</v>
      </c>
      <c r="P621">
        <v>2.1</v>
      </c>
      <c r="Q621" t="s">
        <v>26</v>
      </c>
      <c r="R621" t="s">
        <v>27</v>
      </c>
    </row>
    <row r="622" spans="1:18" x14ac:dyDescent="0.3">
      <c r="A622" t="s">
        <v>28</v>
      </c>
      <c r="B622" t="s">
        <v>69</v>
      </c>
      <c r="C622">
        <v>125</v>
      </c>
      <c r="D622" t="s">
        <v>30</v>
      </c>
      <c r="E622">
        <v>2022</v>
      </c>
      <c r="F622" t="s">
        <v>21</v>
      </c>
      <c r="G622">
        <v>108</v>
      </c>
      <c r="H622">
        <v>49.2</v>
      </c>
      <c r="I622">
        <v>12.7</v>
      </c>
      <c r="J622">
        <v>78125</v>
      </c>
      <c r="K622">
        <v>28</v>
      </c>
      <c r="L622">
        <v>21875</v>
      </c>
      <c r="M622">
        <v>100000</v>
      </c>
      <c r="N622">
        <v>116880</v>
      </c>
      <c r="O622">
        <v>69</v>
      </c>
      <c r="P622">
        <v>1.6</v>
      </c>
      <c r="Q622" t="s">
        <v>57</v>
      </c>
      <c r="R622" t="s">
        <v>58</v>
      </c>
    </row>
    <row r="623" spans="1:18" x14ac:dyDescent="0.3">
      <c r="A623" t="s">
        <v>18</v>
      </c>
      <c r="B623" t="s">
        <v>61</v>
      </c>
      <c r="C623">
        <v>124</v>
      </c>
      <c r="D623" t="s">
        <v>30</v>
      </c>
      <c r="E623">
        <v>2025</v>
      </c>
      <c r="F623" t="s">
        <v>21</v>
      </c>
      <c r="G623">
        <v>116</v>
      </c>
      <c r="H623">
        <v>50.8</v>
      </c>
      <c r="I623">
        <v>13.8</v>
      </c>
      <c r="J623">
        <v>79688</v>
      </c>
      <c r="K623">
        <v>28</v>
      </c>
      <c r="L623">
        <v>22312</v>
      </c>
      <c r="M623">
        <v>102000</v>
      </c>
      <c r="N623">
        <v>120212</v>
      </c>
      <c r="O623">
        <v>66</v>
      </c>
      <c r="P623">
        <v>2.2999999999999998</v>
      </c>
      <c r="Q623" t="s">
        <v>26</v>
      </c>
      <c r="R623" t="s">
        <v>27</v>
      </c>
    </row>
    <row r="624" spans="1:18" x14ac:dyDescent="0.3">
      <c r="A624" t="s">
        <v>32</v>
      </c>
      <c r="B624" t="s">
        <v>33</v>
      </c>
      <c r="C624">
        <v>346</v>
      </c>
      <c r="D624" t="s">
        <v>34</v>
      </c>
      <c r="E624">
        <v>2024</v>
      </c>
      <c r="F624" t="s">
        <v>35</v>
      </c>
      <c r="G624">
        <v>158</v>
      </c>
      <c r="H624">
        <v>30</v>
      </c>
      <c r="I624">
        <v>18.3</v>
      </c>
      <c r="J624">
        <v>141406</v>
      </c>
      <c r="K624">
        <v>28</v>
      </c>
      <c r="L624">
        <v>39594</v>
      </c>
      <c r="M624">
        <v>181000</v>
      </c>
      <c r="N624">
        <v>214438</v>
      </c>
      <c r="O624">
        <v>67</v>
      </c>
      <c r="P624">
        <v>2.4</v>
      </c>
      <c r="Q624" t="s">
        <v>26</v>
      </c>
      <c r="R624" t="s">
        <v>27</v>
      </c>
    </row>
    <row r="625" spans="1:18" x14ac:dyDescent="0.3">
      <c r="A625" t="s">
        <v>55</v>
      </c>
      <c r="B625" t="s">
        <v>89</v>
      </c>
      <c r="C625">
        <v>155</v>
      </c>
      <c r="D625" t="s">
        <v>20</v>
      </c>
      <c r="E625">
        <v>2025</v>
      </c>
      <c r="F625" t="s">
        <v>35</v>
      </c>
      <c r="G625">
        <v>123</v>
      </c>
      <c r="H625">
        <v>37</v>
      </c>
      <c r="I625">
        <v>11.9</v>
      </c>
      <c r="J625">
        <v>100781</v>
      </c>
      <c r="K625">
        <v>28</v>
      </c>
      <c r="L625">
        <v>28219</v>
      </c>
      <c r="M625">
        <v>129000</v>
      </c>
      <c r="N625">
        <v>149106</v>
      </c>
      <c r="O625">
        <v>61</v>
      </c>
      <c r="P625">
        <v>13.9</v>
      </c>
      <c r="Q625" t="s">
        <v>37</v>
      </c>
      <c r="R625" t="s">
        <v>38</v>
      </c>
    </row>
    <row r="626" spans="1:18" x14ac:dyDescent="0.3">
      <c r="A626" t="s">
        <v>24</v>
      </c>
      <c r="B626" t="s">
        <v>84</v>
      </c>
      <c r="C626">
        <v>124</v>
      </c>
      <c r="D626" t="s">
        <v>30</v>
      </c>
      <c r="E626">
        <v>2023</v>
      </c>
      <c r="F626" t="s">
        <v>35</v>
      </c>
      <c r="G626">
        <v>118</v>
      </c>
      <c r="H626">
        <v>61.4</v>
      </c>
      <c r="I626">
        <v>10.5</v>
      </c>
      <c r="J626">
        <v>73438</v>
      </c>
      <c r="K626">
        <v>28</v>
      </c>
      <c r="L626">
        <v>20562</v>
      </c>
      <c r="M626">
        <v>94000</v>
      </c>
      <c r="N626">
        <v>111734</v>
      </c>
      <c r="O626">
        <v>65</v>
      </c>
      <c r="P626">
        <v>8.1999999999999993</v>
      </c>
      <c r="Q626" t="s">
        <v>37</v>
      </c>
      <c r="R626" t="s">
        <v>38</v>
      </c>
    </row>
    <row r="627" spans="1:18" x14ac:dyDescent="0.3">
      <c r="A627" t="s">
        <v>32</v>
      </c>
      <c r="B627" t="s">
        <v>66</v>
      </c>
      <c r="C627">
        <v>349</v>
      </c>
      <c r="D627" t="s">
        <v>34</v>
      </c>
      <c r="E627">
        <v>2023</v>
      </c>
      <c r="F627" t="s">
        <v>35</v>
      </c>
      <c r="G627">
        <v>157</v>
      </c>
      <c r="H627">
        <v>33.6</v>
      </c>
      <c r="I627">
        <v>13.8</v>
      </c>
      <c r="J627">
        <v>153906</v>
      </c>
      <c r="K627">
        <v>28</v>
      </c>
      <c r="L627">
        <v>43094</v>
      </c>
      <c r="M627">
        <v>197000</v>
      </c>
      <c r="N627">
        <v>223554</v>
      </c>
      <c r="O627">
        <v>66</v>
      </c>
      <c r="P627">
        <v>2.2000000000000002</v>
      </c>
      <c r="Q627" t="s">
        <v>26</v>
      </c>
      <c r="R627" t="s">
        <v>27</v>
      </c>
    </row>
    <row r="628" spans="1:18" x14ac:dyDescent="0.3">
      <c r="A628" t="s">
        <v>39</v>
      </c>
      <c r="B628" t="s">
        <v>71</v>
      </c>
      <c r="C628">
        <v>159</v>
      </c>
      <c r="D628" t="s">
        <v>20</v>
      </c>
      <c r="E628">
        <v>2023</v>
      </c>
      <c r="F628" t="s">
        <v>21</v>
      </c>
      <c r="G628">
        <v>133</v>
      </c>
      <c r="H628">
        <v>39.200000000000003</v>
      </c>
      <c r="I628">
        <v>10.8</v>
      </c>
      <c r="J628">
        <v>104688</v>
      </c>
      <c r="K628">
        <v>28</v>
      </c>
      <c r="L628">
        <v>29312</v>
      </c>
      <c r="M628">
        <v>134000</v>
      </c>
      <c r="N628">
        <v>158345</v>
      </c>
      <c r="O628">
        <v>70</v>
      </c>
      <c r="P628">
        <v>14.8</v>
      </c>
      <c r="Q628" t="s">
        <v>37</v>
      </c>
      <c r="R628" t="s">
        <v>38</v>
      </c>
    </row>
    <row r="629" spans="1:18" x14ac:dyDescent="0.3">
      <c r="A629" t="s">
        <v>28</v>
      </c>
      <c r="B629" t="s">
        <v>49</v>
      </c>
      <c r="C629">
        <v>199</v>
      </c>
      <c r="D629" t="s">
        <v>20</v>
      </c>
      <c r="E629">
        <v>2023</v>
      </c>
      <c r="F629" t="s">
        <v>21</v>
      </c>
      <c r="G629">
        <v>135</v>
      </c>
      <c r="H629">
        <v>38.799999999999997</v>
      </c>
      <c r="I629">
        <v>12.1</v>
      </c>
      <c r="J629">
        <v>128906</v>
      </c>
      <c r="K629">
        <v>28</v>
      </c>
      <c r="L629">
        <v>36094</v>
      </c>
      <c r="M629">
        <v>165000</v>
      </c>
      <c r="N629">
        <v>195050</v>
      </c>
      <c r="O629">
        <v>78</v>
      </c>
      <c r="P629">
        <v>2.5</v>
      </c>
      <c r="Q629" t="s">
        <v>26</v>
      </c>
      <c r="R629" t="s">
        <v>27</v>
      </c>
    </row>
    <row r="630" spans="1:18" x14ac:dyDescent="0.3">
      <c r="A630" t="s">
        <v>18</v>
      </c>
      <c r="B630" t="s">
        <v>68</v>
      </c>
      <c r="C630">
        <v>109</v>
      </c>
      <c r="D630" t="s">
        <v>30</v>
      </c>
      <c r="E630">
        <v>2021</v>
      </c>
      <c r="F630" t="s">
        <v>31</v>
      </c>
      <c r="G630">
        <v>90</v>
      </c>
      <c r="H630">
        <v>74.099999999999994</v>
      </c>
      <c r="I630">
        <v>8.6999999999999993</v>
      </c>
      <c r="J630">
        <v>57031</v>
      </c>
      <c r="K630">
        <v>28</v>
      </c>
      <c r="L630">
        <v>15969</v>
      </c>
      <c r="M630">
        <v>73000</v>
      </c>
      <c r="N630">
        <v>85614</v>
      </c>
      <c r="O630">
        <v>58</v>
      </c>
      <c r="P630">
        <v>6.1</v>
      </c>
      <c r="Q630" t="s">
        <v>37</v>
      </c>
      <c r="R630" t="s">
        <v>38</v>
      </c>
    </row>
    <row r="631" spans="1:18" x14ac:dyDescent="0.3">
      <c r="A631" t="s">
        <v>50</v>
      </c>
      <c r="B631" t="s">
        <v>52</v>
      </c>
      <c r="C631">
        <v>199</v>
      </c>
      <c r="D631" t="s">
        <v>20</v>
      </c>
      <c r="E631">
        <v>2025</v>
      </c>
      <c r="F631" t="s">
        <v>21</v>
      </c>
      <c r="G631">
        <v>138</v>
      </c>
      <c r="H631">
        <v>44.7</v>
      </c>
      <c r="I631">
        <v>13.8</v>
      </c>
      <c r="J631">
        <v>146875</v>
      </c>
      <c r="K631">
        <v>28</v>
      </c>
      <c r="L631">
        <v>41125</v>
      </c>
      <c r="M631">
        <v>188000</v>
      </c>
      <c r="N631">
        <v>220849</v>
      </c>
      <c r="O631">
        <v>77</v>
      </c>
      <c r="P631">
        <v>4.8</v>
      </c>
      <c r="Q631" t="s">
        <v>26</v>
      </c>
      <c r="R631" t="s">
        <v>27</v>
      </c>
    </row>
    <row r="632" spans="1:18" x14ac:dyDescent="0.3">
      <c r="A632" t="s">
        <v>32</v>
      </c>
      <c r="B632" t="s">
        <v>92</v>
      </c>
      <c r="C632">
        <v>452</v>
      </c>
      <c r="D632" t="s">
        <v>34</v>
      </c>
      <c r="E632">
        <v>2022</v>
      </c>
      <c r="F632" t="s">
        <v>21</v>
      </c>
      <c r="G632">
        <v>169</v>
      </c>
      <c r="H632">
        <v>22.1</v>
      </c>
      <c r="I632">
        <v>16.399999999999999</v>
      </c>
      <c r="J632">
        <v>216794</v>
      </c>
      <c r="K632">
        <v>31</v>
      </c>
      <c r="L632">
        <v>67206</v>
      </c>
      <c r="M632">
        <v>284000</v>
      </c>
      <c r="N632">
        <v>328373</v>
      </c>
      <c r="O632">
        <v>84</v>
      </c>
      <c r="P632">
        <v>2.5</v>
      </c>
      <c r="Q632" t="s">
        <v>26</v>
      </c>
      <c r="R632" t="s">
        <v>27</v>
      </c>
    </row>
    <row r="633" spans="1:18" x14ac:dyDescent="0.3">
      <c r="A633" t="s">
        <v>24</v>
      </c>
      <c r="B633" t="s">
        <v>106</v>
      </c>
      <c r="C633">
        <v>373</v>
      </c>
      <c r="D633" t="s">
        <v>34</v>
      </c>
      <c r="E633">
        <v>2021</v>
      </c>
      <c r="F633" t="s">
        <v>21</v>
      </c>
      <c r="G633">
        <v>191</v>
      </c>
      <c r="H633">
        <v>23.7</v>
      </c>
      <c r="I633">
        <v>15.7</v>
      </c>
      <c r="J633">
        <v>187023</v>
      </c>
      <c r="K633">
        <v>31</v>
      </c>
      <c r="L633">
        <v>57977</v>
      </c>
      <c r="M633">
        <v>245000</v>
      </c>
      <c r="N633">
        <v>275973</v>
      </c>
      <c r="O633">
        <v>80</v>
      </c>
      <c r="P633">
        <v>1.4</v>
      </c>
      <c r="Q633" t="s">
        <v>57</v>
      </c>
      <c r="R633" t="s">
        <v>58</v>
      </c>
    </row>
    <row r="634" spans="1:18" x14ac:dyDescent="0.3">
      <c r="A634" t="s">
        <v>32</v>
      </c>
      <c r="B634" t="s">
        <v>88</v>
      </c>
      <c r="C634">
        <v>349</v>
      </c>
      <c r="D634" t="s">
        <v>34</v>
      </c>
      <c r="E634">
        <v>2021</v>
      </c>
      <c r="F634" t="s">
        <v>35</v>
      </c>
      <c r="G634">
        <v>156</v>
      </c>
      <c r="H634">
        <v>33.200000000000003</v>
      </c>
      <c r="I634">
        <v>15.1</v>
      </c>
      <c r="J634">
        <v>143750</v>
      </c>
      <c r="K634">
        <v>28</v>
      </c>
      <c r="L634">
        <v>40250</v>
      </c>
      <c r="M634">
        <v>184000</v>
      </c>
      <c r="N634">
        <v>211485</v>
      </c>
      <c r="O634">
        <v>73</v>
      </c>
      <c r="P634">
        <v>12.1</v>
      </c>
      <c r="Q634" t="s">
        <v>37</v>
      </c>
      <c r="R634" t="s">
        <v>38</v>
      </c>
    </row>
    <row r="635" spans="1:18" x14ac:dyDescent="0.3">
      <c r="A635" t="s">
        <v>42</v>
      </c>
      <c r="B635" t="s">
        <v>86</v>
      </c>
      <c r="C635">
        <v>155</v>
      </c>
      <c r="D635" t="s">
        <v>20</v>
      </c>
      <c r="E635">
        <v>2020</v>
      </c>
      <c r="F635" t="s">
        <v>21</v>
      </c>
      <c r="G635">
        <v>121</v>
      </c>
      <c r="H635">
        <v>42.5</v>
      </c>
      <c r="I635">
        <v>11.5</v>
      </c>
      <c r="J635">
        <v>156250</v>
      </c>
      <c r="K635">
        <v>28</v>
      </c>
      <c r="L635">
        <v>43750</v>
      </c>
      <c r="M635">
        <v>200000</v>
      </c>
      <c r="N635">
        <v>229682</v>
      </c>
      <c r="O635">
        <v>73</v>
      </c>
      <c r="P635">
        <v>13.3</v>
      </c>
      <c r="Q635" t="s">
        <v>37</v>
      </c>
      <c r="R635" t="s">
        <v>38</v>
      </c>
    </row>
    <row r="636" spans="1:18" x14ac:dyDescent="0.3">
      <c r="A636" t="s">
        <v>32</v>
      </c>
      <c r="B636" t="s">
        <v>66</v>
      </c>
      <c r="C636">
        <v>349</v>
      </c>
      <c r="D636" t="s">
        <v>34</v>
      </c>
      <c r="E636">
        <v>2021</v>
      </c>
      <c r="F636" t="s">
        <v>35</v>
      </c>
      <c r="G636">
        <v>164</v>
      </c>
      <c r="H636">
        <v>32.4</v>
      </c>
      <c r="I636">
        <v>16.399999999999999</v>
      </c>
      <c r="J636">
        <v>173438</v>
      </c>
      <c r="K636">
        <v>28</v>
      </c>
      <c r="L636">
        <v>48562</v>
      </c>
      <c r="M636">
        <v>222000</v>
      </c>
      <c r="N636">
        <v>253234</v>
      </c>
      <c r="O636">
        <v>70</v>
      </c>
      <c r="P636">
        <v>13.4</v>
      </c>
      <c r="Q636" t="s">
        <v>37</v>
      </c>
      <c r="R636" t="s">
        <v>38</v>
      </c>
    </row>
    <row r="637" spans="1:18" x14ac:dyDescent="0.3">
      <c r="A637" t="s">
        <v>18</v>
      </c>
      <c r="B637" t="s">
        <v>44</v>
      </c>
      <c r="C637">
        <v>348</v>
      </c>
      <c r="D637" t="s">
        <v>34</v>
      </c>
      <c r="E637">
        <v>2024</v>
      </c>
      <c r="F637" t="s">
        <v>21</v>
      </c>
      <c r="G637">
        <v>161</v>
      </c>
      <c r="H637">
        <v>33.299999999999997</v>
      </c>
      <c r="I637">
        <v>16.3</v>
      </c>
      <c r="J637">
        <v>159375</v>
      </c>
      <c r="K637">
        <v>28</v>
      </c>
      <c r="L637">
        <v>44625</v>
      </c>
      <c r="M637">
        <v>204000</v>
      </c>
      <c r="N637">
        <v>237062</v>
      </c>
      <c r="O637">
        <v>80</v>
      </c>
      <c r="P637">
        <v>10.6</v>
      </c>
      <c r="Q637" t="s">
        <v>37</v>
      </c>
      <c r="R637" t="s">
        <v>38</v>
      </c>
    </row>
    <row r="638" spans="1:18" x14ac:dyDescent="0.3">
      <c r="A638" t="s">
        <v>55</v>
      </c>
      <c r="B638" t="s">
        <v>56</v>
      </c>
      <c r="C638">
        <v>249</v>
      </c>
      <c r="D638" t="s">
        <v>34</v>
      </c>
      <c r="E638">
        <v>2022</v>
      </c>
      <c r="F638" t="s">
        <v>21</v>
      </c>
      <c r="G638">
        <v>152</v>
      </c>
      <c r="H638">
        <v>32.700000000000003</v>
      </c>
      <c r="I638">
        <v>15.2</v>
      </c>
      <c r="J638">
        <v>181250</v>
      </c>
      <c r="K638">
        <v>28</v>
      </c>
      <c r="L638">
        <v>50750</v>
      </c>
      <c r="M638">
        <v>232000</v>
      </c>
      <c r="N638">
        <v>268064</v>
      </c>
      <c r="O638">
        <v>77</v>
      </c>
      <c r="P638">
        <v>10.5</v>
      </c>
      <c r="Q638" t="s">
        <v>37</v>
      </c>
      <c r="R638" t="s">
        <v>38</v>
      </c>
    </row>
    <row r="639" spans="1:18" x14ac:dyDescent="0.3">
      <c r="A639" t="s">
        <v>28</v>
      </c>
      <c r="B639" t="s">
        <v>63</v>
      </c>
      <c r="C639">
        <v>125</v>
      </c>
      <c r="D639" t="s">
        <v>30</v>
      </c>
      <c r="E639">
        <v>2022</v>
      </c>
      <c r="F639" t="s">
        <v>35</v>
      </c>
      <c r="G639">
        <v>115</v>
      </c>
      <c r="H639">
        <v>48.8</v>
      </c>
      <c r="I639">
        <v>14</v>
      </c>
      <c r="J639">
        <v>75000</v>
      </c>
      <c r="K639">
        <v>28</v>
      </c>
      <c r="L639">
        <v>21000</v>
      </c>
      <c r="M639">
        <v>96000</v>
      </c>
      <c r="N639">
        <v>112147</v>
      </c>
      <c r="O639">
        <v>64</v>
      </c>
      <c r="P639">
        <v>2.4</v>
      </c>
      <c r="Q639" t="s">
        <v>26</v>
      </c>
      <c r="R639" t="s">
        <v>27</v>
      </c>
    </row>
    <row r="640" spans="1:18" x14ac:dyDescent="0.3">
      <c r="A640" t="s">
        <v>50</v>
      </c>
      <c r="B640" t="s">
        <v>51</v>
      </c>
      <c r="C640">
        <v>248</v>
      </c>
      <c r="D640" t="s">
        <v>34</v>
      </c>
      <c r="E640">
        <v>2020</v>
      </c>
      <c r="F640" t="s">
        <v>21</v>
      </c>
      <c r="G640">
        <v>142</v>
      </c>
      <c r="H640">
        <v>30.6</v>
      </c>
      <c r="I640">
        <v>15.4</v>
      </c>
      <c r="J640">
        <v>178906</v>
      </c>
      <c r="K640">
        <v>28</v>
      </c>
      <c r="L640">
        <v>50094</v>
      </c>
      <c r="M640">
        <v>229000</v>
      </c>
      <c r="N640">
        <v>266035</v>
      </c>
      <c r="O640">
        <v>72</v>
      </c>
      <c r="P640">
        <v>13.2</v>
      </c>
      <c r="Q640" t="s">
        <v>37</v>
      </c>
      <c r="R640" t="s">
        <v>38</v>
      </c>
    </row>
    <row r="641" spans="1:18" x14ac:dyDescent="0.3">
      <c r="A641" t="s">
        <v>28</v>
      </c>
      <c r="B641" t="s">
        <v>48</v>
      </c>
      <c r="C641">
        <v>110</v>
      </c>
      <c r="D641" t="s">
        <v>30</v>
      </c>
      <c r="E641">
        <v>2023</v>
      </c>
      <c r="F641" t="s">
        <v>35</v>
      </c>
      <c r="G641">
        <v>98</v>
      </c>
      <c r="H641">
        <v>71.099999999999994</v>
      </c>
      <c r="I641">
        <v>9.1999999999999993</v>
      </c>
      <c r="J641">
        <v>62500</v>
      </c>
      <c r="K641">
        <v>28</v>
      </c>
      <c r="L641">
        <v>17500</v>
      </c>
      <c r="M641">
        <v>80000</v>
      </c>
      <c r="N641">
        <v>93702</v>
      </c>
      <c r="O641">
        <v>67</v>
      </c>
      <c r="P641">
        <v>1.3</v>
      </c>
      <c r="Q641" t="s">
        <v>57</v>
      </c>
      <c r="R641" t="s">
        <v>58</v>
      </c>
    </row>
    <row r="642" spans="1:18" x14ac:dyDescent="0.3">
      <c r="A642" t="s">
        <v>32</v>
      </c>
      <c r="B642" t="s">
        <v>66</v>
      </c>
      <c r="C642">
        <v>349</v>
      </c>
      <c r="D642" t="s">
        <v>34</v>
      </c>
      <c r="E642">
        <v>2024</v>
      </c>
      <c r="F642" t="s">
        <v>35</v>
      </c>
      <c r="G642">
        <v>161</v>
      </c>
      <c r="H642">
        <v>28.9</v>
      </c>
      <c r="I642">
        <v>18.7</v>
      </c>
      <c r="J642">
        <v>160938</v>
      </c>
      <c r="K642">
        <v>28</v>
      </c>
      <c r="L642">
        <v>45062</v>
      </c>
      <c r="M642">
        <v>206000</v>
      </c>
      <c r="N642">
        <v>238235</v>
      </c>
      <c r="O642">
        <v>69</v>
      </c>
      <c r="P642">
        <v>5.7</v>
      </c>
      <c r="Q642" t="s">
        <v>22</v>
      </c>
      <c r="R642" t="s">
        <v>23</v>
      </c>
    </row>
    <row r="643" spans="1:18" x14ac:dyDescent="0.3">
      <c r="A643" t="s">
        <v>32</v>
      </c>
      <c r="B643" t="s">
        <v>46</v>
      </c>
      <c r="C643">
        <v>349</v>
      </c>
      <c r="D643" t="s">
        <v>34</v>
      </c>
      <c r="E643">
        <v>2024</v>
      </c>
      <c r="F643" t="s">
        <v>35</v>
      </c>
      <c r="G643">
        <v>165</v>
      </c>
      <c r="H643">
        <v>32</v>
      </c>
      <c r="I643">
        <v>14.5</v>
      </c>
      <c r="J643">
        <v>121875</v>
      </c>
      <c r="K643">
        <v>28</v>
      </c>
      <c r="L643">
        <v>34125</v>
      </c>
      <c r="M643">
        <v>156000</v>
      </c>
      <c r="N643">
        <v>180880</v>
      </c>
      <c r="O643">
        <v>67</v>
      </c>
      <c r="P643">
        <v>12.8</v>
      </c>
      <c r="Q643" t="s">
        <v>37</v>
      </c>
      <c r="R643" t="s">
        <v>38</v>
      </c>
    </row>
    <row r="644" spans="1:18" x14ac:dyDescent="0.3">
      <c r="A644" t="s">
        <v>39</v>
      </c>
      <c r="B644" t="s">
        <v>60</v>
      </c>
      <c r="C644">
        <v>109</v>
      </c>
      <c r="D644" t="s">
        <v>30</v>
      </c>
      <c r="E644">
        <v>2022</v>
      </c>
      <c r="F644" t="s">
        <v>35</v>
      </c>
      <c r="G644">
        <v>87</v>
      </c>
      <c r="H644">
        <v>72.099999999999994</v>
      </c>
      <c r="I644">
        <v>8.5</v>
      </c>
      <c r="J644">
        <v>57812</v>
      </c>
      <c r="K644">
        <v>28</v>
      </c>
      <c r="L644">
        <v>16188</v>
      </c>
      <c r="M644">
        <v>74000</v>
      </c>
      <c r="N644">
        <v>88609</v>
      </c>
      <c r="O644">
        <v>70</v>
      </c>
      <c r="P644">
        <v>2.2999999999999998</v>
      </c>
      <c r="Q644" t="s">
        <v>26</v>
      </c>
      <c r="R644" t="s">
        <v>27</v>
      </c>
    </row>
    <row r="645" spans="1:18" x14ac:dyDescent="0.3">
      <c r="A645" t="s">
        <v>55</v>
      </c>
      <c r="B645" t="s">
        <v>89</v>
      </c>
      <c r="C645">
        <v>155</v>
      </c>
      <c r="D645" t="s">
        <v>20</v>
      </c>
      <c r="E645">
        <v>2024</v>
      </c>
      <c r="F645" t="s">
        <v>35</v>
      </c>
      <c r="G645">
        <v>136</v>
      </c>
      <c r="H645">
        <v>45.3</v>
      </c>
      <c r="I645">
        <v>11.3</v>
      </c>
      <c r="J645">
        <v>104688</v>
      </c>
      <c r="K645">
        <v>28</v>
      </c>
      <c r="L645">
        <v>29312</v>
      </c>
      <c r="M645">
        <v>134000</v>
      </c>
      <c r="N645">
        <v>156665</v>
      </c>
      <c r="O645">
        <v>68</v>
      </c>
      <c r="P645">
        <v>7.1</v>
      </c>
      <c r="Q645" t="s">
        <v>22</v>
      </c>
      <c r="R645" t="s">
        <v>23</v>
      </c>
    </row>
    <row r="646" spans="1:18" x14ac:dyDescent="0.3">
      <c r="A646" t="s">
        <v>50</v>
      </c>
      <c r="B646" t="s">
        <v>72</v>
      </c>
      <c r="C646">
        <v>373</v>
      </c>
      <c r="D646" t="s">
        <v>34</v>
      </c>
      <c r="E646">
        <v>2021</v>
      </c>
      <c r="F646" t="s">
        <v>21</v>
      </c>
      <c r="G646">
        <v>161</v>
      </c>
      <c r="H646">
        <v>20.3</v>
      </c>
      <c r="I646">
        <v>17</v>
      </c>
      <c r="J646">
        <v>232824</v>
      </c>
      <c r="K646">
        <v>31</v>
      </c>
      <c r="L646">
        <v>72176</v>
      </c>
      <c r="M646">
        <v>305000</v>
      </c>
      <c r="N646">
        <v>353181</v>
      </c>
      <c r="O646">
        <v>81</v>
      </c>
      <c r="P646">
        <v>10.8</v>
      </c>
      <c r="Q646" t="s">
        <v>37</v>
      </c>
      <c r="R646" t="s">
        <v>38</v>
      </c>
    </row>
    <row r="647" spans="1:18" x14ac:dyDescent="0.3">
      <c r="A647" t="s">
        <v>24</v>
      </c>
      <c r="B647" t="s">
        <v>25</v>
      </c>
      <c r="C647">
        <v>249</v>
      </c>
      <c r="D647" t="s">
        <v>20</v>
      </c>
      <c r="E647">
        <v>2023</v>
      </c>
      <c r="F647" t="s">
        <v>21</v>
      </c>
      <c r="G647">
        <v>157</v>
      </c>
      <c r="H647">
        <v>35.4</v>
      </c>
      <c r="I647">
        <v>19.5</v>
      </c>
      <c r="J647">
        <v>132031</v>
      </c>
      <c r="K647">
        <v>28</v>
      </c>
      <c r="L647">
        <v>36969</v>
      </c>
      <c r="M647">
        <v>169000</v>
      </c>
      <c r="N647">
        <v>199427</v>
      </c>
      <c r="O647">
        <v>80</v>
      </c>
      <c r="P647">
        <v>12.9</v>
      </c>
      <c r="Q647" t="s">
        <v>37</v>
      </c>
      <c r="R647" t="s">
        <v>38</v>
      </c>
    </row>
    <row r="648" spans="1:18" x14ac:dyDescent="0.3">
      <c r="A648" t="s">
        <v>28</v>
      </c>
      <c r="B648" t="s">
        <v>99</v>
      </c>
      <c r="C648">
        <v>199</v>
      </c>
      <c r="D648" t="s">
        <v>20</v>
      </c>
      <c r="E648">
        <v>2020</v>
      </c>
      <c r="F648" t="s">
        <v>21</v>
      </c>
      <c r="G648">
        <v>129</v>
      </c>
      <c r="H648">
        <v>44.5</v>
      </c>
      <c r="I648">
        <v>12.5</v>
      </c>
      <c r="J648">
        <v>114062</v>
      </c>
      <c r="K648">
        <v>28</v>
      </c>
      <c r="L648">
        <v>31938</v>
      </c>
      <c r="M648">
        <v>146000</v>
      </c>
      <c r="N648">
        <v>167235</v>
      </c>
      <c r="O648">
        <v>74</v>
      </c>
      <c r="P648">
        <v>6.7</v>
      </c>
      <c r="Q648" t="s">
        <v>22</v>
      </c>
      <c r="R648" t="s">
        <v>23</v>
      </c>
    </row>
    <row r="649" spans="1:18" x14ac:dyDescent="0.3">
      <c r="A649" t="s">
        <v>50</v>
      </c>
      <c r="B649" t="s">
        <v>51</v>
      </c>
      <c r="C649">
        <v>248</v>
      </c>
      <c r="D649" t="s">
        <v>34</v>
      </c>
      <c r="E649">
        <v>2021</v>
      </c>
      <c r="F649" t="s">
        <v>21</v>
      </c>
      <c r="G649">
        <v>152</v>
      </c>
      <c r="H649">
        <v>32.799999999999997</v>
      </c>
      <c r="I649">
        <v>13.2</v>
      </c>
      <c r="J649">
        <v>176562</v>
      </c>
      <c r="K649">
        <v>28</v>
      </c>
      <c r="L649">
        <v>49438</v>
      </c>
      <c r="M649">
        <v>226000</v>
      </c>
      <c r="N649">
        <v>258994</v>
      </c>
      <c r="O649">
        <v>74</v>
      </c>
      <c r="P649">
        <v>2.6</v>
      </c>
      <c r="Q649" t="s">
        <v>26</v>
      </c>
      <c r="R649" t="s">
        <v>27</v>
      </c>
    </row>
    <row r="650" spans="1:18" x14ac:dyDescent="0.3">
      <c r="A650" t="s">
        <v>39</v>
      </c>
      <c r="B650" t="s">
        <v>93</v>
      </c>
      <c r="C650">
        <v>225</v>
      </c>
      <c r="D650" t="s">
        <v>20</v>
      </c>
      <c r="E650">
        <v>2020</v>
      </c>
      <c r="F650" t="s">
        <v>21</v>
      </c>
      <c r="G650">
        <v>146</v>
      </c>
      <c r="H650">
        <v>35.1</v>
      </c>
      <c r="I650">
        <v>14.8</v>
      </c>
      <c r="J650">
        <v>128125</v>
      </c>
      <c r="K650">
        <v>28</v>
      </c>
      <c r="L650">
        <v>35875</v>
      </c>
      <c r="M650">
        <v>164000</v>
      </c>
      <c r="N650">
        <v>191792</v>
      </c>
      <c r="O650">
        <v>72</v>
      </c>
      <c r="P650">
        <v>4.8</v>
      </c>
      <c r="Q650" t="s">
        <v>26</v>
      </c>
      <c r="R650" t="s">
        <v>27</v>
      </c>
    </row>
    <row r="651" spans="1:18" x14ac:dyDescent="0.3">
      <c r="A651" t="s">
        <v>39</v>
      </c>
      <c r="B651" t="s">
        <v>64</v>
      </c>
      <c r="C651">
        <v>159</v>
      </c>
      <c r="D651" t="s">
        <v>20</v>
      </c>
      <c r="E651">
        <v>2020</v>
      </c>
      <c r="F651" t="s">
        <v>35</v>
      </c>
      <c r="G651">
        <v>120</v>
      </c>
      <c r="H651">
        <v>41.9</v>
      </c>
      <c r="I651">
        <v>11.3</v>
      </c>
      <c r="J651">
        <v>96094</v>
      </c>
      <c r="K651">
        <v>28</v>
      </c>
      <c r="L651">
        <v>26906</v>
      </c>
      <c r="M651">
        <v>123000</v>
      </c>
      <c r="N651">
        <v>144452</v>
      </c>
      <c r="O651">
        <v>59</v>
      </c>
      <c r="P651">
        <v>13</v>
      </c>
      <c r="Q651" t="s">
        <v>37</v>
      </c>
      <c r="R651" t="s">
        <v>38</v>
      </c>
    </row>
    <row r="652" spans="1:18" x14ac:dyDescent="0.3">
      <c r="A652" t="s">
        <v>39</v>
      </c>
      <c r="B652" t="s">
        <v>47</v>
      </c>
      <c r="C652">
        <v>312</v>
      </c>
      <c r="D652" t="s">
        <v>34</v>
      </c>
      <c r="E652">
        <v>2025</v>
      </c>
      <c r="F652" t="s">
        <v>21</v>
      </c>
      <c r="G652">
        <v>142</v>
      </c>
      <c r="H652">
        <v>33.299999999999997</v>
      </c>
      <c r="I652">
        <v>18.899999999999999</v>
      </c>
      <c r="J652">
        <v>231250</v>
      </c>
      <c r="K652">
        <v>28</v>
      </c>
      <c r="L652">
        <v>64750</v>
      </c>
      <c r="M652">
        <v>296000</v>
      </c>
      <c r="N652">
        <v>345120</v>
      </c>
      <c r="O652">
        <v>75</v>
      </c>
      <c r="P652">
        <v>14.2</v>
      </c>
      <c r="Q652" t="s">
        <v>37</v>
      </c>
      <c r="R652" t="s">
        <v>38</v>
      </c>
    </row>
    <row r="653" spans="1:18" x14ac:dyDescent="0.3">
      <c r="A653" t="s">
        <v>39</v>
      </c>
      <c r="B653" t="s">
        <v>82</v>
      </c>
      <c r="C653">
        <v>99</v>
      </c>
      <c r="D653" t="s">
        <v>30</v>
      </c>
      <c r="E653">
        <v>2021</v>
      </c>
      <c r="F653" t="s">
        <v>31</v>
      </c>
      <c r="G653">
        <v>93</v>
      </c>
      <c r="H653">
        <v>72.8</v>
      </c>
      <c r="I653">
        <v>9.1999999999999993</v>
      </c>
      <c r="J653">
        <v>50000</v>
      </c>
      <c r="K653">
        <v>28</v>
      </c>
      <c r="L653">
        <v>14000</v>
      </c>
      <c r="M653">
        <v>64000</v>
      </c>
      <c r="N653">
        <v>78251</v>
      </c>
      <c r="O653">
        <v>61</v>
      </c>
      <c r="P653">
        <v>13.4</v>
      </c>
      <c r="Q653" t="s">
        <v>37</v>
      </c>
      <c r="R653" t="s">
        <v>38</v>
      </c>
    </row>
    <row r="654" spans="1:18" x14ac:dyDescent="0.3">
      <c r="A654" t="s">
        <v>32</v>
      </c>
      <c r="B654" t="s">
        <v>66</v>
      </c>
      <c r="C654">
        <v>349</v>
      </c>
      <c r="D654" t="s">
        <v>34</v>
      </c>
      <c r="E654">
        <v>2021</v>
      </c>
      <c r="F654" t="s">
        <v>35</v>
      </c>
      <c r="G654">
        <v>146</v>
      </c>
      <c r="H654">
        <v>35.299999999999997</v>
      </c>
      <c r="I654">
        <v>19.8</v>
      </c>
      <c r="J654">
        <v>159375</v>
      </c>
      <c r="K654">
        <v>28</v>
      </c>
      <c r="L654">
        <v>44625</v>
      </c>
      <c r="M654">
        <v>204000</v>
      </c>
      <c r="N654">
        <v>235765</v>
      </c>
      <c r="O654">
        <v>74</v>
      </c>
      <c r="P654">
        <v>2.5</v>
      </c>
      <c r="Q654" t="s">
        <v>26</v>
      </c>
      <c r="R654" t="s">
        <v>27</v>
      </c>
    </row>
    <row r="655" spans="1:18" x14ac:dyDescent="0.3">
      <c r="A655" t="s">
        <v>50</v>
      </c>
      <c r="B655" t="s">
        <v>104</v>
      </c>
      <c r="C655">
        <v>373</v>
      </c>
      <c r="D655" t="s">
        <v>34</v>
      </c>
      <c r="E655">
        <v>2023</v>
      </c>
      <c r="F655" t="s">
        <v>21</v>
      </c>
      <c r="G655">
        <v>167</v>
      </c>
      <c r="H655">
        <v>21.3</v>
      </c>
      <c r="I655">
        <v>17.8</v>
      </c>
      <c r="J655">
        <v>270992</v>
      </c>
      <c r="K655">
        <v>31</v>
      </c>
      <c r="L655">
        <v>84008</v>
      </c>
      <c r="M655">
        <v>355000</v>
      </c>
      <c r="N655">
        <v>410885</v>
      </c>
      <c r="O655">
        <v>76</v>
      </c>
      <c r="P655">
        <v>8.6</v>
      </c>
      <c r="Q655" t="s">
        <v>22</v>
      </c>
      <c r="R655" t="s">
        <v>23</v>
      </c>
    </row>
    <row r="656" spans="1:18" x14ac:dyDescent="0.3">
      <c r="A656" t="s">
        <v>39</v>
      </c>
      <c r="B656" t="s">
        <v>64</v>
      </c>
      <c r="C656">
        <v>159</v>
      </c>
      <c r="D656" t="s">
        <v>20</v>
      </c>
      <c r="E656">
        <v>2024</v>
      </c>
      <c r="F656" t="s">
        <v>35</v>
      </c>
      <c r="G656">
        <v>129</v>
      </c>
      <c r="H656">
        <v>40.700000000000003</v>
      </c>
      <c r="I656">
        <v>10.1</v>
      </c>
      <c r="J656">
        <v>99219</v>
      </c>
      <c r="K656">
        <v>28</v>
      </c>
      <c r="L656">
        <v>27781</v>
      </c>
      <c r="M656">
        <v>127000</v>
      </c>
      <c r="N656">
        <v>151583</v>
      </c>
      <c r="O656">
        <v>59</v>
      </c>
      <c r="P656">
        <v>10</v>
      </c>
      <c r="Q656" t="s">
        <v>37</v>
      </c>
      <c r="R656" t="s">
        <v>38</v>
      </c>
    </row>
    <row r="657" spans="1:18" x14ac:dyDescent="0.3">
      <c r="A657" t="s">
        <v>28</v>
      </c>
      <c r="B657" t="s">
        <v>98</v>
      </c>
      <c r="C657">
        <v>163</v>
      </c>
      <c r="D657" t="s">
        <v>20</v>
      </c>
      <c r="E657">
        <v>2025</v>
      </c>
      <c r="F657" t="s">
        <v>21</v>
      </c>
      <c r="G657">
        <v>140</v>
      </c>
      <c r="H657">
        <v>40.799999999999997</v>
      </c>
      <c r="I657">
        <v>10.5</v>
      </c>
      <c r="J657">
        <v>108594</v>
      </c>
      <c r="K657">
        <v>28</v>
      </c>
      <c r="L657">
        <v>30406</v>
      </c>
      <c r="M657">
        <v>139000</v>
      </c>
      <c r="N657">
        <v>163605</v>
      </c>
      <c r="O657">
        <v>73</v>
      </c>
      <c r="P657">
        <v>13.6</v>
      </c>
      <c r="Q657" t="s">
        <v>37</v>
      </c>
      <c r="R657" t="s">
        <v>38</v>
      </c>
    </row>
    <row r="658" spans="1:18" x14ac:dyDescent="0.3">
      <c r="A658" t="s">
        <v>39</v>
      </c>
      <c r="B658" t="s">
        <v>82</v>
      </c>
      <c r="C658">
        <v>99</v>
      </c>
      <c r="D658" t="s">
        <v>30</v>
      </c>
      <c r="E658">
        <v>2021</v>
      </c>
      <c r="F658" t="s">
        <v>31</v>
      </c>
      <c r="G658">
        <v>93</v>
      </c>
      <c r="H658">
        <v>77.2</v>
      </c>
      <c r="I658">
        <v>8.6</v>
      </c>
      <c r="J658">
        <v>56250</v>
      </c>
      <c r="K658">
        <v>28</v>
      </c>
      <c r="L658">
        <v>15750</v>
      </c>
      <c r="M658">
        <v>72000</v>
      </c>
      <c r="N658">
        <v>85958</v>
      </c>
      <c r="O658">
        <v>58</v>
      </c>
      <c r="P658">
        <v>2.2999999999999998</v>
      </c>
      <c r="Q658" t="s">
        <v>26</v>
      </c>
      <c r="R658" t="s">
        <v>27</v>
      </c>
    </row>
    <row r="659" spans="1:18" x14ac:dyDescent="0.3">
      <c r="A659" t="s">
        <v>24</v>
      </c>
      <c r="B659" t="s">
        <v>107</v>
      </c>
      <c r="C659">
        <v>102</v>
      </c>
      <c r="D659" t="s">
        <v>30</v>
      </c>
      <c r="E659">
        <v>2023</v>
      </c>
      <c r="F659" t="s">
        <v>31</v>
      </c>
      <c r="G659">
        <v>86</v>
      </c>
      <c r="H659">
        <v>68.400000000000006</v>
      </c>
      <c r="I659">
        <v>8.9</v>
      </c>
      <c r="J659">
        <v>50000</v>
      </c>
      <c r="K659">
        <v>28</v>
      </c>
      <c r="L659">
        <v>14000</v>
      </c>
      <c r="M659">
        <v>64000</v>
      </c>
      <c r="N659">
        <v>78421</v>
      </c>
      <c r="O659">
        <v>59</v>
      </c>
      <c r="P659">
        <v>13.1</v>
      </c>
      <c r="Q659" t="s">
        <v>37</v>
      </c>
      <c r="R659" t="s">
        <v>38</v>
      </c>
    </row>
    <row r="660" spans="1:18" x14ac:dyDescent="0.3">
      <c r="A660" t="s">
        <v>50</v>
      </c>
      <c r="B660" t="s">
        <v>51</v>
      </c>
      <c r="C660">
        <v>248</v>
      </c>
      <c r="D660" t="s">
        <v>34</v>
      </c>
      <c r="E660">
        <v>2022</v>
      </c>
      <c r="F660" t="s">
        <v>21</v>
      </c>
      <c r="G660">
        <v>162</v>
      </c>
      <c r="H660">
        <v>34.5</v>
      </c>
      <c r="I660">
        <v>15.9</v>
      </c>
      <c r="J660">
        <v>196094</v>
      </c>
      <c r="K660">
        <v>28</v>
      </c>
      <c r="L660">
        <v>54906</v>
      </c>
      <c r="M660">
        <v>251000</v>
      </c>
      <c r="N660">
        <v>286482</v>
      </c>
      <c r="O660">
        <v>75</v>
      </c>
      <c r="P660">
        <v>8.1</v>
      </c>
      <c r="Q660" t="s">
        <v>22</v>
      </c>
      <c r="R660" t="s">
        <v>23</v>
      </c>
    </row>
    <row r="661" spans="1:18" x14ac:dyDescent="0.3">
      <c r="A661" t="s">
        <v>55</v>
      </c>
      <c r="B661" t="s">
        <v>108</v>
      </c>
      <c r="C661">
        <v>249</v>
      </c>
      <c r="D661" t="s">
        <v>20</v>
      </c>
      <c r="E661">
        <v>2025</v>
      </c>
      <c r="F661" t="s">
        <v>21</v>
      </c>
      <c r="G661">
        <v>145</v>
      </c>
      <c r="H661">
        <v>33.1</v>
      </c>
      <c r="I661">
        <v>14</v>
      </c>
      <c r="J661">
        <v>157812</v>
      </c>
      <c r="K661">
        <v>28</v>
      </c>
      <c r="L661">
        <v>44188</v>
      </c>
      <c r="M661">
        <v>202000</v>
      </c>
      <c r="N661">
        <v>230206</v>
      </c>
      <c r="O661">
        <v>73</v>
      </c>
      <c r="P661">
        <v>7.2</v>
      </c>
      <c r="Q661" t="s">
        <v>22</v>
      </c>
      <c r="R661" t="s">
        <v>23</v>
      </c>
    </row>
    <row r="662" spans="1:18" x14ac:dyDescent="0.3">
      <c r="A662" t="s">
        <v>50</v>
      </c>
      <c r="B662" t="s">
        <v>52</v>
      </c>
      <c r="C662">
        <v>199</v>
      </c>
      <c r="D662" t="s">
        <v>20</v>
      </c>
      <c r="E662">
        <v>2024</v>
      </c>
      <c r="F662" t="s">
        <v>21</v>
      </c>
      <c r="G662">
        <v>136</v>
      </c>
      <c r="H662">
        <v>38.6</v>
      </c>
      <c r="I662">
        <v>12.7</v>
      </c>
      <c r="J662">
        <v>148438</v>
      </c>
      <c r="K662">
        <v>28</v>
      </c>
      <c r="L662">
        <v>41562</v>
      </c>
      <c r="M662">
        <v>190000</v>
      </c>
      <c r="N662">
        <v>217863</v>
      </c>
      <c r="O662">
        <v>78</v>
      </c>
      <c r="P662">
        <v>11.7</v>
      </c>
      <c r="Q662" t="s">
        <v>37</v>
      </c>
      <c r="R662" t="s">
        <v>38</v>
      </c>
    </row>
    <row r="663" spans="1:18" x14ac:dyDescent="0.3">
      <c r="A663" t="s">
        <v>32</v>
      </c>
      <c r="B663" t="s">
        <v>66</v>
      </c>
      <c r="C663">
        <v>349</v>
      </c>
      <c r="D663" t="s">
        <v>34</v>
      </c>
      <c r="E663">
        <v>2023</v>
      </c>
      <c r="F663" t="s">
        <v>35</v>
      </c>
      <c r="G663">
        <v>150</v>
      </c>
      <c r="H663">
        <v>33.4</v>
      </c>
      <c r="I663">
        <v>15.6</v>
      </c>
      <c r="J663">
        <v>162500</v>
      </c>
      <c r="K663">
        <v>28</v>
      </c>
      <c r="L663">
        <v>45500</v>
      </c>
      <c r="M663">
        <v>208000</v>
      </c>
      <c r="N663">
        <v>241413</v>
      </c>
      <c r="O663">
        <v>70</v>
      </c>
      <c r="P663">
        <v>3.8</v>
      </c>
      <c r="Q663" t="s">
        <v>26</v>
      </c>
      <c r="R663" t="s">
        <v>27</v>
      </c>
    </row>
    <row r="664" spans="1:18" x14ac:dyDescent="0.3">
      <c r="A664" t="s">
        <v>50</v>
      </c>
      <c r="B664" t="s">
        <v>94</v>
      </c>
      <c r="C664">
        <v>124</v>
      </c>
      <c r="D664" t="s">
        <v>20</v>
      </c>
      <c r="E664">
        <v>2025</v>
      </c>
      <c r="F664" t="s">
        <v>21</v>
      </c>
      <c r="G664">
        <v>105</v>
      </c>
      <c r="H664">
        <v>48.7</v>
      </c>
      <c r="I664">
        <v>10.9</v>
      </c>
      <c r="J664">
        <v>145312</v>
      </c>
      <c r="K664">
        <v>28</v>
      </c>
      <c r="L664">
        <v>40688</v>
      </c>
      <c r="M664">
        <v>186000</v>
      </c>
      <c r="N664">
        <v>219698</v>
      </c>
      <c r="O664">
        <v>78</v>
      </c>
      <c r="P664">
        <v>10.1</v>
      </c>
      <c r="Q664" t="s">
        <v>37</v>
      </c>
      <c r="R664" t="s">
        <v>38</v>
      </c>
    </row>
    <row r="665" spans="1:18" x14ac:dyDescent="0.3">
      <c r="A665" t="s">
        <v>18</v>
      </c>
      <c r="B665" t="s">
        <v>103</v>
      </c>
      <c r="C665">
        <v>124</v>
      </c>
      <c r="D665" t="s">
        <v>30</v>
      </c>
      <c r="E665">
        <v>2020</v>
      </c>
      <c r="F665" t="s">
        <v>35</v>
      </c>
      <c r="G665">
        <v>118</v>
      </c>
      <c r="H665">
        <v>49.1</v>
      </c>
      <c r="I665">
        <v>13.8</v>
      </c>
      <c r="J665">
        <v>75781</v>
      </c>
      <c r="K665">
        <v>28</v>
      </c>
      <c r="L665">
        <v>21219</v>
      </c>
      <c r="M665">
        <v>97000</v>
      </c>
      <c r="N665">
        <v>112491</v>
      </c>
      <c r="O665">
        <v>68</v>
      </c>
      <c r="P665">
        <v>4.5999999999999996</v>
      </c>
      <c r="Q665" t="s">
        <v>26</v>
      </c>
      <c r="R665" t="s">
        <v>27</v>
      </c>
    </row>
    <row r="666" spans="1:18" x14ac:dyDescent="0.3">
      <c r="A666" t="s">
        <v>24</v>
      </c>
      <c r="B666" t="s">
        <v>101</v>
      </c>
      <c r="C666">
        <v>102</v>
      </c>
      <c r="D666" t="s">
        <v>30</v>
      </c>
      <c r="E666">
        <v>2021</v>
      </c>
      <c r="F666" t="s">
        <v>31</v>
      </c>
      <c r="G666">
        <v>99</v>
      </c>
      <c r="H666">
        <v>74.599999999999994</v>
      </c>
      <c r="I666">
        <v>9.4</v>
      </c>
      <c r="J666">
        <v>57031</v>
      </c>
      <c r="K666">
        <v>28</v>
      </c>
      <c r="L666">
        <v>15969</v>
      </c>
      <c r="M666">
        <v>73000</v>
      </c>
      <c r="N666">
        <v>86204</v>
      </c>
      <c r="O666">
        <v>65</v>
      </c>
      <c r="P666">
        <v>7.9</v>
      </c>
      <c r="Q666" t="s">
        <v>37</v>
      </c>
      <c r="R666" t="s">
        <v>38</v>
      </c>
    </row>
    <row r="667" spans="1:18" x14ac:dyDescent="0.3">
      <c r="A667" t="s">
        <v>24</v>
      </c>
      <c r="B667" t="s">
        <v>65</v>
      </c>
      <c r="C667">
        <v>149</v>
      </c>
      <c r="D667" t="s">
        <v>20</v>
      </c>
      <c r="E667">
        <v>2022</v>
      </c>
      <c r="F667" t="s">
        <v>35</v>
      </c>
      <c r="G667">
        <v>118</v>
      </c>
      <c r="H667">
        <v>53.4</v>
      </c>
      <c r="I667">
        <v>12.9</v>
      </c>
      <c r="J667">
        <v>96094</v>
      </c>
      <c r="K667">
        <v>28</v>
      </c>
      <c r="L667">
        <v>26906</v>
      </c>
      <c r="M667">
        <v>123000</v>
      </c>
      <c r="N667">
        <v>145211</v>
      </c>
      <c r="O667">
        <v>65</v>
      </c>
      <c r="P667">
        <v>9.4</v>
      </c>
      <c r="Q667" t="s">
        <v>37</v>
      </c>
      <c r="R667" t="s">
        <v>38</v>
      </c>
    </row>
    <row r="668" spans="1:18" x14ac:dyDescent="0.3">
      <c r="A668" t="s">
        <v>24</v>
      </c>
      <c r="B668" t="s">
        <v>65</v>
      </c>
      <c r="C668">
        <v>149</v>
      </c>
      <c r="D668" t="s">
        <v>20</v>
      </c>
      <c r="E668">
        <v>2021</v>
      </c>
      <c r="F668" t="s">
        <v>35</v>
      </c>
      <c r="G668">
        <v>112</v>
      </c>
      <c r="H668">
        <v>61.3</v>
      </c>
      <c r="I668">
        <v>11.5</v>
      </c>
      <c r="J668">
        <v>88281</v>
      </c>
      <c r="K668">
        <v>28</v>
      </c>
      <c r="L668">
        <v>24719</v>
      </c>
      <c r="M668">
        <v>113000</v>
      </c>
      <c r="N668">
        <v>130794</v>
      </c>
      <c r="O668">
        <v>76</v>
      </c>
      <c r="P668">
        <v>7.3</v>
      </c>
      <c r="Q668" t="s">
        <v>22</v>
      </c>
      <c r="R668" t="s">
        <v>23</v>
      </c>
    </row>
    <row r="669" spans="1:18" x14ac:dyDescent="0.3">
      <c r="A669" t="s">
        <v>42</v>
      </c>
      <c r="B669" t="s">
        <v>43</v>
      </c>
      <c r="C669">
        <v>149</v>
      </c>
      <c r="D669" t="s">
        <v>20</v>
      </c>
      <c r="E669">
        <v>2025</v>
      </c>
      <c r="F669" t="s">
        <v>35</v>
      </c>
      <c r="G669">
        <v>111</v>
      </c>
      <c r="H669">
        <v>53.6</v>
      </c>
      <c r="I669">
        <v>12.4</v>
      </c>
      <c r="J669">
        <v>94531</v>
      </c>
      <c r="K669">
        <v>28</v>
      </c>
      <c r="L669">
        <v>26469</v>
      </c>
      <c r="M669">
        <v>121000</v>
      </c>
      <c r="N669">
        <v>143526</v>
      </c>
      <c r="O669">
        <v>68</v>
      </c>
      <c r="P669">
        <v>10.9</v>
      </c>
      <c r="Q669" t="s">
        <v>37</v>
      </c>
      <c r="R669" t="s">
        <v>38</v>
      </c>
    </row>
    <row r="670" spans="1:18" x14ac:dyDescent="0.3">
      <c r="A670" t="s">
        <v>28</v>
      </c>
      <c r="B670" t="s">
        <v>53</v>
      </c>
      <c r="C670">
        <v>440</v>
      </c>
      <c r="D670" t="s">
        <v>34</v>
      </c>
      <c r="E670">
        <v>2024</v>
      </c>
      <c r="F670" t="s">
        <v>21</v>
      </c>
      <c r="G670">
        <v>182</v>
      </c>
      <c r="H670">
        <v>21.8</v>
      </c>
      <c r="I670">
        <v>18</v>
      </c>
      <c r="J670">
        <v>160305</v>
      </c>
      <c r="K670">
        <v>31</v>
      </c>
      <c r="L670">
        <v>49695</v>
      </c>
      <c r="M670">
        <v>210000</v>
      </c>
      <c r="N670">
        <v>237953</v>
      </c>
      <c r="O670">
        <v>84</v>
      </c>
      <c r="P670">
        <v>14.2</v>
      </c>
      <c r="Q670" t="s">
        <v>37</v>
      </c>
      <c r="R670" t="s">
        <v>38</v>
      </c>
    </row>
    <row r="671" spans="1:18" x14ac:dyDescent="0.3">
      <c r="A671" t="s">
        <v>28</v>
      </c>
      <c r="B671" t="s">
        <v>69</v>
      </c>
      <c r="C671">
        <v>125</v>
      </c>
      <c r="D671" t="s">
        <v>30</v>
      </c>
      <c r="E671">
        <v>2021</v>
      </c>
      <c r="F671" t="s">
        <v>21</v>
      </c>
      <c r="G671">
        <v>109</v>
      </c>
      <c r="H671">
        <v>57.3</v>
      </c>
      <c r="I671">
        <v>11</v>
      </c>
      <c r="J671">
        <v>75781</v>
      </c>
      <c r="K671">
        <v>28</v>
      </c>
      <c r="L671">
        <v>21219</v>
      </c>
      <c r="M671">
        <v>97000</v>
      </c>
      <c r="N671">
        <v>113983</v>
      </c>
      <c r="O671">
        <v>73</v>
      </c>
      <c r="P671">
        <v>1.6</v>
      </c>
      <c r="Q671" t="s">
        <v>57</v>
      </c>
      <c r="R671" t="s">
        <v>58</v>
      </c>
    </row>
    <row r="672" spans="1:18" x14ac:dyDescent="0.3">
      <c r="A672" t="s">
        <v>42</v>
      </c>
      <c r="B672" t="s">
        <v>110</v>
      </c>
      <c r="C672">
        <v>321</v>
      </c>
      <c r="D672" t="s">
        <v>34</v>
      </c>
      <c r="E672">
        <v>2020</v>
      </c>
      <c r="F672" t="s">
        <v>21</v>
      </c>
      <c r="G672">
        <v>156</v>
      </c>
      <c r="H672">
        <v>30.6</v>
      </c>
      <c r="I672">
        <v>15.2</v>
      </c>
      <c r="J672">
        <v>350781</v>
      </c>
      <c r="K672">
        <v>28</v>
      </c>
      <c r="L672">
        <v>98219</v>
      </c>
      <c r="M672">
        <v>449000</v>
      </c>
      <c r="N672">
        <v>511052</v>
      </c>
      <c r="O672">
        <v>76</v>
      </c>
      <c r="P672">
        <v>3</v>
      </c>
      <c r="Q672" t="s">
        <v>26</v>
      </c>
      <c r="R672" t="s">
        <v>27</v>
      </c>
    </row>
    <row r="673" spans="1:18" x14ac:dyDescent="0.3">
      <c r="A673" t="s">
        <v>18</v>
      </c>
      <c r="B673" t="s">
        <v>79</v>
      </c>
      <c r="C673">
        <v>293</v>
      </c>
      <c r="D673" t="s">
        <v>34</v>
      </c>
      <c r="E673">
        <v>2022</v>
      </c>
      <c r="F673" t="s">
        <v>21</v>
      </c>
      <c r="G673">
        <v>149</v>
      </c>
      <c r="H673">
        <v>35.299999999999997</v>
      </c>
      <c r="I673">
        <v>16.600000000000001</v>
      </c>
      <c r="J673">
        <v>210938</v>
      </c>
      <c r="K673">
        <v>28</v>
      </c>
      <c r="L673">
        <v>59062</v>
      </c>
      <c r="M673">
        <v>270000</v>
      </c>
      <c r="N673">
        <v>315206</v>
      </c>
      <c r="O673">
        <v>82</v>
      </c>
      <c r="P673">
        <v>9.6</v>
      </c>
      <c r="Q673" t="s">
        <v>22</v>
      </c>
      <c r="R673" t="s">
        <v>23</v>
      </c>
    </row>
    <row r="674" spans="1:18" x14ac:dyDescent="0.3">
      <c r="A674" t="s">
        <v>50</v>
      </c>
      <c r="B674" t="s">
        <v>109</v>
      </c>
      <c r="C674">
        <v>373</v>
      </c>
      <c r="D674" t="s">
        <v>34</v>
      </c>
      <c r="E674">
        <v>2020</v>
      </c>
      <c r="F674" t="s">
        <v>21</v>
      </c>
      <c r="G674">
        <v>202</v>
      </c>
      <c r="H674">
        <v>22.3</v>
      </c>
      <c r="I674">
        <v>14.3</v>
      </c>
      <c r="J674">
        <v>271756</v>
      </c>
      <c r="K674">
        <v>31</v>
      </c>
      <c r="L674">
        <v>84244</v>
      </c>
      <c r="M674">
        <v>356000</v>
      </c>
      <c r="N674">
        <v>409354</v>
      </c>
      <c r="O674">
        <v>81</v>
      </c>
      <c r="P674">
        <v>12.2</v>
      </c>
      <c r="Q674" t="s">
        <v>37</v>
      </c>
      <c r="R674" t="s">
        <v>38</v>
      </c>
    </row>
    <row r="675" spans="1:18" x14ac:dyDescent="0.3">
      <c r="A675" t="s">
        <v>28</v>
      </c>
      <c r="B675" t="s">
        <v>98</v>
      </c>
      <c r="C675">
        <v>163</v>
      </c>
      <c r="D675" t="s">
        <v>20</v>
      </c>
      <c r="E675">
        <v>2022</v>
      </c>
      <c r="F675" t="s">
        <v>21</v>
      </c>
      <c r="G675">
        <v>123</v>
      </c>
      <c r="H675">
        <v>41.7</v>
      </c>
      <c r="I675">
        <v>14</v>
      </c>
      <c r="J675">
        <v>100781</v>
      </c>
      <c r="K675">
        <v>28</v>
      </c>
      <c r="L675">
        <v>28219</v>
      </c>
      <c r="M675">
        <v>129000</v>
      </c>
      <c r="N675">
        <v>148937</v>
      </c>
      <c r="O675">
        <v>75</v>
      </c>
      <c r="P675">
        <v>1.6</v>
      </c>
      <c r="Q675" t="s">
        <v>57</v>
      </c>
      <c r="R675" t="s">
        <v>58</v>
      </c>
    </row>
    <row r="676" spans="1:18" x14ac:dyDescent="0.3">
      <c r="A676" t="s">
        <v>55</v>
      </c>
      <c r="B676" t="s">
        <v>56</v>
      </c>
      <c r="C676">
        <v>249</v>
      </c>
      <c r="D676" t="s">
        <v>34</v>
      </c>
      <c r="E676">
        <v>2021</v>
      </c>
      <c r="F676" t="s">
        <v>21</v>
      </c>
      <c r="G676">
        <v>142</v>
      </c>
      <c r="H676">
        <v>29.1</v>
      </c>
      <c r="I676">
        <v>18.8</v>
      </c>
      <c r="J676">
        <v>171094</v>
      </c>
      <c r="K676">
        <v>28</v>
      </c>
      <c r="L676">
        <v>47906</v>
      </c>
      <c r="M676">
        <v>219000</v>
      </c>
      <c r="N676">
        <v>253719</v>
      </c>
      <c r="O676">
        <v>71</v>
      </c>
      <c r="P676">
        <v>13.2</v>
      </c>
      <c r="Q676" t="s">
        <v>37</v>
      </c>
      <c r="R676" t="s">
        <v>38</v>
      </c>
    </row>
    <row r="677" spans="1:18" x14ac:dyDescent="0.3">
      <c r="A677" t="s">
        <v>42</v>
      </c>
      <c r="B677" t="s">
        <v>87</v>
      </c>
      <c r="C677">
        <v>321</v>
      </c>
      <c r="D677" t="s">
        <v>34</v>
      </c>
      <c r="E677">
        <v>2021</v>
      </c>
      <c r="F677" t="s">
        <v>21</v>
      </c>
      <c r="G677">
        <v>140</v>
      </c>
      <c r="H677">
        <v>32.6</v>
      </c>
      <c r="I677">
        <v>15.9</v>
      </c>
      <c r="J677">
        <v>378125</v>
      </c>
      <c r="K677">
        <v>28</v>
      </c>
      <c r="L677">
        <v>105875</v>
      </c>
      <c r="M677">
        <v>484000</v>
      </c>
      <c r="N677">
        <v>557433</v>
      </c>
      <c r="O677">
        <v>78</v>
      </c>
      <c r="P677">
        <v>11.7</v>
      </c>
      <c r="Q677" t="s">
        <v>37</v>
      </c>
      <c r="R677" t="s">
        <v>38</v>
      </c>
    </row>
    <row r="678" spans="1:18" x14ac:dyDescent="0.3">
      <c r="A678" t="s">
        <v>28</v>
      </c>
      <c r="B678" t="s">
        <v>53</v>
      </c>
      <c r="C678">
        <v>440</v>
      </c>
      <c r="D678" t="s">
        <v>34</v>
      </c>
      <c r="E678">
        <v>2022</v>
      </c>
      <c r="F678" t="s">
        <v>21</v>
      </c>
      <c r="G678">
        <v>203</v>
      </c>
      <c r="H678">
        <v>19.5</v>
      </c>
      <c r="I678">
        <v>17.100000000000001</v>
      </c>
      <c r="J678">
        <v>164885</v>
      </c>
      <c r="K678">
        <v>31</v>
      </c>
      <c r="L678">
        <v>51115</v>
      </c>
      <c r="M678">
        <v>216000</v>
      </c>
      <c r="N678">
        <v>247817</v>
      </c>
      <c r="O678">
        <v>85</v>
      </c>
      <c r="P678">
        <v>2.7</v>
      </c>
      <c r="Q678" t="s">
        <v>26</v>
      </c>
      <c r="R678" t="s">
        <v>27</v>
      </c>
    </row>
    <row r="679" spans="1:18" x14ac:dyDescent="0.3">
      <c r="A679" t="s">
        <v>18</v>
      </c>
      <c r="B679" t="s">
        <v>95</v>
      </c>
      <c r="C679">
        <v>160</v>
      </c>
      <c r="D679" t="s">
        <v>20</v>
      </c>
      <c r="E679">
        <v>2024</v>
      </c>
      <c r="F679" t="s">
        <v>35</v>
      </c>
      <c r="G679">
        <v>134</v>
      </c>
      <c r="H679">
        <v>43.6</v>
      </c>
      <c r="I679">
        <v>12.6</v>
      </c>
      <c r="J679">
        <v>94531</v>
      </c>
      <c r="K679">
        <v>28</v>
      </c>
      <c r="L679">
        <v>26469</v>
      </c>
      <c r="M679">
        <v>121000</v>
      </c>
      <c r="N679">
        <v>140148</v>
      </c>
      <c r="O679">
        <v>72</v>
      </c>
      <c r="P679">
        <v>14.4</v>
      </c>
      <c r="Q679" t="s">
        <v>37</v>
      </c>
      <c r="R679" t="s">
        <v>38</v>
      </c>
    </row>
    <row r="680" spans="1:18" x14ac:dyDescent="0.3">
      <c r="A680" t="s">
        <v>32</v>
      </c>
      <c r="B680" t="s">
        <v>85</v>
      </c>
      <c r="C680">
        <v>346</v>
      </c>
      <c r="D680" t="s">
        <v>34</v>
      </c>
      <c r="E680">
        <v>2020</v>
      </c>
      <c r="F680" t="s">
        <v>31</v>
      </c>
      <c r="G680">
        <v>163</v>
      </c>
      <c r="H680">
        <v>35.4</v>
      </c>
      <c r="I680">
        <v>18.600000000000001</v>
      </c>
      <c r="J680">
        <v>146875</v>
      </c>
      <c r="K680">
        <v>28</v>
      </c>
      <c r="L680">
        <v>41125</v>
      </c>
      <c r="M680">
        <v>188000</v>
      </c>
      <c r="N680">
        <v>220520</v>
      </c>
      <c r="O680">
        <v>74</v>
      </c>
      <c r="P680">
        <v>2.8</v>
      </c>
      <c r="Q680" t="s">
        <v>26</v>
      </c>
      <c r="R680" t="s">
        <v>27</v>
      </c>
    </row>
    <row r="681" spans="1:18" x14ac:dyDescent="0.3">
      <c r="A681" t="s">
        <v>39</v>
      </c>
      <c r="B681" t="s">
        <v>71</v>
      </c>
      <c r="C681">
        <v>159</v>
      </c>
      <c r="D681" t="s">
        <v>20</v>
      </c>
      <c r="E681">
        <v>2023</v>
      </c>
      <c r="F681" t="s">
        <v>21</v>
      </c>
      <c r="G681">
        <v>132</v>
      </c>
      <c r="H681">
        <v>40.799999999999997</v>
      </c>
      <c r="I681">
        <v>10.4</v>
      </c>
      <c r="J681">
        <v>102344</v>
      </c>
      <c r="K681">
        <v>28</v>
      </c>
      <c r="L681">
        <v>28656</v>
      </c>
      <c r="M681">
        <v>131000</v>
      </c>
      <c r="N681">
        <v>150352</v>
      </c>
      <c r="O681">
        <v>70</v>
      </c>
      <c r="P681">
        <v>3.5</v>
      </c>
      <c r="Q681" t="s">
        <v>26</v>
      </c>
      <c r="R681" t="s">
        <v>27</v>
      </c>
    </row>
    <row r="682" spans="1:18" x14ac:dyDescent="0.3">
      <c r="A682" t="s">
        <v>24</v>
      </c>
      <c r="B682" t="s">
        <v>67</v>
      </c>
      <c r="C682">
        <v>199</v>
      </c>
      <c r="D682" t="s">
        <v>20</v>
      </c>
      <c r="E682">
        <v>2025</v>
      </c>
      <c r="F682" t="s">
        <v>21</v>
      </c>
      <c r="G682">
        <v>129</v>
      </c>
      <c r="H682">
        <v>38.5</v>
      </c>
      <c r="I682">
        <v>13.2</v>
      </c>
      <c r="J682">
        <v>110938</v>
      </c>
      <c r="K682">
        <v>28</v>
      </c>
      <c r="L682">
        <v>31062</v>
      </c>
      <c r="M682">
        <v>142000</v>
      </c>
      <c r="N682">
        <v>167536</v>
      </c>
      <c r="O682">
        <v>74</v>
      </c>
      <c r="P682">
        <v>12.2</v>
      </c>
      <c r="Q682" t="s">
        <v>37</v>
      </c>
      <c r="R682" t="s">
        <v>38</v>
      </c>
    </row>
    <row r="683" spans="1:18" x14ac:dyDescent="0.3">
      <c r="A683" t="s">
        <v>39</v>
      </c>
      <c r="B683" t="s">
        <v>93</v>
      </c>
      <c r="C683">
        <v>225</v>
      </c>
      <c r="D683" t="s">
        <v>20</v>
      </c>
      <c r="E683">
        <v>2023</v>
      </c>
      <c r="F683" t="s">
        <v>21</v>
      </c>
      <c r="G683">
        <v>156</v>
      </c>
      <c r="H683">
        <v>34.6</v>
      </c>
      <c r="I683">
        <v>16.3</v>
      </c>
      <c r="J683">
        <v>137500</v>
      </c>
      <c r="K683">
        <v>28</v>
      </c>
      <c r="L683">
        <v>38500</v>
      </c>
      <c r="M683">
        <v>176000</v>
      </c>
      <c r="N683">
        <v>203266</v>
      </c>
      <c r="O683">
        <v>67</v>
      </c>
      <c r="P683">
        <v>7.9</v>
      </c>
      <c r="Q683" t="s">
        <v>22</v>
      </c>
      <c r="R683" t="s">
        <v>23</v>
      </c>
    </row>
    <row r="684" spans="1:18" x14ac:dyDescent="0.3">
      <c r="A684" t="s">
        <v>50</v>
      </c>
      <c r="B684" t="s">
        <v>81</v>
      </c>
      <c r="C684">
        <v>199</v>
      </c>
      <c r="D684" t="s">
        <v>20</v>
      </c>
      <c r="E684">
        <v>2022</v>
      </c>
      <c r="F684" t="s">
        <v>21</v>
      </c>
      <c r="G684">
        <v>133</v>
      </c>
      <c r="H684">
        <v>41.3</v>
      </c>
      <c r="I684">
        <v>13.9</v>
      </c>
      <c r="J684">
        <v>157031</v>
      </c>
      <c r="K684">
        <v>28</v>
      </c>
      <c r="L684">
        <v>43969</v>
      </c>
      <c r="M684">
        <v>201000</v>
      </c>
      <c r="N684">
        <v>230751</v>
      </c>
      <c r="O684">
        <v>69</v>
      </c>
      <c r="P684">
        <v>1.6</v>
      </c>
      <c r="Q684" t="s">
        <v>57</v>
      </c>
      <c r="R684" t="s">
        <v>58</v>
      </c>
    </row>
    <row r="685" spans="1:18" x14ac:dyDescent="0.3">
      <c r="A685" t="s">
        <v>24</v>
      </c>
      <c r="B685" t="s">
        <v>74</v>
      </c>
      <c r="C685">
        <v>199</v>
      </c>
      <c r="D685" t="s">
        <v>20</v>
      </c>
      <c r="E685">
        <v>2023</v>
      </c>
      <c r="F685" t="s">
        <v>21</v>
      </c>
      <c r="G685">
        <v>136</v>
      </c>
      <c r="H685">
        <v>43.3</v>
      </c>
      <c r="I685">
        <v>10.3</v>
      </c>
      <c r="J685">
        <v>139844</v>
      </c>
      <c r="K685">
        <v>28</v>
      </c>
      <c r="L685">
        <v>39156</v>
      </c>
      <c r="M685">
        <v>179000</v>
      </c>
      <c r="N685">
        <v>211290</v>
      </c>
      <c r="O685">
        <v>68</v>
      </c>
      <c r="P685">
        <v>5.0999999999999996</v>
      </c>
      <c r="Q685" t="s">
        <v>22</v>
      </c>
      <c r="R685" t="s">
        <v>23</v>
      </c>
    </row>
    <row r="686" spans="1:18" x14ac:dyDescent="0.3">
      <c r="A686" t="s">
        <v>42</v>
      </c>
      <c r="B686" t="s">
        <v>59</v>
      </c>
      <c r="C686">
        <v>155</v>
      </c>
      <c r="D686" t="s">
        <v>20</v>
      </c>
      <c r="E686">
        <v>2020</v>
      </c>
      <c r="F686" t="s">
        <v>21</v>
      </c>
      <c r="G686">
        <v>136</v>
      </c>
      <c r="H686">
        <v>45.4</v>
      </c>
      <c r="I686">
        <v>12.2</v>
      </c>
      <c r="J686">
        <v>128906</v>
      </c>
      <c r="K686">
        <v>28</v>
      </c>
      <c r="L686">
        <v>36094</v>
      </c>
      <c r="M686">
        <v>165000</v>
      </c>
      <c r="N686">
        <v>195134</v>
      </c>
      <c r="O686">
        <v>79</v>
      </c>
      <c r="P686">
        <v>5.0999999999999996</v>
      </c>
      <c r="Q686" t="s">
        <v>22</v>
      </c>
      <c r="R686" t="s">
        <v>23</v>
      </c>
    </row>
    <row r="687" spans="1:18" x14ac:dyDescent="0.3">
      <c r="A687" t="s">
        <v>28</v>
      </c>
      <c r="B687" t="s">
        <v>69</v>
      </c>
      <c r="C687">
        <v>125</v>
      </c>
      <c r="D687" t="s">
        <v>30</v>
      </c>
      <c r="E687">
        <v>2020</v>
      </c>
      <c r="F687" t="s">
        <v>21</v>
      </c>
      <c r="G687">
        <v>113</v>
      </c>
      <c r="H687">
        <v>57.1</v>
      </c>
      <c r="I687">
        <v>13.1</v>
      </c>
      <c r="J687">
        <v>82031</v>
      </c>
      <c r="K687">
        <v>28</v>
      </c>
      <c r="L687">
        <v>22969</v>
      </c>
      <c r="M687">
        <v>105000</v>
      </c>
      <c r="N687">
        <v>123465</v>
      </c>
      <c r="O687">
        <v>70</v>
      </c>
      <c r="P687">
        <v>4.5999999999999996</v>
      </c>
      <c r="Q687" t="s">
        <v>26</v>
      </c>
      <c r="R687" t="s">
        <v>27</v>
      </c>
    </row>
    <row r="688" spans="1:18" x14ac:dyDescent="0.3">
      <c r="A688" t="s">
        <v>28</v>
      </c>
      <c r="B688" t="s">
        <v>48</v>
      </c>
      <c r="C688">
        <v>110</v>
      </c>
      <c r="D688" t="s">
        <v>30</v>
      </c>
      <c r="E688">
        <v>2025</v>
      </c>
      <c r="F688" t="s">
        <v>35</v>
      </c>
      <c r="G688">
        <v>86</v>
      </c>
      <c r="H688">
        <v>75.8</v>
      </c>
      <c r="I688">
        <v>8.6</v>
      </c>
      <c r="J688">
        <v>58594</v>
      </c>
      <c r="K688">
        <v>28</v>
      </c>
      <c r="L688">
        <v>16406</v>
      </c>
      <c r="M688">
        <v>75000</v>
      </c>
      <c r="N688">
        <v>88250</v>
      </c>
      <c r="O688">
        <v>64</v>
      </c>
      <c r="P688">
        <v>6.8</v>
      </c>
      <c r="Q688" t="s">
        <v>37</v>
      </c>
      <c r="R688" t="s">
        <v>38</v>
      </c>
    </row>
    <row r="689" spans="1:18" x14ac:dyDescent="0.3">
      <c r="A689" t="s">
        <v>42</v>
      </c>
      <c r="B689" t="s">
        <v>43</v>
      </c>
      <c r="C689">
        <v>149</v>
      </c>
      <c r="D689" t="s">
        <v>20</v>
      </c>
      <c r="E689">
        <v>2025</v>
      </c>
      <c r="F689" t="s">
        <v>35</v>
      </c>
      <c r="G689">
        <v>110</v>
      </c>
      <c r="H689">
        <v>61.2</v>
      </c>
      <c r="I689">
        <v>13.9</v>
      </c>
      <c r="J689">
        <v>105469</v>
      </c>
      <c r="K689">
        <v>28</v>
      </c>
      <c r="L689">
        <v>29531</v>
      </c>
      <c r="M689">
        <v>135000</v>
      </c>
      <c r="N689">
        <v>157859</v>
      </c>
      <c r="O689">
        <v>70</v>
      </c>
      <c r="P689">
        <v>3.6</v>
      </c>
      <c r="Q689" t="s">
        <v>26</v>
      </c>
      <c r="R689" t="s">
        <v>27</v>
      </c>
    </row>
    <row r="690" spans="1:18" x14ac:dyDescent="0.3">
      <c r="A690" t="s">
        <v>39</v>
      </c>
      <c r="B690" t="s">
        <v>60</v>
      </c>
      <c r="C690">
        <v>109</v>
      </c>
      <c r="D690" t="s">
        <v>30</v>
      </c>
      <c r="E690">
        <v>2023</v>
      </c>
      <c r="F690" t="s">
        <v>35</v>
      </c>
      <c r="G690">
        <v>85</v>
      </c>
      <c r="H690">
        <v>68.2</v>
      </c>
      <c r="I690">
        <v>9.4</v>
      </c>
      <c r="J690">
        <v>66406</v>
      </c>
      <c r="K690">
        <v>28</v>
      </c>
      <c r="L690">
        <v>18594</v>
      </c>
      <c r="M690">
        <v>85000</v>
      </c>
      <c r="N690">
        <v>97643</v>
      </c>
      <c r="O690">
        <v>63</v>
      </c>
      <c r="P690">
        <v>10.199999999999999</v>
      </c>
      <c r="Q690" t="s">
        <v>37</v>
      </c>
      <c r="R690" t="s">
        <v>38</v>
      </c>
    </row>
    <row r="691" spans="1:18" x14ac:dyDescent="0.3">
      <c r="A691" t="s">
        <v>42</v>
      </c>
      <c r="B691" t="s">
        <v>54</v>
      </c>
      <c r="C691">
        <v>155</v>
      </c>
      <c r="D691" t="s">
        <v>20</v>
      </c>
      <c r="E691">
        <v>2021</v>
      </c>
      <c r="F691" t="s">
        <v>21</v>
      </c>
      <c r="G691">
        <v>132</v>
      </c>
      <c r="H691">
        <v>43.8</v>
      </c>
      <c r="I691">
        <v>10.1</v>
      </c>
      <c r="J691">
        <v>135938</v>
      </c>
      <c r="K691">
        <v>28</v>
      </c>
      <c r="L691">
        <v>38062</v>
      </c>
      <c r="M691">
        <v>174000</v>
      </c>
      <c r="N691">
        <v>205774</v>
      </c>
      <c r="O691">
        <v>71</v>
      </c>
      <c r="P691">
        <v>2.2000000000000002</v>
      </c>
      <c r="Q691" t="s">
        <v>26</v>
      </c>
      <c r="R691" t="s">
        <v>27</v>
      </c>
    </row>
    <row r="692" spans="1:18" x14ac:dyDescent="0.3">
      <c r="A692" t="s">
        <v>18</v>
      </c>
      <c r="B692" t="s">
        <v>19</v>
      </c>
      <c r="C692">
        <v>184</v>
      </c>
      <c r="D692" t="s">
        <v>20</v>
      </c>
      <c r="E692">
        <v>2023</v>
      </c>
      <c r="F692" t="s">
        <v>21</v>
      </c>
      <c r="G692">
        <v>140</v>
      </c>
      <c r="H692">
        <v>39.1</v>
      </c>
      <c r="I692">
        <v>13.4</v>
      </c>
      <c r="J692">
        <v>114844</v>
      </c>
      <c r="K692">
        <v>28</v>
      </c>
      <c r="L692">
        <v>32156</v>
      </c>
      <c r="M692">
        <v>147000</v>
      </c>
      <c r="N692">
        <v>169925</v>
      </c>
      <c r="O692">
        <v>71</v>
      </c>
      <c r="P692">
        <v>10.1</v>
      </c>
      <c r="Q692" t="s">
        <v>37</v>
      </c>
      <c r="R692" t="s">
        <v>38</v>
      </c>
    </row>
    <row r="693" spans="1:18" x14ac:dyDescent="0.3">
      <c r="A693" t="s">
        <v>55</v>
      </c>
      <c r="B693" t="s">
        <v>75</v>
      </c>
      <c r="C693">
        <v>155</v>
      </c>
      <c r="D693" t="s">
        <v>20</v>
      </c>
      <c r="E693">
        <v>2025</v>
      </c>
      <c r="F693" t="s">
        <v>35</v>
      </c>
      <c r="G693">
        <v>123</v>
      </c>
      <c r="H693">
        <v>41.2</v>
      </c>
      <c r="I693">
        <v>12.8</v>
      </c>
      <c r="J693">
        <v>107812</v>
      </c>
      <c r="K693">
        <v>28</v>
      </c>
      <c r="L693">
        <v>30188</v>
      </c>
      <c r="M693">
        <v>138000</v>
      </c>
      <c r="N693">
        <v>160061</v>
      </c>
      <c r="O693">
        <v>60</v>
      </c>
      <c r="P693">
        <v>13.6</v>
      </c>
      <c r="Q693" t="s">
        <v>37</v>
      </c>
      <c r="R693" t="s">
        <v>38</v>
      </c>
    </row>
    <row r="694" spans="1:18" x14ac:dyDescent="0.3">
      <c r="A694" t="s">
        <v>42</v>
      </c>
      <c r="B694" t="s">
        <v>54</v>
      </c>
      <c r="C694">
        <v>155</v>
      </c>
      <c r="D694" t="s">
        <v>20</v>
      </c>
      <c r="E694">
        <v>2020</v>
      </c>
      <c r="F694" t="s">
        <v>21</v>
      </c>
      <c r="G694">
        <v>132</v>
      </c>
      <c r="H694">
        <v>39.9</v>
      </c>
      <c r="I694">
        <v>12.5</v>
      </c>
      <c r="J694">
        <v>139844</v>
      </c>
      <c r="K694">
        <v>28</v>
      </c>
      <c r="L694">
        <v>39156</v>
      </c>
      <c r="M694">
        <v>179000</v>
      </c>
      <c r="N694">
        <v>209765</v>
      </c>
      <c r="O694">
        <v>67</v>
      </c>
      <c r="P694">
        <v>5.7</v>
      </c>
      <c r="Q694" t="s">
        <v>22</v>
      </c>
      <c r="R694" t="s">
        <v>23</v>
      </c>
    </row>
    <row r="695" spans="1:18" x14ac:dyDescent="0.3">
      <c r="A695" t="s">
        <v>50</v>
      </c>
      <c r="B695" t="s">
        <v>109</v>
      </c>
      <c r="C695">
        <v>373</v>
      </c>
      <c r="D695" t="s">
        <v>34</v>
      </c>
      <c r="E695">
        <v>2023</v>
      </c>
      <c r="F695" t="s">
        <v>21</v>
      </c>
      <c r="G695">
        <v>178</v>
      </c>
      <c r="H695">
        <v>23.2</v>
      </c>
      <c r="I695">
        <v>16.600000000000001</v>
      </c>
      <c r="J695">
        <v>275573</v>
      </c>
      <c r="K695">
        <v>31</v>
      </c>
      <c r="L695">
        <v>85427</v>
      </c>
      <c r="M695">
        <v>361000</v>
      </c>
      <c r="N695">
        <v>422726</v>
      </c>
      <c r="O695">
        <v>71</v>
      </c>
      <c r="P695">
        <v>7.8</v>
      </c>
      <c r="Q695" t="s">
        <v>22</v>
      </c>
      <c r="R695" t="s">
        <v>23</v>
      </c>
    </row>
    <row r="696" spans="1:18" x14ac:dyDescent="0.3">
      <c r="A696" t="s">
        <v>42</v>
      </c>
      <c r="B696" t="s">
        <v>54</v>
      </c>
      <c r="C696">
        <v>155</v>
      </c>
      <c r="D696" t="s">
        <v>20</v>
      </c>
      <c r="E696">
        <v>2023</v>
      </c>
      <c r="F696" t="s">
        <v>21</v>
      </c>
      <c r="G696">
        <v>122</v>
      </c>
      <c r="H696">
        <v>40.1</v>
      </c>
      <c r="I696">
        <v>13.6</v>
      </c>
      <c r="J696">
        <v>134375</v>
      </c>
      <c r="K696">
        <v>28</v>
      </c>
      <c r="L696">
        <v>37625</v>
      </c>
      <c r="M696">
        <v>172000</v>
      </c>
      <c r="N696">
        <v>195763</v>
      </c>
      <c r="O696">
        <v>71</v>
      </c>
      <c r="P696">
        <v>13.5</v>
      </c>
      <c r="Q696" t="s">
        <v>37</v>
      </c>
      <c r="R696" t="s">
        <v>38</v>
      </c>
    </row>
    <row r="697" spans="1:18" x14ac:dyDescent="0.3">
      <c r="A697" t="s">
        <v>18</v>
      </c>
      <c r="B697" t="s">
        <v>19</v>
      </c>
      <c r="C697">
        <v>184</v>
      </c>
      <c r="D697" t="s">
        <v>20</v>
      </c>
      <c r="E697">
        <v>2023</v>
      </c>
      <c r="F697" t="s">
        <v>21</v>
      </c>
      <c r="G697">
        <v>125</v>
      </c>
      <c r="H697">
        <v>41.4</v>
      </c>
      <c r="I697">
        <v>11.4</v>
      </c>
      <c r="J697">
        <v>109375</v>
      </c>
      <c r="K697">
        <v>28</v>
      </c>
      <c r="L697">
        <v>30625</v>
      </c>
      <c r="M697">
        <v>140000</v>
      </c>
      <c r="N697">
        <v>166486</v>
      </c>
      <c r="O697">
        <v>73</v>
      </c>
      <c r="P697">
        <v>11.2</v>
      </c>
      <c r="Q697" t="s">
        <v>37</v>
      </c>
      <c r="R697" t="s">
        <v>38</v>
      </c>
    </row>
    <row r="698" spans="1:18" x14ac:dyDescent="0.3">
      <c r="A698" t="s">
        <v>24</v>
      </c>
      <c r="B698" t="s">
        <v>106</v>
      </c>
      <c r="C698">
        <v>373</v>
      </c>
      <c r="D698" t="s">
        <v>34</v>
      </c>
      <c r="E698">
        <v>2022</v>
      </c>
      <c r="F698" t="s">
        <v>21</v>
      </c>
      <c r="G698">
        <v>205</v>
      </c>
      <c r="H698">
        <v>23.9</v>
      </c>
      <c r="I698">
        <v>18.100000000000001</v>
      </c>
      <c r="J698">
        <v>183206</v>
      </c>
      <c r="K698">
        <v>31</v>
      </c>
      <c r="L698">
        <v>56794</v>
      </c>
      <c r="M698">
        <v>240000</v>
      </c>
      <c r="N698">
        <v>279795</v>
      </c>
      <c r="O698">
        <v>80</v>
      </c>
      <c r="P698">
        <v>7.6</v>
      </c>
      <c r="Q698" t="s">
        <v>22</v>
      </c>
      <c r="R698" t="s">
        <v>23</v>
      </c>
    </row>
    <row r="699" spans="1:18" x14ac:dyDescent="0.3">
      <c r="A699" t="s">
        <v>32</v>
      </c>
      <c r="B699" t="s">
        <v>90</v>
      </c>
      <c r="C699">
        <v>648</v>
      </c>
      <c r="D699" t="s">
        <v>34</v>
      </c>
      <c r="E699">
        <v>2025</v>
      </c>
      <c r="F699" t="s">
        <v>31</v>
      </c>
      <c r="G699">
        <v>170</v>
      </c>
      <c r="H699">
        <v>23.6</v>
      </c>
      <c r="I699">
        <v>18.2</v>
      </c>
      <c r="J699">
        <v>266412</v>
      </c>
      <c r="K699">
        <v>31</v>
      </c>
      <c r="L699">
        <v>82588</v>
      </c>
      <c r="M699">
        <v>349000</v>
      </c>
      <c r="N699">
        <v>407193</v>
      </c>
      <c r="O699">
        <v>72</v>
      </c>
      <c r="P699">
        <v>3.9</v>
      </c>
      <c r="Q699" t="s">
        <v>26</v>
      </c>
      <c r="R699" t="s">
        <v>27</v>
      </c>
    </row>
    <row r="700" spans="1:18" x14ac:dyDescent="0.3">
      <c r="A700" t="s">
        <v>42</v>
      </c>
      <c r="B700" t="s">
        <v>59</v>
      </c>
      <c r="C700">
        <v>155</v>
      </c>
      <c r="D700" t="s">
        <v>20</v>
      </c>
      <c r="E700">
        <v>2024</v>
      </c>
      <c r="F700" t="s">
        <v>21</v>
      </c>
      <c r="G700">
        <v>135</v>
      </c>
      <c r="H700">
        <v>45</v>
      </c>
      <c r="I700">
        <v>10.199999999999999</v>
      </c>
      <c r="J700">
        <v>125000</v>
      </c>
      <c r="K700">
        <v>28</v>
      </c>
      <c r="L700">
        <v>35000</v>
      </c>
      <c r="M700">
        <v>160000</v>
      </c>
      <c r="N700">
        <v>183228</v>
      </c>
      <c r="O700">
        <v>77</v>
      </c>
      <c r="P700">
        <v>4.3</v>
      </c>
      <c r="Q700" t="s">
        <v>26</v>
      </c>
      <c r="R700" t="s">
        <v>27</v>
      </c>
    </row>
    <row r="701" spans="1:18" x14ac:dyDescent="0.3">
      <c r="A701" t="s">
        <v>28</v>
      </c>
      <c r="B701" t="s">
        <v>48</v>
      </c>
      <c r="C701">
        <v>110</v>
      </c>
      <c r="D701" t="s">
        <v>30</v>
      </c>
      <c r="E701">
        <v>2020</v>
      </c>
      <c r="F701" t="s">
        <v>35</v>
      </c>
      <c r="G701">
        <v>86</v>
      </c>
      <c r="H701">
        <v>75.5</v>
      </c>
      <c r="I701">
        <v>9.1999999999999993</v>
      </c>
      <c r="J701">
        <v>60938</v>
      </c>
      <c r="K701">
        <v>28</v>
      </c>
      <c r="L701">
        <v>17062</v>
      </c>
      <c r="M701">
        <v>78000</v>
      </c>
      <c r="N701">
        <v>91165</v>
      </c>
      <c r="O701">
        <v>64</v>
      </c>
      <c r="P701">
        <v>5.7</v>
      </c>
      <c r="Q701" t="s">
        <v>37</v>
      </c>
      <c r="R701" t="s">
        <v>38</v>
      </c>
    </row>
    <row r="702" spans="1:18" x14ac:dyDescent="0.3">
      <c r="A702" t="s">
        <v>18</v>
      </c>
      <c r="B702" t="s">
        <v>78</v>
      </c>
      <c r="C702">
        <v>184</v>
      </c>
      <c r="D702" t="s">
        <v>20</v>
      </c>
      <c r="E702">
        <v>2025</v>
      </c>
      <c r="F702" t="s">
        <v>21</v>
      </c>
      <c r="G702">
        <v>137</v>
      </c>
      <c r="H702">
        <v>44.7</v>
      </c>
      <c r="I702">
        <v>13.5</v>
      </c>
      <c r="J702">
        <v>117969</v>
      </c>
      <c r="K702">
        <v>28</v>
      </c>
      <c r="L702">
        <v>33031</v>
      </c>
      <c r="M702">
        <v>151000</v>
      </c>
      <c r="N702">
        <v>177004</v>
      </c>
      <c r="O702">
        <v>73</v>
      </c>
      <c r="P702">
        <v>13.5</v>
      </c>
      <c r="Q702" t="s">
        <v>37</v>
      </c>
      <c r="R702" t="s">
        <v>38</v>
      </c>
    </row>
    <row r="703" spans="1:18" x14ac:dyDescent="0.3">
      <c r="A703" t="s">
        <v>18</v>
      </c>
      <c r="B703" t="s">
        <v>95</v>
      </c>
      <c r="C703">
        <v>160</v>
      </c>
      <c r="D703" t="s">
        <v>20</v>
      </c>
      <c r="E703">
        <v>2024</v>
      </c>
      <c r="F703" t="s">
        <v>35</v>
      </c>
      <c r="G703">
        <v>123</v>
      </c>
      <c r="H703">
        <v>46.7</v>
      </c>
      <c r="I703">
        <v>13.1</v>
      </c>
      <c r="J703">
        <v>92969</v>
      </c>
      <c r="K703">
        <v>28</v>
      </c>
      <c r="L703">
        <v>26031</v>
      </c>
      <c r="M703">
        <v>119000</v>
      </c>
      <c r="N703">
        <v>141415</v>
      </c>
      <c r="O703">
        <v>69</v>
      </c>
      <c r="P703">
        <v>11.9</v>
      </c>
      <c r="Q703" t="s">
        <v>37</v>
      </c>
      <c r="R703" t="s">
        <v>38</v>
      </c>
    </row>
    <row r="704" spans="1:18" x14ac:dyDescent="0.3">
      <c r="A704" t="s">
        <v>18</v>
      </c>
      <c r="B704" t="s">
        <v>95</v>
      </c>
      <c r="C704">
        <v>160</v>
      </c>
      <c r="D704" t="s">
        <v>20</v>
      </c>
      <c r="E704">
        <v>2022</v>
      </c>
      <c r="F704" t="s">
        <v>35</v>
      </c>
      <c r="G704">
        <v>126</v>
      </c>
      <c r="H704">
        <v>38.200000000000003</v>
      </c>
      <c r="I704">
        <v>12.8</v>
      </c>
      <c r="J704">
        <v>94531</v>
      </c>
      <c r="K704">
        <v>28</v>
      </c>
      <c r="L704">
        <v>26469</v>
      </c>
      <c r="M704">
        <v>121000</v>
      </c>
      <c r="N704">
        <v>139348</v>
      </c>
      <c r="O704">
        <v>67</v>
      </c>
      <c r="P704">
        <v>3.2</v>
      </c>
      <c r="Q704" t="s">
        <v>26</v>
      </c>
      <c r="R704" t="s">
        <v>27</v>
      </c>
    </row>
    <row r="705" spans="1:18" x14ac:dyDescent="0.3">
      <c r="A705" t="s">
        <v>42</v>
      </c>
      <c r="B705" t="s">
        <v>110</v>
      </c>
      <c r="C705">
        <v>321</v>
      </c>
      <c r="D705" t="s">
        <v>34</v>
      </c>
      <c r="E705">
        <v>2023</v>
      </c>
      <c r="F705" t="s">
        <v>21</v>
      </c>
      <c r="G705">
        <v>144</v>
      </c>
      <c r="H705">
        <v>30.7</v>
      </c>
      <c r="I705">
        <v>19.8</v>
      </c>
      <c r="J705">
        <v>351562</v>
      </c>
      <c r="K705">
        <v>28</v>
      </c>
      <c r="L705">
        <v>98438</v>
      </c>
      <c r="M705">
        <v>450000</v>
      </c>
      <c r="N705">
        <v>520047</v>
      </c>
      <c r="O705">
        <v>71</v>
      </c>
      <c r="P705">
        <v>12.9</v>
      </c>
      <c r="Q705" t="s">
        <v>37</v>
      </c>
      <c r="R705" t="s">
        <v>38</v>
      </c>
    </row>
    <row r="706" spans="1:18" x14ac:dyDescent="0.3">
      <c r="A706" t="s">
        <v>28</v>
      </c>
      <c r="B706" t="s">
        <v>29</v>
      </c>
      <c r="C706">
        <v>97</v>
      </c>
      <c r="D706" t="s">
        <v>30</v>
      </c>
      <c r="E706">
        <v>2023</v>
      </c>
      <c r="F706" t="s">
        <v>31</v>
      </c>
      <c r="G706">
        <v>93</v>
      </c>
      <c r="H706">
        <v>64.5</v>
      </c>
      <c r="I706">
        <v>8.6999999999999993</v>
      </c>
      <c r="J706">
        <v>55469</v>
      </c>
      <c r="K706">
        <v>28</v>
      </c>
      <c r="L706">
        <v>15531</v>
      </c>
      <c r="M706">
        <v>71000</v>
      </c>
      <c r="N706">
        <v>85661</v>
      </c>
      <c r="O706">
        <v>61</v>
      </c>
      <c r="P706">
        <v>11</v>
      </c>
      <c r="Q706" t="s">
        <v>37</v>
      </c>
      <c r="R706" t="s">
        <v>38</v>
      </c>
    </row>
    <row r="707" spans="1:18" x14ac:dyDescent="0.3">
      <c r="A707" t="s">
        <v>39</v>
      </c>
      <c r="B707" t="s">
        <v>40</v>
      </c>
      <c r="C707">
        <v>109</v>
      </c>
      <c r="D707" t="s">
        <v>30</v>
      </c>
      <c r="E707">
        <v>2023</v>
      </c>
      <c r="F707" t="s">
        <v>35</v>
      </c>
      <c r="G707">
        <v>98</v>
      </c>
      <c r="H707">
        <v>63.9</v>
      </c>
      <c r="I707">
        <v>9.9</v>
      </c>
      <c r="J707">
        <v>60156</v>
      </c>
      <c r="K707">
        <v>28</v>
      </c>
      <c r="L707">
        <v>16844</v>
      </c>
      <c r="M707">
        <v>77000</v>
      </c>
      <c r="N707">
        <v>91374</v>
      </c>
      <c r="O707">
        <v>67</v>
      </c>
      <c r="P707">
        <v>13.9</v>
      </c>
      <c r="Q707" t="s">
        <v>37</v>
      </c>
      <c r="R707" t="s">
        <v>38</v>
      </c>
    </row>
    <row r="708" spans="1:18" x14ac:dyDescent="0.3">
      <c r="A708" t="s">
        <v>55</v>
      </c>
      <c r="B708" t="s">
        <v>96</v>
      </c>
      <c r="C708">
        <v>124</v>
      </c>
      <c r="D708" t="s">
        <v>30</v>
      </c>
      <c r="E708">
        <v>2023</v>
      </c>
      <c r="F708" t="s">
        <v>35</v>
      </c>
      <c r="G708">
        <v>107</v>
      </c>
      <c r="H708">
        <v>58.6</v>
      </c>
      <c r="I708">
        <v>13.9</v>
      </c>
      <c r="J708">
        <v>73438</v>
      </c>
      <c r="K708">
        <v>28</v>
      </c>
      <c r="L708">
        <v>20562</v>
      </c>
      <c r="M708">
        <v>94000</v>
      </c>
      <c r="N708">
        <v>108352</v>
      </c>
      <c r="O708">
        <v>56</v>
      </c>
      <c r="P708">
        <v>5.7</v>
      </c>
      <c r="Q708" t="s">
        <v>37</v>
      </c>
      <c r="R708" t="s">
        <v>38</v>
      </c>
    </row>
    <row r="709" spans="1:18" x14ac:dyDescent="0.3">
      <c r="A709" t="s">
        <v>24</v>
      </c>
      <c r="B709" t="s">
        <v>101</v>
      </c>
      <c r="C709">
        <v>102</v>
      </c>
      <c r="D709" t="s">
        <v>30</v>
      </c>
      <c r="E709">
        <v>2025</v>
      </c>
      <c r="F709" t="s">
        <v>31</v>
      </c>
      <c r="G709">
        <v>86</v>
      </c>
      <c r="H709">
        <v>64.099999999999994</v>
      </c>
      <c r="I709">
        <v>9.8000000000000007</v>
      </c>
      <c r="J709">
        <v>52344</v>
      </c>
      <c r="K709">
        <v>28</v>
      </c>
      <c r="L709">
        <v>14656</v>
      </c>
      <c r="M709">
        <v>67000</v>
      </c>
      <c r="N709">
        <v>80101</v>
      </c>
      <c r="O709">
        <v>65</v>
      </c>
      <c r="P709">
        <v>14.7</v>
      </c>
      <c r="Q709" t="s">
        <v>37</v>
      </c>
      <c r="R709" t="s">
        <v>38</v>
      </c>
    </row>
    <row r="710" spans="1:18" x14ac:dyDescent="0.3">
      <c r="A710" t="s">
        <v>39</v>
      </c>
      <c r="B710" t="s">
        <v>112</v>
      </c>
      <c r="C710">
        <v>197</v>
      </c>
      <c r="D710" t="s">
        <v>20</v>
      </c>
      <c r="E710">
        <v>2022</v>
      </c>
      <c r="F710" t="s">
        <v>21</v>
      </c>
      <c r="G710">
        <v>130</v>
      </c>
      <c r="H710">
        <v>44.2</v>
      </c>
      <c r="I710">
        <v>13.6</v>
      </c>
      <c r="J710">
        <v>115625</v>
      </c>
      <c r="K710">
        <v>28</v>
      </c>
      <c r="L710">
        <v>32375</v>
      </c>
      <c r="M710">
        <v>148000</v>
      </c>
      <c r="N710">
        <v>174844</v>
      </c>
      <c r="O710">
        <v>71</v>
      </c>
      <c r="P710">
        <v>1.1000000000000001</v>
      </c>
      <c r="Q710" t="s">
        <v>57</v>
      </c>
      <c r="R710" t="s">
        <v>58</v>
      </c>
    </row>
    <row r="711" spans="1:18" x14ac:dyDescent="0.3">
      <c r="A711" t="s">
        <v>18</v>
      </c>
      <c r="B711" t="s">
        <v>62</v>
      </c>
      <c r="C711">
        <v>348</v>
      </c>
      <c r="D711" t="s">
        <v>34</v>
      </c>
      <c r="E711">
        <v>2022</v>
      </c>
      <c r="F711" t="s">
        <v>21</v>
      </c>
      <c r="G711">
        <v>159</v>
      </c>
      <c r="H711">
        <v>33</v>
      </c>
      <c r="I711">
        <v>19.2</v>
      </c>
      <c r="J711">
        <v>177344</v>
      </c>
      <c r="K711">
        <v>28</v>
      </c>
      <c r="L711">
        <v>49656</v>
      </c>
      <c r="M711">
        <v>227000</v>
      </c>
      <c r="N711">
        <v>261182</v>
      </c>
      <c r="O711">
        <v>82</v>
      </c>
      <c r="P711">
        <v>7.2</v>
      </c>
      <c r="Q711" t="s">
        <v>22</v>
      </c>
      <c r="R711" t="s">
        <v>23</v>
      </c>
    </row>
    <row r="712" spans="1:18" x14ac:dyDescent="0.3">
      <c r="A712" t="s">
        <v>50</v>
      </c>
      <c r="B712" t="s">
        <v>52</v>
      </c>
      <c r="C712">
        <v>199</v>
      </c>
      <c r="D712" t="s">
        <v>20</v>
      </c>
      <c r="E712">
        <v>2022</v>
      </c>
      <c r="F712" t="s">
        <v>21</v>
      </c>
      <c r="G712">
        <v>124</v>
      </c>
      <c r="H712">
        <v>40.299999999999997</v>
      </c>
      <c r="I712">
        <v>10.9</v>
      </c>
      <c r="J712">
        <v>163281</v>
      </c>
      <c r="K712">
        <v>28</v>
      </c>
      <c r="L712">
        <v>45719</v>
      </c>
      <c r="M712">
        <v>209000</v>
      </c>
      <c r="N712">
        <v>243908</v>
      </c>
      <c r="O712">
        <v>76</v>
      </c>
      <c r="P712">
        <v>14.9</v>
      </c>
      <c r="Q712" t="s">
        <v>37</v>
      </c>
      <c r="R712" t="s">
        <v>38</v>
      </c>
    </row>
    <row r="713" spans="1:18" x14ac:dyDescent="0.3">
      <c r="A713" t="s">
        <v>42</v>
      </c>
      <c r="B713" t="s">
        <v>87</v>
      </c>
      <c r="C713">
        <v>321</v>
      </c>
      <c r="D713" t="s">
        <v>34</v>
      </c>
      <c r="E713">
        <v>2021</v>
      </c>
      <c r="F713" t="s">
        <v>21</v>
      </c>
      <c r="G713">
        <v>165</v>
      </c>
      <c r="H713">
        <v>28.3</v>
      </c>
      <c r="I713">
        <v>18.8</v>
      </c>
      <c r="J713">
        <v>362500</v>
      </c>
      <c r="K713">
        <v>28</v>
      </c>
      <c r="L713">
        <v>101500</v>
      </c>
      <c r="M713">
        <v>464000</v>
      </c>
      <c r="N713">
        <v>534396</v>
      </c>
      <c r="O713">
        <v>78</v>
      </c>
      <c r="P713">
        <v>9.3000000000000007</v>
      </c>
      <c r="Q713" t="s">
        <v>22</v>
      </c>
      <c r="R713" t="s">
        <v>23</v>
      </c>
    </row>
    <row r="714" spans="1:18" x14ac:dyDescent="0.3">
      <c r="A714" t="s">
        <v>39</v>
      </c>
      <c r="B714" t="s">
        <v>47</v>
      </c>
      <c r="C714">
        <v>312</v>
      </c>
      <c r="D714" t="s">
        <v>34</v>
      </c>
      <c r="E714">
        <v>2020</v>
      </c>
      <c r="F714" t="s">
        <v>21</v>
      </c>
      <c r="G714">
        <v>148</v>
      </c>
      <c r="H714">
        <v>34.6</v>
      </c>
      <c r="I714">
        <v>13.3</v>
      </c>
      <c r="J714">
        <v>226562</v>
      </c>
      <c r="K714">
        <v>28</v>
      </c>
      <c r="L714">
        <v>63438</v>
      </c>
      <c r="M714">
        <v>290000</v>
      </c>
      <c r="N714">
        <v>336234</v>
      </c>
      <c r="O714">
        <v>79</v>
      </c>
      <c r="P714">
        <v>8.1</v>
      </c>
      <c r="Q714" t="s">
        <v>22</v>
      </c>
      <c r="R714" t="s">
        <v>23</v>
      </c>
    </row>
    <row r="715" spans="1:18" x14ac:dyDescent="0.3">
      <c r="A715" t="s">
        <v>18</v>
      </c>
      <c r="B715" t="s">
        <v>78</v>
      </c>
      <c r="C715">
        <v>184</v>
      </c>
      <c r="D715" t="s">
        <v>20</v>
      </c>
      <c r="E715">
        <v>2025</v>
      </c>
      <c r="F715" t="s">
        <v>21</v>
      </c>
      <c r="G715">
        <v>138</v>
      </c>
      <c r="H715">
        <v>46.9</v>
      </c>
      <c r="I715">
        <v>12.7</v>
      </c>
      <c r="J715">
        <v>116406</v>
      </c>
      <c r="K715">
        <v>28</v>
      </c>
      <c r="L715">
        <v>32594</v>
      </c>
      <c r="M715">
        <v>149000</v>
      </c>
      <c r="N715">
        <v>172205</v>
      </c>
      <c r="O715">
        <v>84</v>
      </c>
      <c r="P715">
        <v>11</v>
      </c>
      <c r="Q715" t="s">
        <v>37</v>
      </c>
      <c r="R715" t="s">
        <v>38</v>
      </c>
    </row>
    <row r="716" spans="1:18" x14ac:dyDescent="0.3">
      <c r="A716" t="s">
        <v>24</v>
      </c>
      <c r="B716" t="s">
        <v>106</v>
      </c>
      <c r="C716">
        <v>373</v>
      </c>
      <c r="D716" t="s">
        <v>34</v>
      </c>
      <c r="E716">
        <v>2021</v>
      </c>
      <c r="F716" t="s">
        <v>21</v>
      </c>
      <c r="G716">
        <v>168</v>
      </c>
      <c r="H716">
        <v>22.4</v>
      </c>
      <c r="I716">
        <v>13.7</v>
      </c>
      <c r="J716">
        <v>178626</v>
      </c>
      <c r="K716">
        <v>31</v>
      </c>
      <c r="L716">
        <v>55374</v>
      </c>
      <c r="M716">
        <v>234000</v>
      </c>
      <c r="N716">
        <v>271004</v>
      </c>
      <c r="O716">
        <v>76</v>
      </c>
      <c r="P716">
        <v>8.3000000000000007</v>
      </c>
      <c r="Q716" t="s">
        <v>22</v>
      </c>
      <c r="R716" t="s">
        <v>23</v>
      </c>
    </row>
    <row r="717" spans="1:18" x14ac:dyDescent="0.3">
      <c r="A717" t="s">
        <v>55</v>
      </c>
      <c r="B717" t="s">
        <v>96</v>
      </c>
      <c r="C717">
        <v>124</v>
      </c>
      <c r="D717" t="s">
        <v>30</v>
      </c>
      <c r="E717">
        <v>2020</v>
      </c>
      <c r="F717" t="s">
        <v>35</v>
      </c>
      <c r="G717">
        <v>118</v>
      </c>
      <c r="H717">
        <v>50.3</v>
      </c>
      <c r="I717">
        <v>11.7</v>
      </c>
      <c r="J717">
        <v>71094</v>
      </c>
      <c r="K717">
        <v>28</v>
      </c>
      <c r="L717">
        <v>19906</v>
      </c>
      <c r="M717">
        <v>91000</v>
      </c>
      <c r="N717">
        <v>107064</v>
      </c>
      <c r="O717">
        <v>61</v>
      </c>
      <c r="P717">
        <v>2.1</v>
      </c>
      <c r="Q717" t="s">
        <v>26</v>
      </c>
      <c r="R717" t="s">
        <v>27</v>
      </c>
    </row>
    <row r="718" spans="1:18" x14ac:dyDescent="0.3">
      <c r="A718" t="s">
        <v>18</v>
      </c>
      <c r="B718" t="s">
        <v>79</v>
      </c>
      <c r="C718">
        <v>293</v>
      </c>
      <c r="D718" t="s">
        <v>34</v>
      </c>
      <c r="E718">
        <v>2022</v>
      </c>
      <c r="F718" t="s">
        <v>21</v>
      </c>
      <c r="G718">
        <v>157</v>
      </c>
      <c r="H718">
        <v>31.3</v>
      </c>
      <c r="I718">
        <v>17.100000000000001</v>
      </c>
      <c r="J718">
        <v>210156</v>
      </c>
      <c r="K718">
        <v>28</v>
      </c>
      <c r="L718">
        <v>58844</v>
      </c>
      <c r="M718">
        <v>269000</v>
      </c>
      <c r="N718">
        <v>309533</v>
      </c>
      <c r="O718">
        <v>80</v>
      </c>
      <c r="P718">
        <v>11.9</v>
      </c>
      <c r="Q718" t="s">
        <v>37</v>
      </c>
      <c r="R718" t="s">
        <v>38</v>
      </c>
    </row>
    <row r="719" spans="1:18" x14ac:dyDescent="0.3">
      <c r="A719" t="s">
        <v>50</v>
      </c>
      <c r="B719" t="s">
        <v>81</v>
      </c>
      <c r="C719">
        <v>199</v>
      </c>
      <c r="D719" t="s">
        <v>20</v>
      </c>
      <c r="E719">
        <v>2023</v>
      </c>
      <c r="F719" t="s">
        <v>21</v>
      </c>
      <c r="G719">
        <v>125</v>
      </c>
      <c r="H719">
        <v>46.8</v>
      </c>
      <c r="I719">
        <v>12.8</v>
      </c>
      <c r="J719">
        <v>181250</v>
      </c>
      <c r="K719">
        <v>28</v>
      </c>
      <c r="L719">
        <v>50750</v>
      </c>
      <c r="M719">
        <v>232000</v>
      </c>
      <c r="N719">
        <v>273309</v>
      </c>
      <c r="O719">
        <v>76</v>
      </c>
      <c r="P719">
        <v>8.1</v>
      </c>
      <c r="Q719" t="s">
        <v>22</v>
      </c>
      <c r="R719" t="s">
        <v>23</v>
      </c>
    </row>
    <row r="720" spans="1:18" x14ac:dyDescent="0.3">
      <c r="A720" t="s">
        <v>18</v>
      </c>
      <c r="B720" t="s">
        <v>79</v>
      </c>
      <c r="C720">
        <v>293</v>
      </c>
      <c r="D720" t="s">
        <v>34</v>
      </c>
      <c r="E720">
        <v>2024</v>
      </c>
      <c r="F720" t="s">
        <v>21</v>
      </c>
      <c r="G720">
        <v>155</v>
      </c>
      <c r="H720">
        <v>29.8</v>
      </c>
      <c r="I720">
        <v>15.6</v>
      </c>
      <c r="J720">
        <v>226562</v>
      </c>
      <c r="K720">
        <v>28</v>
      </c>
      <c r="L720">
        <v>63438</v>
      </c>
      <c r="M720">
        <v>290000</v>
      </c>
      <c r="N720">
        <v>335766</v>
      </c>
      <c r="O720">
        <v>72</v>
      </c>
      <c r="P720">
        <v>11.5</v>
      </c>
      <c r="Q720" t="s">
        <v>37</v>
      </c>
      <c r="R720" t="s">
        <v>38</v>
      </c>
    </row>
    <row r="721" spans="1:18" x14ac:dyDescent="0.3">
      <c r="A721" t="s">
        <v>18</v>
      </c>
      <c r="B721" t="s">
        <v>78</v>
      </c>
      <c r="C721">
        <v>184</v>
      </c>
      <c r="D721" t="s">
        <v>20</v>
      </c>
      <c r="E721">
        <v>2022</v>
      </c>
      <c r="F721" t="s">
        <v>21</v>
      </c>
      <c r="G721">
        <v>136</v>
      </c>
      <c r="H721">
        <v>39.9</v>
      </c>
      <c r="I721">
        <v>14</v>
      </c>
      <c r="J721">
        <v>118750</v>
      </c>
      <c r="K721">
        <v>28</v>
      </c>
      <c r="L721">
        <v>33250</v>
      </c>
      <c r="M721">
        <v>152000</v>
      </c>
      <c r="N721">
        <v>175913</v>
      </c>
      <c r="O721">
        <v>71</v>
      </c>
      <c r="P721">
        <v>2.6</v>
      </c>
      <c r="Q721" t="s">
        <v>26</v>
      </c>
      <c r="R721" t="s">
        <v>27</v>
      </c>
    </row>
    <row r="722" spans="1:18" x14ac:dyDescent="0.3">
      <c r="A722" t="s">
        <v>39</v>
      </c>
      <c r="B722" t="s">
        <v>47</v>
      </c>
      <c r="C722">
        <v>312</v>
      </c>
      <c r="D722" t="s">
        <v>34</v>
      </c>
      <c r="E722">
        <v>2025</v>
      </c>
      <c r="F722" t="s">
        <v>21</v>
      </c>
      <c r="G722">
        <v>149</v>
      </c>
      <c r="H722">
        <v>31.4</v>
      </c>
      <c r="I722">
        <v>16.399999999999999</v>
      </c>
      <c r="J722">
        <v>211719</v>
      </c>
      <c r="K722">
        <v>28</v>
      </c>
      <c r="L722">
        <v>59281</v>
      </c>
      <c r="M722">
        <v>271000</v>
      </c>
      <c r="N722">
        <v>306303</v>
      </c>
      <c r="O722">
        <v>73</v>
      </c>
      <c r="P722">
        <v>4</v>
      </c>
      <c r="Q722" t="s">
        <v>26</v>
      </c>
      <c r="R722" t="s">
        <v>27</v>
      </c>
    </row>
    <row r="723" spans="1:18" x14ac:dyDescent="0.3">
      <c r="A723" t="s">
        <v>18</v>
      </c>
      <c r="B723" t="s">
        <v>78</v>
      </c>
      <c r="C723">
        <v>184</v>
      </c>
      <c r="D723" t="s">
        <v>20</v>
      </c>
      <c r="E723">
        <v>2023</v>
      </c>
      <c r="F723" t="s">
        <v>21</v>
      </c>
      <c r="G723">
        <v>138</v>
      </c>
      <c r="H723">
        <v>42.7</v>
      </c>
      <c r="I723">
        <v>11.9</v>
      </c>
      <c r="J723">
        <v>117969</v>
      </c>
      <c r="K723">
        <v>28</v>
      </c>
      <c r="L723">
        <v>33031</v>
      </c>
      <c r="M723">
        <v>151000</v>
      </c>
      <c r="N723">
        <v>172123</v>
      </c>
      <c r="O723">
        <v>76</v>
      </c>
      <c r="P723">
        <v>13.6</v>
      </c>
      <c r="Q723" t="s">
        <v>37</v>
      </c>
      <c r="R723" t="s">
        <v>38</v>
      </c>
    </row>
    <row r="724" spans="1:18" x14ac:dyDescent="0.3">
      <c r="A724" t="s">
        <v>18</v>
      </c>
      <c r="B724" t="s">
        <v>79</v>
      </c>
      <c r="C724">
        <v>293</v>
      </c>
      <c r="D724" t="s">
        <v>34</v>
      </c>
      <c r="E724">
        <v>2024</v>
      </c>
      <c r="F724" t="s">
        <v>21</v>
      </c>
      <c r="G724">
        <v>144</v>
      </c>
      <c r="H724">
        <v>33.299999999999997</v>
      </c>
      <c r="I724">
        <v>17.7</v>
      </c>
      <c r="J724">
        <v>219531</v>
      </c>
      <c r="K724">
        <v>28</v>
      </c>
      <c r="L724">
        <v>61469</v>
      </c>
      <c r="M724">
        <v>281000</v>
      </c>
      <c r="N724">
        <v>324016</v>
      </c>
      <c r="O724">
        <v>77</v>
      </c>
      <c r="P724">
        <v>2.2999999999999998</v>
      </c>
      <c r="Q724" t="s">
        <v>26</v>
      </c>
      <c r="R724" t="s">
        <v>27</v>
      </c>
    </row>
    <row r="725" spans="1:18" x14ac:dyDescent="0.3">
      <c r="A725" t="s">
        <v>50</v>
      </c>
      <c r="B725" t="s">
        <v>51</v>
      </c>
      <c r="C725">
        <v>248</v>
      </c>
      <c r="D725" t="s">
        <v>34</v>
      </c>
      <c r="E725">
        <v>2021</v>
      </c>
      <c r="F725" t="s">
        <v>21</v>
      </c>
      <c r="G725">
        <v>154</v>
      </c>
      <c r="H725">
        <v>35.5</v>
      </c>
      <c r="I725">
        <v>18</v>
      </c>
      <c r="J725">
        <v>180469</v>
      </c>
      <c r="K725">
        <v>28</v>
      </c>
      <c r="L725">
        <v>50531</v>
      </c>
      <c r="M725">
        <v>231000</v>
      </c>
      <c r="N725">
        <v>268481</v>
      </c>
      <c r="O725">
        <v>81</v>
      </c>
      <c r="P725">
        <v>10</v>
      </c>
      <c r="Q725" t="s">
        <v>22</v>
      </c>
      <c r="R725" t="s">
        <v>23</v>
      </c>
    </row>
    <row r="726" spans="1:18" x14ac:dyDescent="0.3">
      <c r="A726" t="s">
        <v>39</v>
      </c>
      <c r="B726" t="s">
        <v>93</v>
      </c>
      <c r="C726">
        <v>225</v>
      </c>
      <c r="D726" t="s">
        <v>20</v>
      </c>
      <c r="E726">
        <v>2024</v>
      </c>
      <c r="F726" t="s">
        <v>21</v>
      </c>
      <c r="G726">
        <v>157</v>
      </c>
      <c r="H726">
        <v>35.5</v>
      </c>
      <c r="I726">
        <v>16.7</v>
      </c>
      <c r="J726">
        <v>130469</v>
      </c>
      <c r="K726">
        <v>28</v>
      </c>
      <c r="L726">
        <v>36531</v>
      </c>
      <c r="M726">
        <v>167000</v>
      </c>
      <c r="N726">
        <v>190853</v>
      </c>
      <c r="O726">
        <v>79</v>
      </c>
      <c r="P726">
        <v>11.6</v>
      </c>
      <c r="Q726" t="s">
        <v>37</v>
      </c>
      <c r="R726" t="s">
        <v>38</v>
      </c>
    </row>
    <row r="727" spans="1:18" x14ac:dyDescent="0.3">
      <c r="A727" t="s">
        <v>42</v>
      </c>
      <c r="B727" t="s">
        <v>70</v>
      </c>
      <c r="C727">
        <v>249</v>
      </c>
      <c r="D727" t="s">
        <v>20</v>
      </c>
      <c r="E727">
        <v>2021</v>
      </c>
      <c r="F727" t="s">
        <v>21</v>
      </c>
      <c r="G727">
        <v>140</v>
      </c>
      <c r="H727">
        <v>29.5</v>
      </c>
      <c r="I727">
        <v>18.8</v>
      </c>
      <c r="J727">
        <v>128906</v>
      </c>
      <c r="K727">
        <v>28</v>
      </c>
      <c r="L727">
        <v>36094</v>
      </c>
      <c r="M727">
        <v>165000</v>
      </c>
      <c r="N727">
        <v>189623</v>
      </c>
      <c r="O727">
        <v>69</v>
      </c>
      <c r="P727">
        <v>12</v>
      </c>
      <c r="Q727" t="s">
        <v>37</v>
      </c>
      <c r="R727" t="s">
        <v>38</v>
      </c>
    </row>
    <row r="728" spans="1:18" x14ac:dyDescent="0.3">
      <c r="A728" t="s">
        <v>50</v>
      </c>
      <c r="B728" t="s">
        <v>104</v>
      </c>
      <c r="C728">
        <v>373</v>
      </c>
      <c r="D728" t="s">
        <v>34</v>
      </c>
      <c r="E728">
        <v>2023</v>
      </c>
      <c r="F728" t="s">
        <v>21</v>
      </c>
      <c r="G728">
        <v>161</v>
      </c>
      <c r="H728">
        <v>19.600000000000001</v>
      </c>
      <c r="I728">
        <v>13.2</v>
      </c>
      <c r="J728">
        <v>256489</v>
      </c>
      <c r="K728">
        <v>31</v>
      </c>
      <c r="L728">
        <v>79511</v>
      </c>
      <c r="M728">
        <v>336000</v>
      </c>
      <c r="N728">
        <v>386696</v>
      </c>
      <c r="O728">
        <v>76</v>
      </c>
      <c r="P728">
        <v>7.1</v>
      </c>
      <c r="Q728" t="s">
        <v>22</v>
      </c>
      <c r="R728" t="s">
        <v>23</v>
      </c>
    </row>
    <row r="729" spans="1:18" x14ac:dyDescent="0.3">
      <c r="A729" t="s">
        <v>55</v>
      </c>
      <c r="B729" t="s">
        <v>89</v>
      </c>
      <c r="C729">
        <v>155</v>
      </c>
      <c r="D729" t="s">
        <v>20</v>
      </c>
      <c r="E729">
        <v>2020</v>
      </c>
      <c r="F729" t="s">
        <v>35</v>
      </c>
      <c r="G729">
        <v>129</v>
      </c>
      <c r="H729">
        <v>42.4</v>
      </c>
      <c r="I729">
        <v>10.6</v>
      </c>
      <c r="J729">
        <v>102344</v>
      </c>
      <c r="K729">
        <v>28</v>
      </c>
      <c r="L729">
        <v>28656</v>
      </c>
      <c r="M729">
        <v>131000</v>
      </c>
      <c r="N729">
        <v>149464</v>
      </c>
      <c r="O729">
        <v>60</v>
      </c>
      <c r="P729">
        <v>3.6</v>
      </c>
      <c r="Q729" t="s">
        <v>26</v>
      </c>
      <c r="R729" t="s">
        <v>27</v>
      </c>
    </row>
    <row r="730" spans="1:18" x14ac:dyDescent="0.3">
      <c r="A730" t="s">
        <v>50</v>
      </c>
      <c r="B730" t="s">
        <v>51</v>
      </c>
      <c r="C730">
        <v>248</v>
      </c>
      <c r="D730" t="s">
        <v>34</v>
      </c>
      <c r="E730">
        <v>2022</v>
      </c>
      <c r="F730" t="s">
        <v>21</v>
      </c>
      <c r="G730">
        <v>141</v>
      </c>
      <c r="H730">
        <v>28.4</v>
      </c>
      <c r="I730">
        <v>14</v>
      </c>
      <c r="J730">
        <v>189062</v>
      </c>
      <c r="K730">
        <v>28</v>
      </c>
      <c r="L730">
        <v>52938</v>
      </c>
      <c r="M730">
        <v>242000</v>
      </c>
      <c r="N730">
        <v>276585</v>
      </c>
      <c r="O730">
        <v>75</v>
      </c>
      <c r="P730">
        <v>6.5</v>
      </c>
      <c r="Q730" t="s">
        <v>22</v>
      </c>
      <c r="R730" t="s">
        <v>23</v>
      </c>
    </row>
    <row r="731" spans="1:18" x14ac:dyDescent="0.3">
      <c r="A731" t="s">
        <v>32</v>
      </c>
      <c r="B731" t="s">
        <v>88</v>
      </c>
      <c r="C731">
        <v>349</v>
      </c>
      <c r="D731" t="s">
        <v>34</v>
      </c>
      <c r="E731">
        <v>2023</v>
      </c>
      <c r="F731" t="s">
        <v>35</v>
      </c>
      <c r="G731">
        <v>164</v>
      </c>
      <c r="H731">
        <v>29.7</v>
      </c>
      <c r="I731">
        <v>16.600000000000001</v>
      </c>
      <c r="J731">
        <v>146094</v>
      </c>
      <c r="K731">
        <v>28</v>
      </c>
      <c r="L731">
        <v>40906</v>
      </c>
      <c r="M731">
        <v>187000</v>
      </c>
      <c r="N731">
        <v>220189</v>
      </c>
      <c r="O731">
        <v>75</v>
      </c>
      <c r="P731">
        <v>9.1999999999999993</v>
      </c>
      <c r="Q731" t="s">
        <v>22</v>
      </c>
      <c r="R731" t="s">
        <v>23</v>
      </c>
    </row>
    <row r="732" spans="1:18" x14ac:dyDescent="0.3">
      <c r="A732" t="s">
        <v>42</v>
      </c>
      <c r="B732" t="s">
        <v>110</v>
      </c>
      <c r="C732">
        <v>321</v>
      </c>
      <c r="D732" t="s">
        <v>34</v>
      </c>
      <c r="E732">
        <v>2025</v>
      </c>
      <c r="F732" t="s">
        <v>21</v>
      </c>
      <c r="G732">
        <v>142</v>
      </c>
      <c r="H732">
        <v>32.4</v>
      </c>
      <c r="I732">
        <v>14.6</v>
      </c>
      <c r="J732">
        <v>345312</v>
      </c>
      <c r="K732">
        <v>28</v>
      </c>
      <c r="L732">
        <v>96688</v>
      </c>
      <c r="M732">
        <v>442000</v>
      </c>
      <c r="N732">
        <v>497094</v>
      </c>
      <c r="O732">
        <v>77</v>
      </c>
      <c r="P732">
        <v>1.4</v>
      </c>
      <c r="Q732" t="s">
        <v>57</v>
      </c>
      <c r="R732" t="s">
        <v>58</v>
      </c>
    </row>
    <row r="733" spans="1:18" x14ac:dyDescent="0.3">
      <c r="A733" t="s">
        <v>28</v>
      </c>
      <c r="B733" t="s">
        <v>48</v>
      </c>
      <c r="C733">
        <v>110</v>
      </c>
      <c r="D733" t="s">
        <v>30</v>
      </c>
      <c r="E733">
        <v>2023</v>
      </c>
      <c r="F733" t="s">
        <v>35</v>
      </c>
      <c r="G733">
        <v>89</v>
      </c>
      <c r="H733">
        <v>74.400000000000006</v>
      </c>
      <c r="I733">
        <v>8.1999999999999993</v>
      </c>
      <c r="J733">
        <v>60156</v>
      </c>
      <c r="K733">
        <v>28</v>
      </c>
      <c r="L733">
        <v>16844</v>
      </c>
      <c r="M733">
        <v>77000</v>
      </c>
      <c r="N733">
        <v>92485</v>
      </c>
      <c r="O733">
        <v>67</v>
      </c>
      <c r="P733">
        <v>9</v>
      </c>
      <c r="Q733" t="s">
        <v>22</v>
      </c>
      <c r="R733" t="s">
        <v>23</v>
      </c>
    </row>
    <row r="734" spans="1:18" x14ac:dyDescent="0.3">
      <c r="A734" t="s">
        <v>42</v>
      </c>
      <c r="B734" t="s">
        <v>110</v>
      </c>
      <c r="C734">
        <v>321</v>
      </c>
      <c r="D734" t="s">
        <v>34</v>
      </c>
      <c r="E734">
        <v>2024</v>
      </c>
      <c r="F734" t="s">
        <v>21</v>
      </c>
      <c r="G734">
        <v>157</v>
      </c>
      <c r="H734">
        <v>34.200000000000003</v>
      </c>
      <c r="I734">
        <v>16.2</v>
      </c>
      <c r="J734">
        <v>335156</v>
      </c>
      <c r="K734">
        <v>28</v>
      </c>
      <c r="L734">
        <v>93844</v>
      </c>
      <c r="M734">
        <v>429000</v>
      </c>
      <c r="N734">
        <v>498690</v>
      </c>
      <c r="O734">
        <v>76</v>
      </c>
      <c r="P734">
        <v>14.5</v>
      </c>
      <c r="Q734" t="s">
        <v>37</v>
      </c>
      <c r="R734" t="s">
        <v>38</v>
      </c>
    </row>
    <row r="735" spans="1:18" x14ac:dyDescent="0.3">
      <c r="A735" t="s">
        <v>28</v>
      </c>
      <c r="B735" t="s">
        <v>29</v>
      </c>
      <c r="C735">
        <v>97</v>
      </c>
      <c r="D735" t="s">
        <v>30</v>
      </c>
      <c r="E735">
        <v>2023</v>
      </c>
      <c r="F735" t="s">
        <v>31</v>
      </c>
      <c r="G735">
        <v>85</v>
      </c>
      <c r="H735">
        <v>77.900000000000006</v>
      </c>
      <c r="I735">
        <v>8.5</v>
      </c>
      <c r="J735">
        <v>60938</v>
      </c>
      <c r="K735">
        <v>28</v>
      </c>
      <c r="L735">
        <v>17062</v>
      </c>
      <c r="M735">
        <v>78000</v>
      </c>
      <c r="N735">
        <v>95221</v>
      </c>
      <c r="O735">
        <v>56</v>
      </c>
      <c r="P735">
        <v>14.1</v>
      </c>
      <c r="Q735" t="s">
        <v>37</v>
      </c>
      <c r="R735" t="s">
        <v>38</v>
      </c>
    </row>
    <row r="736" spans="1:18" x14ac:dyDescent="0.3">
      <c r="A736" t="s">
        <v>39</v>
      </c>
      <c r="B736" t="s">
        <v>80</v>
      </c>
      <c r="C736">
        <v>109</v>
      </c>
      <c r="D736" t="s">
        <v>30</v>
      </c>
      <c r="E736">
        <v>2024</v>
      </c>
      <c r="F736" t="s">
        <v>31</v>
      </c>
      <c r="G736">
        <v>94</v>
      </c>
      <c r="H736">
        <v>65.2</v>
      </c>
      <c r="I736">
        <v>9.1</v>
      </c>
      <c r="J736">
        <v>64062</v>
      </c>
      <c r="K736">
        <v>28</v>
      </c>
      <c r="L736">
        <v>17938</v>
      </c>
      <c r="M736">
        <v>82000</v>
      </c>
      <c r="N736">
        <v>97432</v>
      </c>
      <c r="O736">
        <v>54</v>
      </c>
      <c r="P736">
        <v>3.3</v>
      </c>
      <c r="Q736" t="s">
        <v>26</v>
      </c>
      <c r="R736" t="s">
        <v>27</v>
      </c>
    </row>
    <row r="737" spans="1:18" x14ac:dyDescent="0.3">
      <c r="A737" t="s">
        <v>39</v>
      </c>
      <c r="B737" t="s">
        <v>47</v>
      </c>
      <c r="C737">
        <v>312</v>
      </c>
      <c r="D737" t="s">
        <v>34</v>
      </c>
      <c r="E737">
        <v>2024</v>
      </c>
      <c r="F737" t="s">
        <v>21</v>
      </c>
      <c r="G737">
        <v>148</v>
      </c>
      <c r="H737">
        <v>32.4</v>
      </c>
      <c r="I737">
        <v>19.7</v>
      </c>
      <c r="J737">
        <v>204688</v>
      </c>
      <c r="K737">
        <v>28</v>
      </c>
      <c r="L737">
        <v>57312</v>
      </c>
      <c r="M737">
        <v>262000</v>
      </c>
      <c r="N737">
        <v>307460</v>
      </c>
      <c r="O737">
        <v>75</v>
      </c>
      <c r="P737">
        <v>4</v>
      </c>
      <c r="Q737" t="s">
        <v>26</v>
      </c>
      <c r="R737" t="s">
        <v>27</v>
      </c>
    </row>
    <row r="738" spans="1:18" x14ac:dyDescent="0.3">
      <c r="A738" t="s">
        <v>32</v>
      </c>
      <c r="B738" t="s">
        <v>66</v>
      </c>
      <c r="C738">
        <v>349</v>
      </c>
      <c r="D738" t="s">
        <v>34</v>
      </c>
      <c r="E738">
        <v>2022</v>
      </c>
      <c r="F738" t="s">
        <v>35</v>
      </c>
      <c r="G738">
        <v>147</v>
      </c>
      <c r="H738">
        <v>31.6</v>
      </c>
      <c r="I738">
        <v>14.5</v>
      </c>
      <c r="J738">
        <v>174219</v>
      </c>
      <c r="K738">
        <v>28</v>
      </c>
      <c r="L738">
        <v>48781</v>
      </c>
      <c r="M738">
        <v>223000</v>
      </c>
      <c r="N738">
        <v>263694</v>
      </c>
      <c r="O738">
        <v>76</v>
      </c>
      <c r="P738">
        <v>14.8</v>
      </c>
      <c r="Q738" t="s">
        <v>37</v>
      </c>
      <c r="R738" t="s">
        <v>38</v>
      </c>
    </row>
    <row r="739" spans="1:18" x14ac:dyDescent="0.3">
      <c r="A739" t="s">
        <v>32</v>
      </c>
      <c r="B739" t="s">
        <v>85</v>
      </c>
      <c r="C739">
        <v>346</v>
      </c>
      <c r="D739" t="s">
        <v>34</v>
      </c>
      <c r="E739">
        <v>2023</v>
      </c>
      <c r="F739" t="s">
        <v>31</v>
      </c>
      <c r="G739">
        <v>140</v>
      </c>
      <c r="H739">
        <v>32.799999999999997</v>
      </c>
      <c r="I739">
        <v>16.899999999999999</v>
      </c>
      <c r="J739">
        <v>125781</v>
      </c>
      <c r="K739">
        <v>28</v>
      </c>
      <c r="L739">
        <v>35219</v>
      </c>
      <c r="M739">
        <v>161000</v>
      </c>
      <c r="N739">
        <v>187255</v>
      </c>
      <c r="O739">
        <v>59</v>
      </c>
      <c r="P739">
        <v>10.4</v>
      </c>
      <c r="Q739" t="s">
        <v>37</v>
      </c>
      <c r="R739" t="s">
        <v>38</v>
      </c>
    </row>
    <row r="740" spans="1:18" x14ac:dyDescent="0.3">
      <c r="A740" t="s">
        <v>42</v>
      </c>
      <c r="B740" t="s">
        <v>54</v>
      </c>
      <c r="C740">
        <v>155</v>
      </c>
      <c r="D740" t="s">
        <v>20</v>
      </c>
      <c r="E740">
        <v>2025</v>
      </c>
      <c r="F740" t="s">
        <v>21</v>
      </c>
      <c r="G740">
        <v>137</v>
      </c>
      <c r="H740">
        <v>43.5</v>
      </c>
      <c r="I740">
        <v>11.8</v>
      </c>
      <c r="J740">
        <v>146875</v>
      </c>
      <c r="K740">
        <v>28</v>
      </c>
      <c r="L740">
        <v>41125</v>
      </c>
      <c r="M740">
        <v>188000</v>
      </c>
      <c r="N740">
        <v>220345</v>
      </c>
      <c r="O740">
        <v>67</v>
      </c>
      <c r="P740">
        <v>13.5</v>
      </c>
      <c r="Q740" t="s">
        <v>37</v>
      </c>
      <c r="R740" t="s">
        <v>38</v>
      </c>
    </row>
    <row r="741" spans="1:18" x14ac:dyDescent="0.3">
      <c r="A741" t="s">
        <v>18</v>
      </c>
      <c r="B741" t="s">
        <v>78</v>
      </c>
      <c r="C741">
        <v>184</v>
      </c>
      <c r="D741" t="s">
        <v>20</v>
      </c>
      <c r="E741">
        <v>2021</v>
      </c>
      <c r="F741" t="s">
        <v>21</v>
      </c>
      <c r="G741">
        <v>120</v>
      </c>
      <c r="H741">
        <v>40.9</v>
      </c>
      <c r="I741">
        <v>11.8</v>
      </c>
      <c r="J741">
        <v>114062</v>
      </c>
      <c r="K741">
        <v>28</v>
      </c>
      <c r="L741">
        <v>31938</v>
      </c>
      <c r="M741">
        <v>146000</v>
      </c>
      <c r="N741">
        <v>172689</v>
      </c>
      <c r="O741">
        <v>70</v>
      </c>
      <c r="P741">
        <v>7.5</v>
      </c>
      <c r="Q741" t="s">
        <v>22</v>
      </c>
      <c r="R741" t="s">
        <v>23</v>
      </c>
    </row>
    <row r="742" spans="1:18" x14ac:dyDescent="0.3">
      <c r="A742" t="s">
        <v>24</v>
      </c>
      <c r="B742" t="s">
        <v>74</v>
      </c>
      <c r="C742">
        <v>199</v>
      </c>
      <c r="D742" t="s">
        <v>20</v>
      </c>
      <c r="E742">
        <v>2025</v>
      </c>
      <c r="F742" t="s">
        <v>21</v>
      </c>
      <c r="G742">
        <v>122</v>
      </c>
      <c r="H742">
        <v>40.6</v>
      </c>
      <c r="I742">
        <v>10.9</v>
      </c>
      <c r="J742">
        <v>142188</v>
      </c>
      <c r="K742">
        <v>28</v>
      </c>
      <c r="L742">
        <v>39812</v>
      </c>
      <c r="M742">
        <v>182000</v>
      </c>
      <c r="N742">
        <v>214923</v>
      </c>
      <c r="O742">
        <v>76</v>
      </c>
      <c r="P742">
        <v>9.8000000000000007</v>
      </c>
      <c r="Q742" t="s">
        <v>22</v>
      </c>
      <c r="R742" t="s">
        <v>23</v>
      </c>
    </row>
    <row r="743" spans="1:18" x14ac:dyDescent="0.3">
      <c r="A743" t="s">
        <v>42</v>
      </c>
      <c r="B743" t="s">
        <v>86</v>
      </c>
      <c r="C743">
        <v>155</v>
      </c>
      <c r="D743" t="s">
        <v>20</v>
      </c>
      <c r="E743">
        <v>2025</v>
      </c>
      <c r="F743" t="s">
        <v>21</v>
      </c>
      <c r="G743">
        <v>126</v>
      </c>
      <c r="H743">
        <v>44.1</v>
      </c>
      <c r="I743">
        <v>11.6</v>
      </c>
      <c r="J743">
        <v>167969</v>
      </c>
      <c r="K743">
        <v>28</v>
      </c>
      <c r="L743">
        <v>47031</v>
      </c>
      <c r="M743">
        <v>215000</v>
      </c>
      <c r="N743">
        <v>245969</v>
      </c>
      <c r="O743">
        <v>67</v>
      </c>
      <c r="P743">
        <v>3.7</v>
      </c>
      <c r="Q743" t="s">
        <v>26</v>
      </c>
      <c r="R743" t="s">
        <v>27</v>
      </c>
    </row>
    <row r="744" spans="1:18" x14ac:dyDescent="0.3">
      <c r="A744" t="s">
        <v>39</v>
      </c>
      <c r="B744" t="s">
        <v>64</v>
      </c>
      <c r="C744">
        <v>159</v>
      </c>
      <c r="D744" t="s">
        <v>20</v>
      </c>
      <c r="E744">
        <v>2024</v>
      </c>
      <c r="F744" t="s">
        <v>35</v>
      </c>
      <c r="G744">
        <v>139</v>
      </c>
      <c r="H744">
        <v>44.4</v>
      </c>
      <c r="I744">
        <v>10.5</v>
      </c>
      <c r="J744">
        <v>94531</v>
      </c>
      <c r="K744">
        <v>28</v>
      </c>
      <c r="L744">
        <v>26469</v>
      </c>
      <c r="M744">
        <v>121000</v>
      </c>
      <c r="N744">
        <v>142738</v>
      </c>
      <c r="O744">
        <v>68</v>
      </c>
      <c r="P744">
        <v>3.5</v>
      </c>
      <c r="Q744" t="s">
        <v>26</v>
      </c>
      <c r="R744" t="s">
        <v>27</v>
      </c>
    </row>
    <row r="745" spans="1:18" x14ac:dyDescent="0.3">
      <c r="A745" t="s">
        <v>28</v>
      </c>
      <c r="B745" t="s">
        <v>49</v>
      </c>
      <c r="C745">
        <v>199</v>
      </c>
      <c r="D745" t="s">
        <v>20</v>
      </c>
      <c r="E745">
        <v>2020</v>
      </c>
      <c r="F745" t="s">
        <v>21</v>
      </c>
      <c r="G745">
        <v>128</v>
      </c>
      <c r="H745">
        <v>44.3</v>
      </c>
      <c r="I745">
        <v>14</v>
      </c>
      <c r="J745">
        <v>114062</v>
      </c>
      <c r="K745">
        <v>28</v>
      </c>
      <c r="L745">
        <v>31938</v>
      </c>
      <c r="M745">
        <v>146000</v>
      </c>
      <c r="N745">
        <v>174152</v>
      </c>
      <c r="O745">
        <v>71</v>
      </c>
      <c r="P745">
        <v>12.9</v>
      </c>
      <c r="Q745" t="s">
        <v>37</v>
      </c>
      <c r="R745" t="s">
        <v>38</v>
      </c>
    </row>
    <row r="746" spans="1:18" x14ac:dyDescent="0.3">
      <c r="A746" t="s">
        <v>55</v>
      </c>
      <c r="B746" t="s">
        <v>75</v>
      </c>
      <c r="C746">
        <v>155</v>
      </c>
      <c r="D746" t="s">
        <v>20</v>
      </c>
      <c r="E746">
        <v>2020</v>
      </c>
      <c r="F746" t="s">
        <v>35</v>
      </c>
      <c r="G746">
        <v>140</v>
      </c>
      <c r="H746">
        <v>46.4</v>
      </c>
      <c r="I746">
        <v>13.4</v>
      </c>
      <c r="J746">
        <v>115625</v>
      </c>
      <c r="K746">
        <v>28</v>
      </c>
      <c r="L746">
        <v>32375</v>
      </c>
      <c r="M746">
        <v>148000</v>
      </c>
      <c r="N746">
        <v>172932</v>
      </c>
      <c r="O746">
        <v>74</v>
      </c>
      <c r="P746">
        <v>14.2</v>
      </c>
      <c r="Q746" t="s">
        <v>37</v>
      </c>
      <c r="R746" t="s">
        <v>38</v>
      </c>
    </row>
    <row r="747" spans="1:18" x14ac:dyDescent="0.3">
      <c r="A747" t="s">
        <v>32</v>
      </c>
      <c r="B747" t="s">
        <v>88</v>
      </c>
      <c r="C747">
        <v>349</v>
      </c>
      <c r="D747" t="s">
        <v>34</v>
      </c>
      <c r="E747">
        <v>2020</v>
      </c>
      <c r="F747" t="s">
        <v>35</v>
      </c>
      <c r="G747">
        <v>155</v>
      </c>
      <c r="H747">
        <v>32.1</v>
      </c>
      <c r="I747">
        <v>19.2</v>
      </c>
      <c r="J747">
        <v>150781</v>
      </c>
      <c r="K747">
        <v>28</v>
      </c>
      <c r="L747">
        <v>42219</v>
      </c>
      <c r="M747">
        <v>193000</v>
      </c>
      <c r="N747">
        <v>227755</v>
      </c>
      <c r="O747">
        <v>71</v>
      </c>
      <c r="P747">
        <v>8.1999999999999993</v>
      </c>
      <c r="Q747" t="s">
        <v>22</v>
      </c>
      <c r="R747" t="s">
        <v>23</v>
      </c>
    </row>
    <row r="748" spans="1:18" x14ac:dyDescent="0.3">
      <c r="A748" t="s">
        <v>24</v>
      </c>
      <c r="B748" t="s">
        <v>74</v>
      </c>
      <c r="C748">
        <v>199</v>
      </c>
      <c r="D748" t="s">
        <v>20</v>
      </c>
      <c r="E748">
        <v>2024</v>
      </c>
      <c r="F748" t="s">
        <v>21</v>
      </c>
      <c r="G748">
        <v>126</v>
      </c>
      <c r="H748">
        <v>37</v>
      </c>
      <c r="I748">
        <v>13.2</v>
      </c>
      <c r="J748">
        <v>126562</v>
      </c>
      <c r="K748">
        <v>28</v>
      </c>
      <c r="L748">
        <v>35438</v>
      </c>
      <c r="M748">
        <v>162000</v>
      </c>
      <c r="N748">
        <v>190791</v>
      </c>
      <c r="O748">
        <v>72</v>
      </c>
      <c r="P748">
        <v>2.1</v>
      </c>
      <c r="Q748" t="s">
        <v>26</v>
      </c>
      <c r="R748" t="s">
        <v>27</v>
      </c>
    </row>
    <row r="749" spans="1:18" x14ac:dyDescent="0.3">
      <c r="A749" t="s">
        <v>24</v>
      </c>
      <c r="B749" t="s">
        <v>74</v>
      </c>
      <c r="C749">
        <v>199</v>
      </c>
      <c r="D749" t="s">
        <v>20</v>
      </c>
      <c r="E749">
        <v>2025</v>
      </c>
      <c r="F749" t="s">
        <v>21</v>
      </c>
      <c r="G749">
        <v>130</v>
      </c>
      <c r="H749">
        <v>38.9</v>
      </c>
      <c r="I749">
        <v>10.4</v>
      </c>
      <c r="J749">
        <v>146875</v>
      </c>
      <c r="K749">
        <v>28</v>
      </c>
      <c r="L749">
        <v>41125</v>
      </c>
      <c r="M749">
        <v>188000</v>
      </c>
      <c r="N749">
        <v>215170</v>
      </c>
      <c r="O749">
        <v>71</v>
      </c>
      <c r="P749">
        <v>1.9</v>
      </c>
      <c r="Q749" t="s">
        <v>57</v>
      </c>
      <c r="R749" t="s">
        <v>58</v>
      </c>
    </row>
    <row r="750" spans="1:18" x14ac:dyDescent="0.3">
      <c r="A750" t="s">
        <v>42</v>
      </c>
      <c r="B750" t="s">
        <v>59</v>
      </c>
      <c r="C750">
        <v>155</v>
      </c>
      <c r="D750" t="s">
        <v>20</v>
      </c>
      <c r="E750">
        <v>2022</v>
      </c>
      <c r="F750" t="s">
        <v>21</v>
      </c>
      <c r="G750">
        <v>127</v>
      </c>
      <c r="H750">
        <v>45.4</v>
      </c>
      <c r="I750">
        <v>13.3</v>
      </c>
      <c r="J750">
        <v>131250</v>
      </c>
      <c r="K750">
        <v>28</v>
      </c>
      <c r="L750">
        <v>36750</v>
      </c>
      <c r="M750">
        <v>168000</v>
      </c>
      <c r="N750">
        <v>192689</v>
      </c>
      <c r="O750">
        <v>74</v>
      </c>
      <c r="P750">
        <v>7.6</v>
      </c>
      <c r="Q750" t="s">
        <v>22</v>
      </c>
      <c r="R750" t="s">
        <v>23</v>
      </c>
    </row>
    <row r="751" spans="1:18" x14ac:dyDescent="0.3">
      <c r="A751" t="s">
        <v>32</v>
      </c>
      <c r="B751" t="s">
        <v>85</v>
      </c>
      <c r="C751">
        <v>346</v>
      </c>
      <c r="D751" t="s">
        <v>34</v>
      </c>
      <c r="E751">
        <v>2024</v>
      </c>
      <c r="F751" t="s">
        <v>31</v>
      </c>
      <c r="G751">
        <v>164</v>
      </c>
      <c r="H751">
        <v>32.9</v>
      </c>
      <c r="I751">
        <v>13.9</v>
      </c>
      <c r="J751">
        <v>137500</v>
      </c>
      <c r="K751">
        <v>28</v>
      </c>
      <c r="L751">
        <v>38500</v>
      </c>
      <c r="M751">
        <v>176000</v>
      </c>
      <c r="N751">
        <v>201740</v>
      </c>
      <c r="O751">
        <v>60</v>
      </c>
      <c r="P751">
        <v>9.8000000000000007</v>
      </c>
      <c r="Q751" t="s">
        <v>37</v>
      </c>
      <c r="R751" t="s">
        <v>38</v>
      </c>
    </row>
    <row r="752" spans="1:18" x14ac:dyDescent="0.3">
      <c r="A752" t="s">
        <v>28</v>
      </c>
      <c r="B752" t="s">
        <v>99</v>
      </c>
      <c r="C752">
        <v>199</v>
      </c>
      <c r="D752" t="s">
        <v>20</v>
      </c>
      <c r="E752">
        <v>2023</v>
      </c>
      <c r="F752" t="s">
        <v>21</v>
      </c>
      <c r="G752">
        <v>124</v>
      </c>
      <c r="H752">
        <v>37.6</v>
      </c>
      <c r="I752">
        <v>10.199999999999999</v>
      </c>
      <c r="J752">
        <v>121094</v>
      </c>
      <c r="K752">
        <v>28</v>
      </c>
      <c r="L752">
        <v>33906</v>
      </c>
      <c r="M752">
        <v>155000</v>
      </c>
      <c r="N752">
        <v>181989</v>
      </c>
      <c r="O752">
        <v>68</v>
      </c>
      <c r="P752">
        <v>13.9</v>
      </c>
      <c r="Q752" t="s">
        <v>37</v>
      </c>
      <c r="R752" t="s">
        <v>38</v>
      </c>
    </row>
    <row r="753" spans="1:18" x14ac:dyDescent="0.3">
      <c r="A753" t="s">
        <v>50</v>
      </c>
      <c r="B753" t="s">
        <v>109</v>
      </c>
      <c r="C753">
        <v>373</v>
      </c>
      <c r="D753" t="s">
        <v>34</v>
      </c>
      <c r="E753">
        <v>2023</v>
      </c>
      <c r="F753" t="s">
        <v>21</v>
      </c>
      <c r="G753">
        <v>185</v>
      </c>
      <c r="H753">
        <v>23.8</v>
      </c>
      <c r="I753">
        <v>14.6</v>
      </c>
      <c r="J753">
        <v>238168</v>
      </c>
      <c r="K753">
        <v>31</v>
      </c>
      <c r="L753">
        <v>73832</v>
      </c>
      <c r="M753">
        <v>312000</v>
      </c>
      <c r="N753">
        <v>361473</v>
      </c>
      <c r="O753">
        <v>72</v>
      </c>
      <c r="P753">
        <v>9.6</v>
      </c>
      <c r="Q753" t="s">
        <v>22</v>
      </c>
      <c r="R753" t="s">
        <v>23</v>
      </c>
    </row>
    <row r="754" spans="1:18" x14ac:dyDescent="0.3">
      <c r="A754" t="s">
        <v>28</v>
      </c>
      <c r="B754" t="s">
        <v>91</v>
      </c>
      <c r="C754">
        <v>97</v>
      </c>
      <c r="D754" t="s">
        <v>30</v>
      </c>
      <c r="E754">
        <v>2020</v>
      </c>
      <c r="F754" t="s">
        <v>31</v>
      </c>
      <c r="G754">
        <v>95</v>
      </c>
      <c r="H754">
        <v>72</v>
      </c>
      <c r="I754">
        <v>8.9</v>
      </c>
      <c r="J754">
        <v>53906</v>
      </c>
      <c r="K754">
        <v>28</v>
      </c>
      <c r="L754">
        <v>15094</v>
      </c>
      <c r="M754">
        <v>69000</v>
      </c>
      <c r="N754">
        <v>83002</v>
      </c>
      <c r="O754">
        <v>66</v>
      </c>
      <c r="P754">
        <v>14.1</v>
      </c>
      <c r="Q754" t="s">
        <v>37</v>
      </c>
      <c r="R754" t="s">
        <v>38</v>
      </c>
    </row>
    <row r="755" spans="1:18" x14ac:dyDescent="0.3">
      <c r="A755" t="s">
        <v>32</v>
      </c>
      <c r="B755" t="s">
        <v>85</v>
      </c>
      <c r="C755">
        <v>346</v>
      </c>
      <c r="D755" t="s">
        <v>34</v>
      </c>
      <c r="E755">
        <v>2021</v>
      </c>
      <c r="F755" t="s">
        <v>31</v>
      </c>
      <c r="G755">
        <v>165</v>
      </c>
      <c r="H755">
        <v>28.7</v>
      </c>
      <c r="I755">
        <v>17.5</v>
      </c>
      <c r="J755">
        <v>138281</v>
      </c>
      <c r="K755">
        <v>28</v>
      </c>
      <c r="L755">
        <v>38719</v>
      </c>
      <c r="M755">
        <v>177000</v>
      </c>
      <c r="N755">
        <v>202199</v>
      </c>
      <c r="O755">
        <v>62</v>
      </c>
      <c r="P755">
        <v>13.7</v>
      </c>
      <c r="Q755" t="s">
        <v>37</v>
      </c>
      <c r="R755" t="s">
        <v>38</v>
      </c>
    </row>
    <row r="756" spans="1:18" x14ac:dyDescent="0.3">
      <c r="A756" t="s">
        <v>39</v>
      </c>
      <c r="B756" t="s">
        <v>80</v>
      </c>
      <c r="C756">
        <v>109</v>
      </c>
      <c r="D756" t="s">
        <v>30</v>
      </c>
      <c r="E756">
        <v>2024</v>
      </c>
      <c r="F756" t="s">
        <v>31</v>
      </c>
      <c r="G756">
        <v>86</v>
      </c>
      <c r="H756">
        <v>65.7</v>
      </c>
      <c r="I756">
        <v>8.9</v>
      </c>
      <c r="J756">
        <v>59375</v>
      </c>
      <c r="K756">
        <v>28</v>
      </c>
      <c r="L756">
        <v>16625</v>
      </c>
      <c r="M756">
        <v>76000</v>
      </c>
      <c r="N756">
        <v>89528</v>
      </c>
      <c r="O756">
        <v>54</v>
      </c>
      <c r="P756">
        <v>2.8</v>
      </c>
      <c r="Q756" t="s">
        <v>26</v>
      </c>
      <c r="R756" t="s">
        <v>27</v>
      </c>
    </row>
    <row r="757" spans="1:18" x14ac:dyDescent="0.3">
      <c r="A757" t="s">
        <v>32</v>
      </c>
      <c r="B757" t="s">
        <v>92</v>
      </c>
      <c r="C757">
        <v>452</v>
      </c>
      <c r="D757" t="s">
        <v>34</v>
      </c>
      <c r="E757">
        <v>2020</v>
      </c>
      <c r="F757" t="s">
        <v>21</v>
      </c>
      <c r="G757">
        <v>198</v>
      </c>
      <c r="H757">
        <v>21.8</v>
      </c>
      <c r="I757">
        <v>16.600000000000001</v>
      </c>
      <c r="J757">
        <v>210687</v>
      </c>
      <c r="K757">
        <v>31</v>
      </c>
      <c r="L757">
        <v>65313</v>
      </c>
      <c r="M757">
        <v>276000</v>
      </c>
      <c r="N757">
        <v>323017</v>
      </c>
      <c r="O757">
        <v>82</v>
      </c>
      <c r="P757">
        <v>5.0999999999999996</v>
      </c>
      <c r="Q757" t="s">
        <v>22</v>
      </c>
      <c r="R757" t="s">
        <v>23</v>
      </c>
    </row>
    <row r="758" spans="1:18" x14ac:dyDescent="0.3">
      <c r="A758" t="s">
        <v>18</v>
      </c>
      <c r="B758" t="s">
        <v>62</v>
      </c>
      <c r="C758">
        <v>348</v>
      </c>
      <c r="D758" t="s">
        <v>34</v>
      </c>
      <c r="E758">
        <v>2021</v>
      </c>
      <c r="F758" t="s">
        <v>21</v>
      </c>
      <c r="G758">
        <v>146</v>
      </c>
      <c r="H758">
        <v>31.4</v>
      </c>
      <c r="I758">
        <v>18.5</v>
      </c>
      <c r="J758">
        <v>159375</v>
      </c>
      <c r="K758">
        <v>28</v>
      </c>
      <c r="L758">
        <v>44625</v>
      </c>
      <c r="M758">
        <v>204000</v>
      </c>
      <c r="N758">
        <v>236209</v>
      </c>
      <c r="O758">
        <v>75</v>
      </c>
      <c r="P758">
        <v>10</v>
      </c>
      <c r="Q758" t="s">
        <v>22</v>
      </c>
      <c r="R758" t="s">
        <v>23</v>
      </c>
    </row>
    <row r="759" spans="1:18" x14ac:dyDescent="0.3">
      <c r="A759" t="s">
        <v>32</v>
      </c>
      <c r="B759" t="s">
        <v>46</v>
      </c>
      <c r="C759">
        <v>349</v>
      </c>
      <c r="D759" t="s">
        <v>34</v>
      </c>
      <c r="E759">
        <v>2022</v>
      </c>
      <c r="F759" t="s">
        <v>35</v>
      </c>
      <c r="G759">
        <v>150</v>
      </c>
      <c r="H759">
        <v>32.799999999999997</v>
      </c>
      <c r="I759">
        <v>17.3</v>
      </c>
      <c r="J759">
        <v>122656</v>
      </c>
      <c r="K759">
        <v>28</v>
      </c>
      <c r="L759">
        <v>34344</v>
      </c>
      <c r="M759">
        <v>157000</v>
      </c>
      <c r="N759">
        <v>183344</v>
      </c>
      <c r="O759">
        <v>75</v>
      </c>
      <c r="P759">
        <v>8.9</v>
      </c>
      <c r="Q759" t="s">
        <v>22</v>
      </c>
      <c r="R759" t="s">
        <v>23</v>
      </c>
    </row>
    <row r="760" spans="1:18" x14ac:dyDescent="0.3">
      <c r="A760" t="s">
        <v>50</v>
      </c>
      <c r="B760" t="s">
        <v>72</v>
      </c>
      <c r="C760">
        <v>373</v>
      </c>
      <c r="D760" t="s">
        <v>34</v>
      </c>
      <c r="E760">
        <v>2021</v>
      </c>
      <c r="F760" t="s">
        <v>21</v>
      </c>
      <c r="G760">
        <v>160</v>
      </c>
      <c r="H760">
        <v>22</v>
      </c>
      <c r="I760">
        <v>16.3</v>
      </c>
      <c r="J760">
        <v>229771</v>
      </c>
      <c r="K760">
        <v>31</v>
      </c>
      <c r="L760">
        <v>71229</v>
      </c>
      <c r="M760">
        <v>301000</v>
      </c>
      <c r="N760">
        <v>342819</v>
      </c>
      <c r="O760">
        <v>81</v>
      </c>
      <c r="P760">
        <v>4.0999999999999996</v>
      </c>
      <c r="Q760" t="s">
        <v>26</v>
      </c>
      <c r="R760" t="s">
        <v>27</v>
      </c>
    </row>
    <row r="761" spans="1:18" x14ac:dyDescent="0.3">
      <c r="A761" t="s">
        <v>24</v>
      </c>
      <c r="B761" t="s">
        <v>25</v>
      </c>
      <c r="C761">
        <v>249</v>
      </c>
      <c r="D761" t="s">
        <v>20</v>
      </c>
      <c r="E761">
        <v>2020</v>
      </c>
      <c r="F761" t="s">
        <v>21</v>
      </c>
      <c r="G761">
        <v>152</v>
      </c>
      <c r="H761">
        <v>34.4</v>
      </c>
      <c r="I761">
        <v>15.5</v>
      </c>
      <c r="J761">
        <v>123438</v>
      </c>
      <c r="K761">
        <v>28</v>
      </c>
      <c r="L761">
        <v>34562</v>
      </c>
      <c r="M761">
        <v>158000</v>
      </c>
      <c r="N761">
        <v>186390</v>
      </c>
      <c r="O761">
        <v>68</v>
      </c>
      <c r="P761">
        <v>6.6</v>
      </c>
      <c r="Q761" t="s">
        <v>22</v>
      </c>
      <c r="R761" t="s">
        <v>23</v>
      </c>
    </row>
    <row r="762" spans="1:18" x14ac:dyDescent="0.3">
      <c r="A762" t="s">
        <v>28</v>
      </c>
      <c r="B762" t="s">
        <v>53</v>
      </c>
      <c r="C762">
        <v>440</v>
      </c>
      <c r="D762" t="s">
        <v>34</v>
      </c>
      <c r="E762">
        <v>2020</v>
      </c>
      <c r="F762" t="s">
        <v>21</v>
      </c>
      <c r="G762">
        <v>197</v>
      </c>
      <c r="H762">
        <v>20.399999999999999</v>
      </c>
      <c r="I762">
        <v>14.4</v>
      </c>
      <c r="J762">
        <v>167939</v>
      </c>
      <c r="K762">
        <v>31</v>
      </c>
      <c r="L762">
        <v>52061</v>
      </c>
      <c r="M762">
        <v>220000</v>
      </c>
      <c r="N762">
        <v>253511</v>
      </c>
      <c r="O762">
        <v>80</v>
      </c>
      <c r="P762">
        <v>1.6</v>
      </c>
      <c r="Q762" t="s">
        <v>57</v>
      </c>
      <c r="R762" t="s">
        <v>58</v>
      </c>
    </row>
    <row r="763" spans="1:18" x14ac:dyDescent="0.3">
      <c r="A763" t="s">
        <v>39</v>
      </c>
      <c r="B763" t="s">
        <v>71</v>
      </c>
      <c r="C763">
        <v>159</v>
      </c>
      <c r="D763" t="s">
        <v>20</v>
      </c>
      <c r="E763">
        <v>2021</v>
      </c>
      <c r="F763" t="s">
        <v>21</v>
      </c>
      <c r="G763">
        <v>127</v>
      </c>
      <c r="H763">
        <v>45.5</v>
      </c>
      <c r="I763">
        <v>13.4</v>
      </c>
      <c r="J763">
        <v>100000</v>
      </c>
      <c r="K763">
        <v>28</v>
      </c>
      <c r="L763">
        <v>28000</v>
      </c>
      <c r="M763">
        <v>128000</v>
      </c>
      <c r="N763">
        <v>151844</v>
      </c>
      <c r="O763">
        <v>74</v>
      </c>
      <c r="P763">
        <v>3.7</v>
      </c>
      <c r="Q763" t="s">
        <v>26</v>
      </c>
      <c r="R763" t="s">
        <v>27</v>
      </c>
    </row>
    <row r="764" spans="1:18" x14ac:dyDescent="0.3">
      <c r="A764" t="s">
        <v>18</v>
      </c>
      <c r="B764" t="s">
        <v>61</v>
      </c>
      <c r="C764">
        <v>124</v>
      </c>
      <c r="D764" t="s">
        <v>30</v>
      </c>
      <c r="E764">
        <v>2022</v>
      </c>
      <c r="F764" t="s">
        <v>21</v>
      </c>
      <c r="G764">
        <v>111</v>
      </c>
      <c r="H764">
        <v>52.9</v>
      </c>
      <c r="I764">
        <v>13.2</v>
      </c>
      <c r="J764">
        <v>70312</v>
      </c>
      <c r="K764">
        <v>28</v>
      </c>
      <c r="L764">
        <v>19688</v>
      </c>
      <c r="M764">
        <v>90000</v>
      </c>
      <c r="N764">
        <v>105475</v>
      </c>
      <c r="O764">
        <v>70</v>
      </c>
      <c r="P764">
        <v>7.4</v>
      </c>
      <c r="Q764" t="s">
        <v>22</v>
      </c>
      <c r="R764" t="s">
        <v>23</v>
      </c>
    </row>
    <row r="765" spans="1:18" x14ac:dyDescent="0.3">
      <c r="A765" t="s">
        <v>24</v>
      </c>
      <c r="B765" t="s">
        <v>101</v>
      </c>
      <c r="C765">
        <v>102</v>
      </c>
      <c r="D765" t="s">
        <v>30</v>
      </c>
      <c r="E765">
        <v>2021</v>
      </c>
      <c r="F765" t="s">
        <v>31</v>
      </c>
      <c r="G765">
        <v>87</v>
      </c>
      <c r="H765">
        <v>76.400000000000006</v>
      </c>
      <c r="I765">
        <v>9.6</v>
      </c>
      <c r="J765">
        <v>57031</v>
      </c>
      <c r="K765">
        <v>28</v>
      </c>
      <c r="L765">
        <v>15969</v>
      </c>
      <c r="M765">
        <v>73000</v>
      </c>
      <c r="N765">
        <v>89116</v>
      </c>
      <c r="O765">
        <v>56</v>
      </c>
      <c r="P765">
        <v>3</v>
      </c>
      <c r="Q765" t="s">
        <v>26</v>
      </c>
      <c r="R765" t="s">
        <v>27</v>
      </c>
    </row>
    <row r="766" spans="1:18" x14ac:dyDescent="0.3">
      <c r="A766" t="s">
        <v>24</v>
      </c>
      <c r="B766" t="s">
        <v>65</v>
      </c>
      <c r="C766">
        <v>149</v>
      </c>
      <c r="D766" t="s">
        <v>20</v>
      </c>
      <c r="E766">
        <v>2024</v>
      </c>
      <c r="F766" t="s">
        <v>35</v>
      </c>
      <c r="G766">
        <v>112</v>
      </c>
      <c r="H766">
        <v>61.3</v>
      </c>
      <c r="I766">
        <v>10.8</v>
      </c>
      <c r="J766">
        <v>90625</v>
      </c>
      <c r="K766">
        <v>28</v>
      </c>
      <c r="L766">
        <v>25375</v>
      </c>
      <c r="M766">
        <v>116000</v>
      </c>
      <c r="N766">
        <v>136478</v>
      </c>
      <c r="O766">
        <v>67</v>
      </c>
      <c r="P766">
        <v>11.7</v>
      </c>
      <c r="Q766" t="s">
        <v>37</v>
      </c>
      <c r="R766" t="s">
        <v>38</v>
      </c>
    </row>
    <row r="767" spans="1:18" x14ac:dyDescent="0.3">
      <c r="A767" t="s">
        <v>55</v>
      </c>
      <c r="B767" t="s">
        <v>75</v>
      </c>
      <c r="C767">
        <v>155</v>
      </c>
      <c r="D767" t="s">
        <v>20</v>
      </c>
      <c r="E767">
        <v>2023</v>
      </c>
      <c r="F767" t="s">
        <v>35</v>
      </c>
      <c r="G767">
        <v>124</v>
      </c>
      <c r="H767">
        <v>45</v>
      </c>
      <c r="I767">
        <v>10.8</v>
      </c>
      <c r="J767">
        <v>109375</v>
      </c>
      <c r="K767">
        <v>28</v>
      </c>
      <c r="L767">
        <v>30625</v>
      </c>
      <c r="M767">
        <v>140000</v>
      </c>
      <c r="N767">
        <v>161502</v>
      </c>
      <c r="O767">
        <v>72</v>
      </c>
      <c r="P767">
        <v>14.6</v>
      </c>
      <c r="Q767" t="s">
        <v>37</v>
      </c>
      <c r="R767" t="s">
        <v>38</v>
      </c>
    </row>
    <row r="768" spans="1:18" x14ac:dyDescent="0.3">
      <c r="A768" t="s">
        <v>18</v>
      </c>
      <c r="B768" t="s">
        <v>68</v>
      </c>
      <c r="C768">
        <v>109</v>
      </c>
      <c r="D768" t="s">
        <v>30</v>
      </c>
      <c r="E768">
        <v>2021</v>
      </c>
      <c r="F768" t="s">
        <v>31</v>
      </c>
      <c r="G768">
        <v>96</v>
      </c>
      <c r="H768">
        <v>70.099999999999994</v>
      </c>
      <c r="I768">
        <v>8.6</v>
      </c>
      <c r="J768">
        <v>64062</v>
      </c>
      <c r="K768">
        <v>28</v>
      </c>
      <c r="L768">
        <v>17938</v>
      </c>
      <c r="M768">
        <v>82000</v>
      </c>
      <c r="N768">
        <v>97308</v>
      </c>
      <c r="O768">
        <v>64</v>
      </c>
      <c r="P768">
        <v>8.3000000000000007</v>
      </c>
      <c r="Q768" t="s">
        <v>37</v>
      </c>
      <c r="R768" t="s">
        <v>38</v>
      </c>
    </row>
    <row r="769" spans="1:18" x14ac:dyDescent="0.3">
      <c r="A769" t="s">
        <v>32</v>
      </c>
      <c r="B769" t="s">
        <v>97</v>
      </c>
      <c r="C769">
        <v>452</v>
      </c>
      <c r="D769" t="s">
        <v>34</v>
      </c>
      <c r="E769">
        <v>2024</v>
      </c>
      <c r="F769" t="s">
        <v>21</v>
      </c>
      <c r="G769">
        <v>185</v>
      </c>
      <c r="H769">
        <v>20.8</v>
      </c>
      <c r="I769">
        <v>17.5</v>
      </c>
      <c r="J769">
        <v>222137</v>
      </c>
      <c r="K769">
        <v>31</v>
      </c>
      <c r="L769">
        <v>68863</v>
      </c>
      <c r="M769">
        <v>291000</v>
      </c>
      <c r="N769">
        <v>338138</v>
      </c>
      <c r="O769">
        <v>87</v>
      </c>
      <c r="P769">
        <v>13.9</v>
      </c>
      <c r="Q769" t="s">
        <v>37</v>
      </c>
      <c r="R769" t="s">
        <v>38</v>
      </c>
    </row>
    <row r="770" spans="1:18" x14ac:dyDescent="0.3">
      <c r="A770" t="s">
        <v>24</v>
      </c>
      <c r="B770" t="s">
        <v>67</v>
      </c>
      <c r="C770">
        <v>199</v>
      </c>
      <c r="D770" t="s">
        <v>20</v>
      </c>
      <c r="E770">
        <v>2022</v>
      </c>
      <c r="F770" t="s">
        <v>21</v>
      </c>
      <c r="G770">
        <v>133</v>
      </c>
      <c r="H770">
        <v>39.200000000000003</v>
      </c>
      <c r="I770">
        <v>11</v>
      </c>
      <c r="J770">
        <v>111719</v>
      </c>
      <c r="K770">
        <v>28</v>
      </c>
      <c r="L770">
        <v>31281</v>
      </c>
      <c r="M770">
        <v>143000</v>
      </c>
      <c r="N770">
        <v>165981</v>
      </c>
      <c r="O770">
        <v>73</v>
      </c>
      <c r="P770">
        <v>9</v>
      </c>
      <c r="Q770" t="s">
        <v>22</v>
      </c>
      <c r="R770" t="s">
        <v>23</v>
      </c>
    </row>
    <row r="771" spans="1:18" x14ac:dyDescent="0.3">
      <c r="A771" t="s">
        <v>18</v>
      </c>
      <c r="B771" t="s">
        <v>68</v>
      </c>
      <c r="C771">
        <v>109</v>
      </c>
      <c r="D771" t="s">
        <v>30</v>
      </c>
      <c r="E771">
        <v>2022</v>
      </c>
      <c r="F771" t="s">
        <v>31</v>
      </c>
      <c r="G771">
        <v>86</v>
      </c>
      <c r="H771">
        <v>65.5</v>
      </c>
      <c r="I771">
        <v>8.9</v>
      </c>
      <c r="J771">
        <v>57031</v>
      </c>
      <c r="K771">
        <v>28</v>
      </c>
      <c r="L771">
        <v>15969</v>
      </c>
      <c r="M771">
        <v>73000</v>
      </c>
      <c r="N771">
        <v>85364</v>
      </c>
      <c r="O771">
        <v>64</v>
      </c>
      <c r="P771">
        <v>8.1999999999999993</v>
      </c>
      <c r="Q771" t="s">
        <v>37</v>
      </c>
      <c r="R771" t="s">
        <v>38</v>
      </c>
    </row>
    <row r="772" spans="1:18" x14ac:dyDescent="0.3">
      <c r="A772" t="s">
        <v>42</v>
      </c>
      <c r="B772" t="s">
        <v>45</v>
      </c>
      <c r="C772">
        <v>149</v>
      </c>
      <c r="D772" t="s">
        <v>20</v>
      </c>
      <c r="E772">
        <v>2025</v>
      </c>
      <c r="F772" t="s">
        <v>21</v>
      </c>
      <c r="G772">
        <v>110</v>
      </c>
      <c r="H772">
        <v>53.4</v>
      </c>
      <c r="I772">
        <v>10.3</v>
      </c>
      <c r="J772">
        <v>104688</v>
      </c>
      <c r="K772">
        <v>28</v>
      </c>
      <c r="L772">
        <v>29312</v>
      </c>
      <c r="M772">
        <v>134000</v>
      </c>
      <c r="N772">
        <v>155161</v>
      </c>
      <c r="O772">
        <v>76</v>
      </c>
      <c r="P772">
        <v>4.3</v>
      </c>
      <c r="Q772" t="s">
        <v>26</v>
      </c>
      <c r="R772" t="s">
        <v>27</v>
      </c>
    </row>
    <row r="773" spans="1:18" x14ac:dyDescent="0.3">
      <c r="A773" t="s">
        <v>18</v>
      </c>
      <c r="B773" t="s">
        <v>68</v>
      </c>
      <c r="C773">
        <v>109</v>
      </c>
      <c r="D773" t="s">
        <v>30</v>
      </c>
      <c r="E773">
        <v>2022</v>
      </c>
      <c r="F773" t="s">
        <v>31</v>
      </c>
      <c r="G773">
        <v>92</v>
      </c>
      <c r="H773">
        <v>74.8</v>
      </c>
      <c r="I773">
        <v>8.1</v>
      </c>
      <c r="J773">
        <v>58594</v>
      </c>
      <c r="K773">
        <v>28</v>
      </c>
      <c r="L773">
        <v>16406</v>
      </c>
      <c r="M773">
        <v>75000</v>
      </c>
      <c r="N773">
        <v>87895</v>
      </c>
      <c r="O773">
        <v>58</v>
      </c>
      <c r="P773">
        <v>2.7</v>
      </c>
      <c r="Q773" t="s">
        <v>26</v>
      </c>
      <c r="R773" t="s">
        <v>27</v>
      </c>
    </row>
    <row r="774" spans="1:18" x14ac:dyDescent="0.3">
      <c r="A774" t="s">
        <v>24</v>
      </c>
      <c r="B774" t="s">
        <v>77</v>
      </c>
      <c r="C774">
        <v>160</v>
      </c>
      <c r="D774" t="s">
        <v>20</v>
      </c>
      <c r="E774">
        <v>2025</v>
      </c>
      <c r="F774" t="s">
        <v>21</v>
      </c>
      <c r="G774">
        <v>126</v>
      </c>
      <c r="H774">
        <v>45.5</v>
      </c>
      <c r="I774">
        <v>13</v>
      </c>
      <c r="J774">
        <v>99219</v>
      </c>
      <c r="K774">
        <v>28</v>
      </c>
      <c r="L774">
        <v>27781</v>
      </c>
      <c r="M774">
        <v>127000</v>
      </c>
      <c r="N774">
        <v>149834</v>
      </c>
      <c r="O774">
        <v>82</v>
      </c>
      <c r="P774">
        <v>15</v>
      </c>
      <c r="Q774" t="s">
        <v>37</v>
      </c>
      <c r="R774" t="s">
        <v>38</v>
      </c>
    </row>
    <row r="775" spans="1:18" x14ac:dyDescent="0.3">
      <c r="A775" t="s">
        <v>39</v>
      </c>
      <c r="B775" t="s">
        <v>60</v>
      </c>
      <c r="C775">
        <v>109</v>
      </c>
      <c r="D775" t="s">
        <v>30</v>
      </c>
      <c r="E775">
        <v>2021</v>
      </c>
      <c r="F775" t="s">
        <v>35</v>
      </c>
      <c r="G775">
        <v>85</v>
      </c>
      <c r="H775">
        <v>77.5</v>
      </c>
      <c r="I775">
        <v>9.6999999999999993</v>
      </c>
      <c r="J775">
        <v>57812</v>
      </c>
      <c r="K775">
        <v>28</v>
      </c>
      <c r="L775">
        <v>16188</v>
      </c>
      <c r="M775">
        <v>74000</v>
      </c>
      <c r="N775">
        <v>87897</v>
      </c>
      <c r="O775">
        <v>68</v>
      </c>
      <c r="P775">
        <v>10.199999999999999</v>
      </c>
      <c r="Q775" t="s">
        <v>37</v>
      </c>
      <c r="R775" t="s">
        <v>38</v>
      </c>
    </row>
    <row r="776" spans="1:18" x14ac:dyDescent="0.3">
      <c r="A776" t="s">
        <v>24</v>
      </c>
      <c r="B776" t="s">
        <v>106</v>
      </c>
      <c r="C776">
        <v>373</v>
      </c>
      <c r="D776" t="s">
        <v>34</v>
      </c>
      <c r="E776">
        <v>2023</v>
      </c>
      <c r="F776" t="s">
        <v>21</v>
      </c>
      <c r="G776">
        <v>195</v>
      </c>
      <c r="H776">
        <v>22.5</v>
      </c>
      <c r="I776">
        <v>15.4</v>
      </c>
      <c r="J776">
        <v>175573</v>
      </c>
      <c r="K776">
        <v>31</v>
      </c>
      <c r="L776">
        <v>54427</v>
      </c>
      <c r="M776">
        <v>230000</v>
      </c>
      <c r="N776">
        <v>268486</v>
      </c>
      <c r="O776">
        <v>77</v>
      </c>
      <c r="P776">
        <v>11.1</v>
      </c>
      <c r="Q776" t="s">
        <v>37</v>
      </c>
      <c r="R776" t="s">
        <v>38</v>
      </c>
    </row>
    <row r="777" spans="1:18" x14ac:dyDescent="0.3">
      <c r="A777" t="s">
        <v>18</v>
      </c>
      <c r="B777" t="s">
        <v>68</v>
      </c>
      <c r="C777">
        <v>109</v>
      </c>
      <c r="D777" t="s">
        <v>30</v>
      </c>
      <c r="E777">
        <v>2020</v>
      </c>
      <c r="F777" t="s">
        <v>31</v>
      </c>
      <c r="G777">
        <v>99</v>
      </c>
      <c r="H777">
        <v>68.599999999999994</v>
      </c>
      <c r="I777">
        <v>8.6999999999999993</v>
      </c>
      <c r="J777">
        <v>59375</v>
      </c>
      <c r="K777">
        <v>28</v>
      </c>
      <c r="L777">
        <v>16625</v>
      </c>
      <c r="M777">
        <v>76000</v>
      </c>
      <c r="N777">
        <v>90960</v>
      </c>
      <c r="O777">
        <v>64</v>
      </c>
      <c r="P777">
        <v>12.9</v>
      </c>
      <c r="Q777" t="s">
        <v>37</v>
      </c>
      <c r="R777" t="s">
        <v>38</v>
      </c>
    </row>
    <row r="778" spans="1:18" x14ac:dyDescent="0.3">
      <c r="A778" t="s">
        <v>18</v>
      </c>
      <c r="B778" t="s">
        <v>79</v>
      </c>
      <c r="C778">
        <v>293</v>
      </c>
      <c r="D778" t="s">
        <v>34</v>
      </c>
      <c r="E778">
        <v>2025</v>
      </c>
      <c r="F778" t="s">
        <v>21</v>
      </c>
      <c r="G778">
        <v>150</v>
      </c>
      <c r="H778">
        <v>34.6</v>
      </c>
      <c r="I778">
        <v>18.3</v>
      </c>
      <c r="J778">
        <v>204688</v>
      </c>
      <c r="K778">
        <v>28</v>
      </c>
      <c r="L778">
        <v>57312</v>
      </c>
      <c r="M778">
        <v>262000</v>
      </c>
      <c r="N778">
        <v>305869</v>
      </c>
      <c r="O778">
        <v>75</v>
      </c>
      <c r="P778">
        <v>6.9</v>
      </c>
      <c r="Q778" t="s">
        <v>22</v>
      </c>
      <c r="R778" t="s">
        <v>23</v>
      </c>
    </row>
    <row r="779" spans="1:18" x14ac:dyDescent="0.3">
      <c r="A779" t="s">
        <v>55</v>
      </c>
      <c r="B779" t="s">
        <v>75</v>
      </c>
      <c r="C779">
        <v>155</v>
      </c>
      <c r="D779" t="s">
        <v>20</v>
      </c>
      <c r="E779">
        <v>2024</v>
      </c>
      <c r="F779" t="s">
        <v>35</v>
      </c>
      <c r="G779">
        <v>124</v>
      </c>
      <c r="H779">
        <v>46.3</v>
      </c>
      <c r="I779">
        <v>13.7</v>
      </c>
      <c r="J779">
        <v>109375</v>
      </c>
      <c r="K779">
        <v>28</v>
      </c>
      <c r="L779">
        <v>30625</v>
      </c>
      <c r="M779">
        <v>140000</v>
      </c>
      <c r="N779">
        <v>162407</v>
      </c>
      <c r="O779">
        <v>69</v>
      </c>
      <c r="P779">
        <v>9</v>
      </c>
      <c r="Q779" t="s">
        <v>22</v>
      </c>
      <c r="R779" t="s">
        <v>23</v>
      </c>
    </row>
    <row r="780" spans="1:18" x14ac:dyDescent="0.3">
      <c r="A780" t="s">
        <v>50</v>
      </c>
      <c r="B780" t="s">
        <v>94</v>
      </c>
      <c r="C780">
        <v>124</v>
      </c>
      <c r="D780" t="s">
        <v>20</v>
      </c>
      <c r="E780">
        <v>2023</v>
      </c>
      <c r="F780" t="s">
        <v>21</v>
      </c>
      <c r="G780">
        <v>120</v>
      </c>
      <c r="H780">
        <v>53.5</v>
      </c>
      <c r="I780">
        <v>12.6</v>
      </c>
      <c r="J780">
        <v>146875</v>
      </c>
      <c r="K780">
        <v>28</v>
      </c>
      <c r="L780">
        <v>41125</v>
      </c>
      <c r="M780">
        <v>188000</v>
      </c>
      <c r="N780">
        <v>215873</v>
      </c>
      <c r="O780">
        <v>71</v>
      </c>
      <c r="P780">
        <v>5.6</v>
      </c>
      <c r="Q780" t="s">
        <v>22</v>
      </c>
      <c r="R780" t="s">
        <v>23</v>
      </c>
    </row>
    <row r="781" spans="1:18" x14ac:dyDescent="0.3">
      <c r="A781" t="s">
        <v>39</v>
      </c>
      <c r="B781" t="s">
        <v>47</v>
      </c>
      <c r="C781">
        <v>312</v>
      </c>
      <c r="D781" t="s">
        <v>34</v>
      </c>
      <c r="E781">
        <v>2021</v>
      </c>
      <c r="F781" t="s">
        <v>21</v>
      </c>
      <c r="G781">
        <v>159</v>
      </c>
      <c r="H781">
        <v>34.5</v>
      </c>
      <c r="I781">
        <v>13.5</v>
      </c>
      <c r="J781">
        <v>204688</v>
      </c>
      <c r="K781">
        <v>28</v>
      </c>
      <c r="L781">
        <v>57312</v>
      </c>
      <c r="M781">
        <v>262000</v>
      </c>
      <c r="N781">
        <v>296941</v>
      </c>
      <c r="O781">
        <v>76</v>
      </c>
      <c r="P781">
        <v>1.4</v>
      </c>
      <c r="Q781" t="s">
        <v>57</v>
      </c>
      <c r="R781" t="s">
        <v>58</v>
      </c>
    </row>
    <row r="782" spans="1:18" x14ac:dyDescent="0.3">
      <c r="A782" t="s">
        <v>32</v>
      </c>
      <c r="B782" t="s">
        <v>90</v>
      </c>
      <c r="C782">
        <v>648</v>
      </c>
      <c r="D782" t="s">
        <v>34</v>
      </c>
      <c r="E782">
        <v>2022</v>
      </c>
      <c r="F782" t="s">
        <v>31</v>
      </c>
      <c r="G782">
        <v>183</v>
      </c>
      <c r="H782">
        <v>21.8</v>
      </c>
      <c r="I782">
        <v>19</v>
      </c>
      <c r="J782">
        <v>239695</v>
      </c>
      <c r="K782">
        <v>31</v>
      </c>
      <c r="L782">
        <v>74305</v>
      </c>
      <c r="M782">
        <v>314000</v>
      </c>
      <c r="N782">
        <v>357895</v>
      </c>
      <c r="O782">
        <v>71</v>
      </c>
      <c r="P782">
        <v>1.2</v>
      </c>
      <c r="Q782" t="s">
        <v>57</v>
      </c>
      <c r="R782" t="s">
        <v>58</v>
      </c>
    </row>
    <row r="783" spans="1:18" x14ac:dyDescent="0.3">
      <c r="A783" t="s">
        <v>50</v>
      </c>
      <c r="B783" t="s">
        <v>51</v>
      </c>
      <c r="C783">
        <v>248</v>
      </c>
      <c r="D783" t="s">
        <v>34</v>
      </c>
      <c r="E783">
        <v>2021</v>
      </c>
      <c r="F783" t="s">
        <v>21</v>
      </c>
      <c r="G783">
        <v>142</v>
      </c>
      <c r="H783">
        <v>31.8</v>
      </c>
      <c r="I783">
        <v>13.9</v>
      </c>
      <c r="J783">
        <v>180469</v>
      </c>
      <c r="K783">
        <v>28</v>
      </c>
      <c r="L783">
        <v>50531</v>
      </c>
      <c r="M783">
        <v>231000</v>
      </c>
      <c r="N783">
        <v>269863</v>
      </c>
      <c r="O783">
        <v>77</v>
      </c>
      <c r="P783">
        <v>14.4</v>
      </c>
      <c r="Q783" t="s">
        <v>37</v>
      </c>
      <c r="R783" t="s">
        <v>38</v>
      </c>
    </row>
    <row r="784" spans="1:18" x14ac:dyDescent="0.3">
      <c r="A784" t="s">
        <v>24</v>
      </c>
      <c r="B784" t="s">
        <v>67</v>
      </c>
      <c r="C784">
        <v>199</v>
      </c>
      <c r="D784" t="s">
        <v>20</v>
      </c>
      <c r="E784">
        <v>2025</v>
      </c>
      <c r="F784" t="s">
        <v>21</v>
      </c>
      <c r="G784">
        <v>129</v>
      </c>
      <c r="H784">
        <v>43</v>
      </c>
      <c r="I784">
        <v>12.7</v>
      </c>
      <c r="J784">
        <v>113281</v>
      </c>
      <c r="K784">
        <v>28</v>
      </c>
      <c r="L784">
        <v>31719</v>
      </c>
      <c r="M784">
        <v>145000</v>
      </c>
      <c r="N784">
        <v>170272</v>
      </c>
      <c r="O784">
        <v>76</v>
      </c>
      <c r="P784">
        <v>3.8</v>
      </c>
      <c r="Q784" t="s">
        <v>26</v>
      </c>
      <c r="R784" t="s">
        <v>27</v>
      </c>
    </row>
    <row r="785" spans="1:18" x14ac:dyDescent="0.3">
      <c r="A785" t="s">
        <v>39</v>
      </c>
      <c r="B785" t="s">
        <v>64</v>
      </c>
      <c r="C785">
        <v>159</v>
      </c>
      <c r="D785" t="s">
        <v>20</v>
      </c>
      <c r="E785">
        <v>2024</v>
      </c>
      <c r="F785" t="s">
        <v>35</v>
      </c>
      <c r="G785">
        <v>127</v>
      </c>
      <c r="H785">
        <v>43.1</v>
      </c>
      <c r="I785">
        <v>13.5</v>
      </c>
      <c r="J785">
        <v>89062</v>
      </c>
      <c r="K785">
        <v>28</v>
      </c>
      <c r="L785">
        <v>24938</v>
      </c>
      <c r="M785">
        <v>114000</v>
      </c>
      <c r="N785">
        <v>135711</v>
      </c>
      <c r="O785">
        <v>67</v>
      </c>
      <c r="P785">
        <v>5.6</v>
      </c>
      <c r="Q785" t="s">
        <v>22</v>
      </c>
      <c r="R785" t="s">
        <v>23</v>
      </c>
    </row>
    <row r="786" spans="1:18" x14ac:dyDescent="0.3">
      <c r="A786" t="s">
        <v>42</v>
      </c>
      <c r="B786" t="s">
        <v>43</v>
      </c>
      <c r="C786">
        <v>149</v>
      </c>
      <c r="D786" t="s">
        <v>20</v>
      </c>
      <c r="E786">
        <v>2025</v>
      </c>
      <c r="F786" t="s">
        <v>35</v>
      </c>
      <c r="G786">
        <v>119</v>
      </c>
      <c r="H786">
        <v>60</v>
      </c>
      <c r="I786">
        <v>13.2</v>
      </c>
      <c r="J786">
        <v>100781</v>
      </c>
      <c r="K786">
        <v>28</v>
      </c>
      <c r="L786">
        <v>28219</v>
      </c>
      <c r="M786">
        <v>129000</v>
      </c>
      <c r="N786">
        <v>148274</v>
      </c>
      <c r="O786">
        <v>72</v>
      </c>
      <c r="P786">
        <v>10.8</v>
      </c>
      <c r="Q786" t="s">
        <v>37</v>
      </c>
      <c r="R786" t="s">
        <v>38</v>
      </c>
    </row>
    <row r="787" spans="1:18" x14ac:dyDescent="0.3">
      <c r="A787" t="s">
        <v>50</v>
      </c>
      <c r="B787" t="s">
        <v>94</v>
      </c>
      <c r="C787">
        <v>124</v>
      </c>
      <c r="D787" t="s">
        <v>20</v>
      </c>
      <c r="E787">
        <v>2025</v>
      </c>
      <c r="F787" t="s">
        <v>21</v>
      </c>
      <c r="G787">
        <v>118</v>
      </c>
      <c r="H787">
        <v>50.8</v>
      </c>
      <c r="I787">
        <v>10.7</v>
      </c>
      <c r="J787">
        <v>139062</v>
      </c>
      <c r="K787">
        <v>28</v>
      </c>
      <c r="L787">
        <v>38938</v>
      </c>
      <c r="M787">
        <v>178000</v>
      </c>
      <c r="N787">
        <v>206991</v>
      </c>
      <c r="O787">
        <v>77</v>
      </c>
      <c r="P787">
        <v>6.4</v>
      </c>
      <c r="Q787" t="s">
        <v>22</v>
      </c>
      <c r="R787" t="s">
        <v>23</v>
      </c>
    </row>
    <row r="788" spans="1:18" x14ac:dyDescent="0.3">
      <c r="A788" t="s">
        <v>18</v>
      </c>
      <c r="B788" t="s">
        <v>61</v>
      </c>
      <c r="C788">
        <v>124</v>
      </c>
      <c r="D788" t="s">
        <v>30</v>
      </c>
      <c r="E788">
        <v>2025</v>
      </c>
      <c r="F788" t="s">
        <v>21</v>
      </c>
      <c r="G788">
        <v>114</v>
      </c>
      <c r="H788">
        <v>52</v>
      </c>
      <c r="I788">
        <v>12.9</v>
      </c>
      <c r="J788">
        <v>75000</v>
      </c>
      <c r="K788">
        <v>28</v>
      </c>
      <c r="L788">
        <v>21000</v>
      </c>
      <c r="M788">
        <v>96000</v>
      </c>
      <c r="N788">
        <v>113298</v>
      </c>
      <c r="O788">
        <v>76</v>
      </c>
      <c r="P788">
        <v>13.8</v>
      </c>
      <c r="Q788" t="s">
        <v>37</v>
      </c>
      <c r="R788" t="s">
        <v>38</v>
      </c>
    </row>
    <row r="789" spans="1:18" x14ac:dyDescent="0.3">
      <c r="A789" t="s">
        <v>24</v>
      </c>
      <c r="B789" t="s">
        <v>25</v>
      </c>
      <c r="C789">
        <v>249</v>
      </c>
      <c r="D789" t="s">
        <v>20</v>
      </c>
      <c r="E789">
        <v>2022</v>
      </c>
      <c r="F789" t="s">
        <v>21</v>
      </c>
      <c r="G789">
        <v>142</v>
      </c>
      <c r="H789">
        <v>35.799999999999997</v>
      </c>
      <c r="I789">
        <v>15.9</v>
      </c>
      <c r="J789">
        <v>137500</v>
      </c>
      <c r="K789">
        <v>28</v>
      </c>
      <c r="L789">
        <v>38500</v>
      </c>
      <c r="M789">
        <v>176000</v>
      </c>
      <c r="N789">
        <v>203433</v>
      </c>
      <c r="O789">
        <v>72</v>
      </c>
      <c r="P789">
        <v>8.1</v>
      </c>
      <c r="Q789" t="s">
        <v>22</v>
      </c>
      <c r="R789" t="s">
        <v>23</v>
      </c>
    </row>
    <row r="790" spans="1:18" x14ac:dyDescent="0.3">
      <c r="A790" t="s">
        <v>24</v>
      </c>
      <c r="B790" t="s">
        <v>101</v>
      </c>
      <c r="C790">
        <v>102</v>
      </c>
      <c r="D790" t="s">
        <v>30</v>
      </c>
      <c r="E790">
        <v>2023</v>
      </c>
      <c r="F790" t="s">
        <v>31</v>
      </c>
      <c r="G790">
        <v>99</v>
      </c>
      <c r="H790">
        <v>72.3</v>
      </c>
      <c r="I790">
        <v>9.6999999999999993</v>
      </c>
      <c r="J790">
        <v>50781</v>
      </c>
      <c r="K790">
        <v>28</v>
      </c>
      <c r="L790">
        <v>14219</v>
      </c>
      <c r="M790">
        <v>65000</v>
      </c>
      <c r="N790">
        <v>76366</v>
      </c>
      <c r="O790">
        <v>61</v>
      </c>
      <c r="P790">
        <v>5.8</v>
      </c>
      <c r="Q790" t="s">
        <v>37</v>
      </c>
      <c r="R790" t="s">
        <v>38</v>
      </c>
    </row>
    <row r="791" spans="1:18" x14ac:dyDescent="0.3">
      <c r="A791" t="s">
        <v>50</v>
      </c>
      <c r="B791" t="s">
        <v>94</v>
      </c>
      <c r="C791">
        <v>124</v>
      </c>
      <c r="D791" t="s">
        <v>20</v>
      </c>
      <c r="E791">
        <v>2020</v>
      </c>
      <c r="F791" t="s">
        <v>21</v>
      </c>
      <c r="G791">
        <v>119</v>
      </c>
      <c r="H791">
        <v>52.7</v>
      </c>
      <c r="I791">
        <v>12.2</v>
      </c>
      <c r="J791">
        <v>126562</v>
      </c>
      <c r="K791">
        <v>28</v>
      </c>
      <c r="L791">
        <v>35438</v>
      </c>
      <c r="M791">
        <v>162000</v>
      </c>
      <c r="N791">
        <v>186300</v>
      </c>
      <c r="O791">
        <v>77</v>
      </c>
      <c r="P791">
        <v>7.5</v>
      </c>
      <c r="Q791" t="s">
        <v>22</v>
      </c>
      <c r="R791" t="s">
        <v>23</v>
      </c>
    </row>
    <row r="792" spans="1:18" x14ac:dyDescent="0.3">
      <c r="A792" t="s">
        <v>39</v>
      </c>
      <c r="B792" t="s">
        <v>40</v>
      </c>
      <c r="C792">
        <v>109</v>
      </c>
      <c r="D792" t="s">
        <v>30</v>
      </c>
      <c r="E792">
        <v>2021</v>
      </c>
      <c r="F792" t="s">
        <v>35</v>
      </c>
      <c r="G792">
        <v>90</v>
      </c>
      <c r="H792">
        <v>75.7</v>
      </c>
      <c r="I792">
        <v>8.6</v>
      </c>
      <c r="J792">
        <v>66406</v>
      </c>
      <c r="K792">
        <v>28</v>
      </c>
      <c r="L792">
        <v>18594</v>
      </c>
      <c r="M792">
        <v>85000</v>
      </c>
      <c r="N792">
        <v>99782</v>
      </c>
      <c r="O792">
        <v>61</v>
      </c>
      <c r="P792">
        <v>9.5</v>
      </c>
      <c r="Q792" t="s">
        <v>37</v>
      </c>
      <c r="R792" t="s">
        <v>38</v>
      </c>
    </row>
    <row r="793" spans="1:18" x14ac:dyDescent="0.3">
      <c r="A793" t="s">
        <v>55</v>
      </c>
      <c r="B793" t="s">
        <v>75</v>
      </c>
      <c r="C793">
        <v>155</v>
      </c>
      <c r="D793" t="s">
        <v>20</v>
      </c>
      <c r="E793">
        <v>2021</v>
      </c>
      <c r="F793" t="s">
        <v>35</v>
      </c>
      <c r="G793">
        <v>124</v>
      </c>
      <c r="H793">
        <v>43.8</v>
      </c>
      <c r="I793">
        <v>12.9</v>
      </c>
      <c r="J793">
        <v>117969</v>
      </c>
      <c r="K793">
        <v>28</v>
      </c>
      <c r="L793">
        <v>33031</v>
      </c>
      <c r="M793">
        <v>151000</v>
      </c>
      <c r="N793">
        <v>172700</v>
      </c>
      <c r="O793">
        <v>65</v>
      </c>
      <c r="P793">
        <v>6</v>
      </c>
      <c r="Q793" t="s">
        <v>37</v>
      </c>
      <c r="R793" t="s">
        <v>38</v>
      </c>
    </row>
    <row r="794" spans="1:18" x14ac:dyDescent="0.3">
      <c r="A794" t="s">
        <v>55</v>
      </c>
      <c r="B794" t="s">
        <v>75</v>
      </c>
      <c r="C794">
        <v>155</v>
      </c>
      <c r="D794" t="s">
        <v>20</v>
      </c>
      <c r="E794">
        <v>2023</v>
      </c>
      <c r="F794" t="s">
        <v>35</v>
      </c>
      <c r="G794">
        <v>123</v>
      </c>
      <c r="H794">
        <v>43.4</v>
      </c>
      <c r="I794">
        <v>10.199999999999999</v>
      </c>
      <c r="J794">
        <v>107812</v>
      </c>
      <c r="K794">
        <v>28</v>
      </c>
      <c r="L794">
        <v>30188</v>
      </c>
      <c r="M794">
        <v>138000</v>
      </c>
      <c r="N794">
        <v>163476</v>
      </c>
      <c r="O794">
        <v>64</v>
      </c>
      <c r="P794">
        <v>10.7</v>
      </c>
      <c r="Q794" t="s">
        <v>37</v>
      </c>
      <c r="R794" t="s">
        <v>38</v>
      </c>
    </row>
    <row r="795" spans="1:18" x14ac:dyDescent="0.3">
      <c r="A795" t="s">
        <v>28</v>
      </c>
      <c r="B795" t="s">
        <v>29</v>
      </c>
      <c r="C795">
        <v>97</v>
      </c>
      <c r="D795" t="s">
        <v>30</v>
      </c>
      <c r="E795">
        <v>2023</v>
      </c>
      <c r="F795" t="s">
        <v>31</v>
      </c>
      <c r="G795">
        <v>92</v>
      </c>
      <c r="H795">
        <v>67.900000000000006</v>
      </c>
      <c r="I795">
        <v>8.1</v>
      </c>
      <c r="J795">
        <v>53906</v>
      </c>
      <c r="K795">
        <v>28</v>
      </c>
      <c r="L795">
        <v>15094</v>
      </c>
      <c r="M795">
        <v>69000</v>
      </c>
      <c r="N795">
        <v>80932</v>
      </c>
      <c r="O795">
        <v>59</v>
      </c>
      <c r="P795">
        <v>2.2999999999999998</v>
      </c>
      <c r="Q795" t="s">
        <v>26</v>
      </c>
      <c r="R795" t="s">
        <v>27</v>
      </c>
    </row>
    <row r="796" spans="1:18" x14ac:dyDescent="0.3">
      <c r="A796" t="s">
        <v>28</v>
      </c>
      <c r="B796" t="s">
        <v>91</v>
      </c>
      <c r="C796">
        <v>97</v>
      </c>
      <c r="D796" t="s">
        <v>30</v>
      </c>
      <c r="E796">
        <v>2021</v>
      </c>
      <c r="F796" t="s">
        <v>31</v>
      </c>
      <c r="G796">
        <v>88</v>
      </c>
      <c r="H796">
        <v>77.7</v>
      </c>
      <c r="I796">
        <v>8.1</v>
      </c>
      <c r="J796">
        <v>53125</v>
      </c>
      <c r="K796">
        <v>28</v>
      </c>
      <c r="L796">
        <v>14875</v>
      </c>
      <c r="M796">
        <v>68000</v>
      </c>
      <c r="N796">
        <v>79815</v>
      </c>
      <c r="O796">
        <v>66</v>
      </c>
      <c r="P796">
        <v>3.4</v>
      </c>
      <c r="Q796" t="s">
        <v>26</v>
      </c>
      <c r="R796" t="s">
        <v>27</v>
      </c>
    </row>
    <row r="797" spans="1:18" x14ac:dyDescent="0.3">
      <c r="A797" t="s">
        <v>42</v>
      </c>
      <c r="B797" t="s">
        <v>87</v>
      </c>
      <c r="C797">
        <v>321</v>
      </c>
      <c r="D797" t="s">
        <v>34</v>
      </c>
      <c r="E797">
        <v>2020</v>
      </c>
      <c r="F797" t="s">
        <v>21</v>
      </c>
      <c r="G797">
        <v>157</v>
      </c>
      <c r="H797">
        <v>33</v>
      </c>
      <c r="I797">
        <v>14.6</v>
      </c>
      <c r="J797">
        <v>336719</v>
      </c>
      <c r="K797">
        <v>28</v>
      </c>
      <c r="L797">
        <v>94281</v>
      </c>
      <c r="M797">
        <v>431000</v>
      </c>
      <c r="N797">
        <v>491671</v>
      </c>
      <c r="O797">
        <v>76</v>
      </c>
      <c r="P797">
        <v>14.1</v>
      </c>
      <c r="Q797" t="s">
        <v>37</v>
      </c>
      <c r="R797" t="s">
        <v>38</v>
      </c>
    </row>
    <row r="798" spans="1:18" x14ac:dyDescent="0.3">
      <c r="A798" t="s">
        <v>18</v>
      </c>
      <c r="B798" t="s">
        <v>95</v>
      </c>
      <c r="C798">
        <v>160</v>
      </c>
      <c r="D798" t="s">
        <v>20</v>
      </c>
      <c r="E798">
        <v>2025</v>
      </c>
      <c r="F798" t="s">
        <v>35</v>
      </c>
      <c r="G798">
        <v>126</v>
      </c>
      <c r="H798">
        <v>37.1</v>
      </c>
      <c r="I798">
        <v>13.3</v>
      </c>
      <c r="J798">
        <v>87500</v>
      </c>
      <c r="K798">
        <v>28</v>
      </c>
      <c r="L798">
        <v>24500</v>
      </c>
      <c r="M798">
        <v>112000</v>
      </c>
      <c r="N798">
        <v>129294</v>
      </c>
      <c r="O798">
        <v>69</v>
      </c>
      <c r="P798">
        <v>4.0999999999999996</v>
      </c>
      <c r="Q798" t="s">
        <v>26</v>
      </c>
      <c r="R798" t="s">
        <v>27</v>
      </c>
    </row>
    <row r="799" spans="1:18" x14ac:dyDescent="0.3">
      <c r="A799" t="s">
        <v>32</v>
      </c>
      <c r="B799" t="s">
        <v>97</v>
      </c>
      <c r="C799">
        <v>452</v>
      </c>
      <c r="D799" t="s">
        <v>34</v>
      </c>
      <c r="E799">
        <v>2024</v>
      </c>
      <c r="F799" t="s">
        <v>21</v>
      </c>
      <c r="G799">
        <v>166</v>
      </c>
      <c r="H799">
        <v>22</v>
      </c>
      <c r="I799">
        <v>14.2</v>
      </c>
      <c r="J799">
        <v>205344</v>
      </c>
      <c r="K799">
        <v>31</v>
      </c>
      <c r="L799">
        <v>63656</v>
      </c>
      <c r="M799">
        <v>269000</v>
      </c>
      <c r="N799">
        <v>314781</v>
      </c>
      <c r="O799">
        <v>85</v>
      </c>
      <c r="P799">
        <v>12.1</v>
      </c>
      <c r="Q799" t="s">
        <v>37</v>
      </c>
      <c r="R799" t="s">
        <v>38</v>
      </c>
    </row>
    <row r="800" spans="1:18" x14ac:dyDescent="0.3">
      <c r="A800" t="s">
        <v>18</v>
      </c>
      <c r="B800" t="s">
        <v>61</v>
      </c>
      <c r="C800">
        <v>124</v>
      </c>
      <c r="D800" t="s">
        <v>30</v>
      </c>
      <c r="E800">
        <v>2025</v>
      </c>
      <c r="F800" t="s">
        <v>21</v>
      </c>
      <c r="G800">
        <v>109</v>
      </c>
      <c r="H800">
        <v>60.6</v>
      </c>
      <c r="I800">
        <v>11.3</v>
      </c>
      <c r="J800">
        <v>78125</v>
      </c>
      <c r="K800">
        <v>28</v>
      </c>
      <c r="L800">
        <v>21875</v>
      </c>
      <c r="M800">
        <v>100000</v>
      </c>
      <c r="N800">
        <v>121094</v>
      </c>
      <c r="O800">
        <v>76</v>
      </c>
      <c r="P800">
        <v>3.5</v>
      </c>
      <c r="Q800" t="s">
        <v>26</v>
      </c>
      <c r="R800" t="s">
        <v>27</v>
      </c>
    </row>
    <row r="801" spans="1:18" x14ac:dyDescent="0.3">
      <c r="A801" t="s">
        <v>42</v>
      </c>
      <c r="B801" t="s">
        <v>59</v>
      </c>
      <c r="C801">
        <v>155</v>
      </c>
      <c r="D801" t="s">
        <v>20</v>
      </c>
      <c r="E801">
        <v>2025</v>
      </c>
      <c r="F801" t="s">
        <v>21</v>
      </c>
      <c r="G801">
        <v>140</v>
      </c>
      <c r="H801">
        <v>40.799999999999997</v>
      </c>
      <c r="I801">
        <v>14</v>
      </c>
      <c r="J801">
        <v>123438</v>
      </c>
      <c r="K801">
        <v>28</v>
      </c>
      <c r="L801">
        <v>34562</v>
      </c>
      <c r="M801">
        <v>158000</v>
      </c>
      <c r="N801">
        <v>182212</v>
      </c>
      <c r="O801">
        <v>70</v>
      </c>
      <c r="P801">
        <v>8</v>
      </c>
      <c r="Q801" t="s">
        <v>22</v>
      </c>
      <c r="R801" t="s">
        <v>23</v>
      </c>
    </row>
    <row r="802" spans="1:18" x14ac:dyDescent="0.3">
      <c r="A802" t="s">
        <v>24</v>
      </c>
      <c r="B802" t="s">
        <v>106</v>
      </c>
      <c r="C802">
        <v>373</v>
      </c>
      <c r="D802" t="s">
        <v>34</v>
      </c>
      <c r="E802">
        <v>2020</v>
      </c>
      <c r="F802" t="s">
        <v>21</v>
      </c>
      <c r="G802">
        <v>208</v>
      </c>
      <c r="H802">
        <v>23.3</v>
      </c>
      <c r="I802">
        <v>14</v>
      </c>
      <c r="J802">
        <v>169466</v>
      </c>
      <c r="K802">
        <v>31</v>
      </c>
      <c r="L802">
        <v>52534</v>
      </c>
      <c r="M802">
        <v>222000</v>
      </c>
      <c r="N802">
        <v>256678</v>
      </c>
      <c r="O802">
        <v>73</v>
      </c>
      <c r="P802">
        <v>9.6999999999999993</v>
      </c>
      <c r="Q802" t="s">
        <v>22</v>
      </c>
      <c r="R802" t="s">
        <v>23</v>
      </c>
    </row>
    <row r="803" spans="1:18" x14ac:dyDescent="0.3">
      <c r="A803" t="s">
        <v>42</v>
      </c>
      <c r="B803" t="s">
        <v>86</v>
      </c>
      <c r="C803">
        <v>155</v>
      </c>
      <c r="D803" t="s">
        <v>20</v>
      </c>
      <c r="E803">
        <v>2022</v>
      </c>
      <c r="F803" t="s">
        <v>21</v>
      </c>
      <c r="G803">
        <v>139</v>
      </c>
      <c r="H803">
        <v>39.4</v>
      </c>
      <c r="I803">
        <v>10.5</v>
      </c>
      <c r="J803">
        <v>150781</v>
      </c>
      <c r="K803">
        <v>28</v>
      </c>
      <c r="L803">
        <v>42219</v>
      </c>
      <c r="M803">
        <v>193000</v>
      </c>
      <c r="N803">
        <v>218345</v>
      </c>
      <c r="O803">
        <v>74</v>
      </c>
      <c r="P803">
        <v>11.3</v>
      </c>
      <c r="Q803" t="s">
        <v>37</v>
      </c>
      <c r="R803" t="s">
        <v>38</v>
      </c>
    </row>
    <row r="804" spans="1:18" x14ac:dyDescent="0.3">
      <c r="A804" t="s">
        <v>32</v>
      </c>
      <c r="B804" t="s">
        <v>66</v>
      </c>
      <c r="C804">
        <v>349</v>
      </c>
      <c r="D804" t="s">
        <v>34</v>
      </c>
      <c r="E804">
        <v>2025</v>
      </c>
      <c r="F804" t="s">
        <v>35</v>
      </c>
      <c r="G804">
        <v>149</v>
      </c>
      <c r="H804">
        <v>33.1</v>
      </c>
      <c r="I804">
        <v>15.3</v>
      </c>
      <c r="J804">
        <v>167969</v>
      </c>
      <c r="K804">
        <v>28</v>
      </c>
      <c r="L804">
        <v>47031</v>
      </c>
      <c r="M804">
        <v>215000</v>
      </c>
      <c r="N804">
        <v>251129</v>
      </c>
      <c r="O804">
        <v>66</v>
      </c>
      <c r="P804">
        <v>4.2</v>
      </c>
      <c r="Q804" t="s">
        <v>26</v>
      </c>
      <c r="R804" t="s">
        <v>27</v>
      </c>
    </row>
    <row r="805" spans="1:18" x14ac:dyDescent="0.3">
      <c r="A805" t="s">
        <v>39</v>
      </c>
      <c r="B805" t="s">
        <v>40</v>
      </c>
      <c r="C805">
        <v>109</v>
      </c>
      <c r="D805" t="s">
        <v>30</v>
      </c>
      <c r="E805">
        <v>2024</v>
      </c>
      <c r="F805" t="s">
        <v>35</v>
      </c>
      <c r="G805">
        <v>92</v>
      </c>
      <c r="H805">
        <v>75.099999999999994</v>
      </c>
      <c r="I805">
        <v>8.6</v>
      </c>
      <c r="J805">
        <v>60938</v>
      </c>
      <c r="K805">
        <v>28</v>
      </c>
      <c r="L805">
        <v>17062</v>
      </c>
      <c r="M805">
        <v>78000</v>
      </c>
      <c r="N805">
        <v>91197</v>
      </c>
      <c r="O805">
        <v>70</v>
      </c>
      <c r="P805">
        <v>13.2</v>
      </c>
      <c r="Q805" t="s">
        <v>37</v>
      </c>
      <c r="R805" t="s">
        <v>38</v>
      </c>
    </row>
    <row r="806" spans="1:18" x14ac:dyDescent="0.3">
      <c r="A806" t="s">
        <v>50</v>
      </c>
      <c r="B806" t="s">
        <v>104</v>
      </c>
      <c r="C806">
        <v>373</v>
      </c>
      <c r="D806" t="s">
        <v>34</v>
      </c>
      <c r="E806">
        <v>2021</v>
      </c>
      <c r="F806" t="s">
        <v>21</v>
      </c>
      <c r="G806">
        <v>169</v>
      </c>
      <c r="H806">
        <v>19.600000000000001</v>
      </c>
      <c r="I806">
        <v>17.100000000000001</v>
      </c>
      <c r="J806">
        <v>280153</v>
      </c>
      <c r="K806">
        <v>31</v>
      </c>
      <c r="L806">
        <v>86847</v>
      </c>
      <c r="M806">
        <v>367000</v>
      </c>
      <c r="N806">
        <v>414715</v>
      </c>
      <c r="O806">
        <v>74</v>
      </c>
      <c r="P806">
        <v>2.8</v>
      </c>
      <c r="Q806" t="s">
        <v>26</v>
      </c>
      <c r="R806" t="s">
        <v>27</v>
      </c>
    </row>
    <row r="807" spans="1:18" x14ac:dyDescent="0.3">
      <c r="A807" t="s">
        <v>24</v>
      </c>
      <c r="B807" t="s">
        <v>67</v>
      </c>
      <c r="C807">
        <v>199</v>
      </c>
      <c r="D807" t="s">
        <v>20</v>
      </c>
      <c r="E807">
        <v>2024</v>
      </c>
      <c r="F807" t="s">
        <v>21</v>
      </c>
      <c r="G807">
        <v>126</v>
      </c>
      <c r="H807">
        <v>38.6</v>
      </c>
      <c r="I807">
        <v>11</v>
      </c>
      <c r="J807">
        <v>112500</v>
      </c>
      <c r="K807">
        <v>28</v>
      </c>
      <c r="L807">
        <v>31500</v>
      </c>
      <c r="M807">
        <v>144000</v>
      </c>
      <c r="N807">
        <v>165653</v>
      </c>
      <c r="O807">
        <v>70</v>
      </c>
      <c r="P807">
        <v>6.9</v>
      </c>
      <c r="Q807" t="s">
        <v>22</v>
      </c>
      <c r="R807" t="s">
        <v>23</v>
      </c>
    </row>
    <row r="808" spans="1:18" x14ac:dyDescent="0.3">
      <c r="A808" t="s">
        <v>39</v>
      </c>
      <c r="B808" t="s">
        <v>71</v>
      </c>
      <c r="C808">
        <v>159</v>
      </c>
      <c r="D808" t="s">
        <v>20</v>
      </c>
      <c r="E808">
        <v>2023</v>
      </c>
      <c r="F808" t="s">
        <v>21</v>
      </c>
      <c r="G808">
        <v>131</v>
      </c>
      <c r="H808">
        <v>37.799999999999997</v>
      </c>
      <c r="I808">
        <v>11.8</v>
      </c>
      <c r="J808">
        <v>107031</v>
      </c>
      <c r="K808">
        <v>28</v>
      </c>
      <c r="L808">
        <v>29969</v>
      </c>
      <c r="M808">
        <v>137000</v>
      </c>
      <c r="N808">
        <v>161895</v>
      </c>
      <c r="O808">
        <v>72</v>
      </c>
      <c r="P808">
        <v>6.3</v>
      </c>
      <c r="Q808" t="s">
        <v>22</v>
      </c>
      <c r="R808" t="s">
        <v>23</v>
      </c>
    </row>
    <row r="809" spans="1:18" x14ac:dyDescent="0.3">
      <c r="A809" t="s">
        <v>42</v>
      </c>
      <c r="B809" t="s">
        <v>110</v>
      </c>
      <c r="C809">
        <v>321</v>
      </c>
      <c r="D809" t="s">
        <v>34</v>
      </c>
      <c r="E809">
        <v>2022</v>
      </c>
      <c r="F809" t="s">
        <v>21</v>
      </c>
      <c r="G809">
        <v>152</v>
      </c>
      <c r="H809">
        <v>28.3</v>
      </c>
      <c r="I809">
        <v>17.2</v>
      </c>
      <c r="J809">
        <v>357812</v>
      </c>
      <c r="K809">
        <v>28</v>
      </c>
      <c r="L809">
        <v>100188</v>
      </c>
      <c r="M809">
        <v>458000</v>
      </c>
      <c r="N809">
        <v>521722</v>
      </c>
      <c r="O809">
        <v>76</v>
      </c>
      <c r="P809">
        <v>13</v>
      </c>
      <c r="Q809" t="s">
        <v>37</v>
      </c>
      <c r="R809" t="s">
        <v>38</v>
      </c>
    </row>
    <row r="810" spans="1:18" x14ac:dyDescent="0.3">
      <c r="A810" t="s">
        <v>18</v>
      </c>
      <c r="B810" t="s">
        <v>105</v>
      </c>
      <c r="C810">
        <v>471</v>
      </c>
      <c r="D810" t="s">
        <v>34</v>
      </c>
      <c r="E810">
        <v>2020</v>
      </c>
      <c r="F810" t="s">
        <v>21</v>
      </c>
      <c r="G810">
        <v>184</v>
      </c>
      <c r="H810">
        <v>21.8</v>
      </c>
      <c r="I810">
        <v>15.3</v>
      </c>
      <c r="J810">
        <v>446565</v>
      </c>
      <c r="K810">
        <v>31</v>
      </c>
      <c r="L810">
        <v>138435</v>
      </c>
      <c r="M810">
        <v>585000</v>
      </c>
      <c r="N810">
        <v>661165</v>
      </c>
      <c r="O810">
        <v>84</v>
      </c>
      <c r="P810">
        <v>9.5</v>
      </c>
      <c r="Q810" t="s">
        <v>22</v>
      </c>
      <c r="R810" t="s">
        <v>23</v>
      </c>
    </row>
    <row r="811" spans="1:18" x14ac:dyDescent="0.3">
      <c r="A811" t="s">
        <v>42</v>
      </c>
      <c r="B811" t="s">
        <v>70</v>
      </c>
      <c r="C811">
        <v>249</v>
      </c>
      <c r="D811" t="s">
        <v>20</v>
      </c>
      <c r="E811">
        <v>2023</v>
      </c>
      <c r="F811" t="s">
        <v>21</v>
      </c>
      <c r="G811">
        <v>151</v>
      </c>
      <c r="H811">
        <v>33.799999999999997</v>
      </c>
      <c r="I811">
        <v>19.600000000000001</v>
      </c>
      <c r="J811">
        <v>122656</v>
      </c>
      <c r="K811">
        <v>28</v>
      </c>
      <c r="L811">
        <v>34344</v>
      </c>
      <c r="M811">
        <v>157000</v>
      </c>
      <c r="N811">
        <v>184086</v>
      </c>
      <c r="O811">
        <v>72</v>
      </c>
      <c r="P811">
        <v>6.7</v>
      </c>
      <c r="Q811" t="s">
        <v>22</v>
      </c>
      <c r="R811" t="s">
        <v>23</v>
      </c>
    </row>
    <row r="812" spans="1:18" x14ac:dyDescent="0.3">
      <c r="A812" t="s">
        <v>32</v>
      </c>
      <c r="B812" t="s">
        <v>97</v>
      </c>
      <c r="C812">
        <v>452</v>
      </c>
      <c r="D812" t="s">
        <v>34</v>
      </c>
      <c r="E812">
        <v>2024</v>
      </c>
      <c r="F812" t="s">
        <v>21</v>
      </c>
      <c r="G812">
        <v>162</v>
      </c>
      <c r="H812">
        <v>21.5</v>
      </c>
      <c r="I812">
        <v>14.1</v>
      </c>
      <c r="J812">
        <v>217557</v>
      </c>
      <c r="K812">
        <v>31</v>
      </c>
      <c r="L812">
        <v>67443</v>
      </c>
      <c r="M812">
        <v>285000</v>
      </c>
      <c r="N812">
        <v>327779</v>
      </c>
      <c r="O812">
        <v>78</v>
      </c>
      <c r="P812">
        <v>6.4</v>
      </c>
      <c r="Q812" t="s">
        <v>22</v>
      </c>
      <c r="R812" t="s">
        <v>23</v>
      </c>
    </row>
    <row r="813" spans="1:18" x14ac:dyDescent="0.3">
      <c r="A813" t="s">
        <v>50</v>
      </c>
      <c r="B813" t="s">
        <v>109</v>
      </c>
      <c r="C813">
        <v>373</v>
      </c>
      <c r="D813" t="s">
        <v>34</v>
      </c>
      <c r="E813">
        <v>2025</v>
      </c>
      <c r="F813" t="s">
        <v>21</v>
      </c>
      <c r="G813">
        <v>191</v>
      </c>
      <c r="H813">
        <v>22.1</v>
      </c>
      <c r="I813">
        <v>13.4</v>
      </c>
      <c r="J813">
        <v>274809</v>
      </c>
      <c r="K813">
        <v>31</v>
      </c>
      <c r="L813">
        <v>85191</v>
      </c>
      <c r="M813">
        <v>360000</v>
      </c>
      <c r="N813">
        <v>419545</v>
      </c>
      <c r="O813">
        <v>81</v>
      </c>
      <c r="P813">
        <v>10.6</v>
      </c>
      <c r="Q813" t="s">
        <v>37</v>
      </c>
      <c r="R813" t="s">
        <v>38</v>
      </c>
    </row>
    <row r="814" spans="1:18" x14ac:dyDescent="0.3">
      <c r="A814" t="s">
        <v>32</v>
      </c>
      <c r="B814" t="s">
        <v>90</v>
      </c>
      <c r="C814">
        <v>648</v>
      </c>
      <c r="D814" t="s">
        <v>34</v>
      </c>
      <c r="E814">
        <v>2020</v>
      </c>
      <c r="F814" t="s">
        <v>31</v>
      </c>
      <c r="G814">
        <v>183</v>
      </c>
      <c r="H814">
        <v>24.2</v>
      </c>
      <c r="I814">
        <v>17.899999999999999</v>
      </c>
      <c r="J814">
        <v>264885</v>
      </c>
      <c r="K814">
        <v>31</v>
      </c>
      <c r="L814">
        <v>82115</v>
      </c>
      <c r="M814">
        <v>347000</v>
      </c>
      <c r="N814">
        <v>399204</v>
      </c>
      <c r="O814">
        <v>73</v>
      </c>
      <c r="P814">
        <v>10.9</v>
      </c>
      <c r="Q814" t="s">
        <v>37</v>
      </c>
      <c r="R814" t="s">
        <v>38</v>
      </c>
    </row>
    <row r="815" spans="1:18" x14ac:dyDescent="0.3">
      <c r="A815" t="s">
        <v>18</v>
      </c>
      <c r="B815" t="s">
        <v>62</v>
      </c>
      <c r="C815">
        <v>348</v>
      </c>
      <c r="D815" t="s">
        <v>34</v>
      </c>
      <c r="E815">
        <v>2020</v>
      </c>
      <c r="F815" t="s">
        <v>21</v>
      </c>
      <c r="G815">
        <v>158</v>
      </c>
      <c r="H815">
        <v>30.1</v>
      </c>
      <c r="I815">
        <v>13.8</v>
      </c>
      <c r="J815">
        <v>165625</v>
      </c>
      <c r="K815">
        <v>28</v>
      </c>
      <c r="L815">
        <v>46375</v>
      </c>
      <c r="M815">
        <v>212000</v>
      </c>
      <c r="N815">
        <v>245111</v>
      </c>
      <c r="O815">
        <v>82</v>
      </c>
      <c r="P815">
        <v>12.8</v>
      </c>
      <c r="Q815" t="s">
        <v>37</v>
      </c>
      <c r="R815" t="s">
        <v>38</v>
      </c>
    </row>
    <row r="816" spans="1:18" x14ac:dyDescent="0.3">
      <c r="A816" t="s">
        <v>18</v>
      </c>
      <c r="B816" t="s">
        <v>103</v>
      </c>
      <c r="C816">
        <v>124</v>
      </c>
      <c r="D816" t="s">
        <v>30</v>
      </c>
      <c r="E816">
        <v>2023</v>
      </c>
      <c r="F816" t="s">
        <v>35</v>
      </c>
      <c r="G816">
        <v>107</v>
      </c>
      <c r="H816">
        <v>61.3</v>
      </c>
      <c r="I816">
        <v>10.7</v>
      </c>
      <c r="J816">
        <v>71875</v>
      </c>
      <c r="K816">
        <v>28</v>
      </c>
      <c r="L816">
        <v>20125</v>
      </c>
      <c r="M816">
        <v>92000</v>
      </c>
      <c r="N816">
        <v>110626</v>
      </c>
      <c r="O816">
        <v>72</v>
      </c>
      <c r="P816">
        <v>13.7</v>
      </c>
      <c r="Q816" t="s">
        <v>37</v>
      </c>
      <c r="R816" t="s">
        <v>38</v>
      </c>
    </row>
    <row r="817" spans="1:18" x14ac:dyDescent="0.3">
      <c r="A817" t="s">
        <v>50</v>
      </c>
      <c r="B817" t="s">
        <v>81</v>
      </c>
      <c r="C817">
        <v>199</v>
      </c>
      <c r="D817" t="s">
        <v>20</v>
      </c>
      <c r="E817">
        <v>2025</v>
      </c>
      <c r="F817" t="s">
        <v>21</v>
      </c>
      <c r="G817">
        <v>138</v>
      </c>
      <c r="H817">
        <v>45.9</v>
      </c>
      <c r="I817">
        <v>13.5</v>
      </c>
      <c r="J817">
        <v>160938</v>
      </c>
      <c r="K817">
        <v>28</v>
      </c>
      <c r="L817">
        <v>45062</v>
      </c>
      <c r="M817">
        <v>206000</v>
      </c>
      <c r="N817">
        <v>239834</v>
      </c>
      <c r="O817">
        <v>78</v>
      </c>
      <c r="P817">
        <v>11.3</v>
      </c>
      <c r="Q817" t="s">
        <v>37</v>
      </c>
      <c r="R817" t="s">
        <v>38</v>
      </c>
    </row>
    <row r="818" spans="1:18" x14ac:dyDescent="0.3">
      <c r="A818" t="s">
        <v>18</v>
      </c>
      <c r="B818" t="s">
        <v>95</v>
      </c>
      <c r="C818">
        <v>160</v>
      </c>
      <c r="D818" t="s">
        <v>20</v>
      </c>
      <c r="E818">
        <v>2020</v>
      </c>
      <c r="F818" t="s">
        <v>35</v>
      </c>
      <c r="G818">
        <v>126</v>
      </c>
      <c r="H818">
        <v>39.700000000000003</v>
      </c>
      <c r="I818">
        <v>13.9</v>
      </c>
      <c r="J818">
        <v>92188</v>
      </c>
      <c r="K818">
        <v>28</v>
      </c>
      <c r="L818">
        <v>25812</v>
      </c>
      <c r="M818">
        <v>118000</v>
      </c>
      <c r="N818">
        <v>138043</v>
      </c>
      <c r="O818">
        <v>68</v>
      </c>
      <c r="P818">
        <v>10.8</v>
      </c>
      <c r="Q818" t="s">
        <v>37</v>
      </c>
      <c r="R818" t="s">
        <v>38</v>
      </c>
    </row>
    <row r="819" spans="1:18" x14ac:dyDescent="0.3">
      <c r="A819" t="s">
        <v>42</v>
      </c>
      <c r="B819" t="s">
        <v>54</v>
      </c>
      <c r="C819">
        <v>155</v>
      </c>
      <c r="D819" t="s">
        <v>20</v>
      </c>
      <c r="E819">
        <v>2022</v>
      </c>
      <c r="F819" t="s">
        <v>21</v>
      </c>
      <c r="G819">
        <v>129</v>
      </c>
      <c r="H819">
        <v>41.2</v>
      </c>
      <c r="I819">
        <v>10.7</v>
      </c>
      <c r="J819">
        <v>129688</v>
      </c>
      <c r="K819">
        <v>28</v>
      </c>
      <c r="L819">
        <v>36312</v>
      </c>
      <c r="M819">
        <v>166000</v>
      </c>
      <c r="N819">
        <v>191186</v>
      </c>
      <c r="O819">
        <v>73</v>
      </c>
      <c r="P819">
        <v>3.4</v>
      </c>
      <c r="Q819" t="s">
        <v>26</v>
      </c>
      <c r="R819" t="s">
        <v>27</v>
      </c>
    </row>
    <row r="820" spans="1:18" x14ac:dyDescent="0.3">
      <c r="A820" t="s">
        <v>18</v>
      </c>
      <c r="B820" t="s">
        <v>44</v>
      </c>
      <c r="C820">
        <v>348</v>
      </c>
      <c r="D820" t="s">
        <v>34</v>
      </c>
      <c r="E820">
        <v>2025</v>
      </c>
      <c r="F820" t="s">
        <v>21</v>
      </c>
      <c r="G820">
        <v>146</v>
      </c>
      <c r="H820">
        <v>32.5</v>
      </c>
      <c r="I820">
        <v>14.3</v>
      </c>
      <c r="J820">
        <v>156250</v>
      </c>
      <c r="K820">
        <v>28</v>
      </c>
      <c r="L820">
        <v>43750</v>
      </c>
      <c r="M820">
        <v>200000</v>
      </c>
      <c r="N820">
        <v>231095</v>
      </c>
      <c r="O820">
        <v>74</v>
      </c>
      <c r="P820">
        <v>3.8</v>
      </c>
      <c r="Q820" t="s">
        <v>26</v>
      </c>
      <c r="R820" t="s">
        <v>27</v>
      </c>
    </row>
    <row r="821" spans="1:18" x14ac:dyDescent="0.3">
      <c r="A821" t="s">
        <v>24</v>
      </c>
      <c r="B821" t="s">
        <v>65</v>
      </c>
      <c r="C821">
        <v>149</v>
      </c>
      <c r="D821" t="s">
        <v>20</v>
      </c>
      <c r="E821">
        <v>2022</v>
      </c>
      <c r="F821" t="s">
        <v>35</v>
      </c>
      <c r="G821">
        <v>108</v>
      </c>
      <c r="H821">
        <v>60.5</v>
      </c>
      <c r="I821">
        <v>10.3</v>
      </c>
      <c r="J821">
        <v>86719</v>
      </c>
      <c r="K821">
        <v>28</v>
      </c>
      <c r="L821">
        <v>24281</v>
      </c>
      <c r="M821">
        <v>111000</v>
      </c>
      <c r="N821">
        <v>132691</v>
      </c>
      <c r="O821">
        <v>77</v>
      </c>
      <c r="P821">
        <v>3.3</v>
      </c>
      <c r="Q821" t="s">
        <v>26</v>
      </c>
      <c r="R821" t="s">
        <v>27</v>
      </c>
    </row>
    <row r="822" spans="1:18" x14ac:dyDescent="0.3">
      <c r="A822" t="s">
        <v>18</v>
      </c>
      <c r="B822" t="s">
        <v>78</v>
      </c>
      <c r="C822">
        <v>184</v>
      </c>
      <c r="D822" t="s">
        <v>20</v>
      </c>
      <c r="E822">
        <v>2020</v>
      </c>
      <c r="F822" t="s">
        <v>21</v>
      </c>
      <c r="G822">
        <v>123</v>
      </c>
      <c r="H822">
        <v>41.9</v>
      </c>
      <c r="I822">
        <v>12.7</v>
      </c>
      <c r="J822">
        <v>113281</v>
      </c>
      <c r="K822">
        <v>28</v>
      </c>
      <c r="L822">
        <v>31719</v>
      </c>
      <c r="M822">
        <v>145000</v>
      </c>
      <c r="N822">
        <v>168590</v>
      </c>
      <c r="O822">
        <v>69</v>
      </c>
      <c r="P822">
        <v>1.9</v>
      </c>
      <c r="Q822" t="s">
        <v>57</v>
      </c>
      <c r="R822" t="s">
        <v>58</v>
      </c>
    </row>
    <row r="823" spans="1:18" x14ac:dyDescent="0.3">
      <c r="A823" t="s">
        <v>28</v>
      </c>
      <c r="B823" t="s">
        <v>69</v>
      </c>
      <c r="C823">
        <v>125</v>
      </c>
      <c r="D823" t="s">
        <v>30</v>
      </c>
      <c r="E823">
        <v>2022</v>
      </c>
      <c r="F823" t="s">
        <v>21</v>
      </c>
      <c r="G823">
        <v>113</v>
      </c>
      <c r="H823">
        <v>55.3</v>
      </c>
      <c r="I823">
        <v>12.4</v>
      </c>
      <c r="J823">
        <v>76562</v>
      </c>
      <c r="K823">
        <v>28</v>
      </c>
      <c r="L823">
        <v>21438</v>
      </c>
      <c r="M823">
        <v>98000</v>
      </c>
      <c r="N823">
        <v>115311</v>
      </c>
      <c r="O823">
        <v>72</v>
      </c>
      <c r="P823">
        <v>7.6</v>
      </c>
      <c r="Q823" t="s">
        <v>22</v>
      </c>
      <c r="R823" t="s">
        <v>23</v>
      </c>
    </row>
    <row r="824" spans="1:18" x14ac:dyDescent="0.3">
      <c r="A824" t="s">
        <v>32</v>
      </c>
      <c r="B824" t="s">
        <v>46</v>
      </c>
      <c r="C824">
        <v>349</v>
      </c>
      <c r="D824" t="s">
        <v>34</v>
      </c>
      <c r="E824">
        <v>2020</v>
      </c>
      <c r="F824" t="s">
        <v>35</v>
      </c>
      <c r="G824">
        <v>161</v>
      </c>
      <c r="H824">
        <v>35.4</v>
      </c>
      <c r="I824">
        <v>19.8</v>
      </c>
      <c r="J824">
        <v>126562</v>
      </c>
      <c r="K824">
        <v>28</v>
      </c>
      <c r="L824">
        <v>35438</v>
      </c>
      <c r="M824">
        <v>162000</v>
      </c>
      <c r="N824">
        <v>191807</v>
      </c>
      <c r="O824">
        <v>78</v>
      </c>
      <c r="P824">
        <v>6.3</v>
      </c>
      <c r="Q824" t="s">
        <v>22</v>
      </c>
      <c r="R824" t="s">
        <v>23</v>
      </c>
    </row>
    <row r="825" spans="1:18" x14ac:dyDescent="0.3">
      <c r="A825" t="s">
        <v>32</v>
      </c>
      <c r="B825" t="s">
        <v>85</v>
      </c>
      <c r="C825">
        <v>346</v>
      </c>
      <c r="D825" t="s">
        <v>34</v>
      </c>
      <c r="E825">
        <v>2024</v>
      </c>
      <c r="F825" t="s">
        <v>31</v>
      </c>
      <c r="G825">
        <v>144</v>
      </c>
      <c r="H825">
        <v>33.700000000000003</v>
      </c>
      <c r="I825">
        <v>15</v>
      </c>
      <c r="J825">
        <v>143750</v>
      </c>
      <c r="K825">
        <v>28</v>
      </c>
      <c r="L825">
        <v>40250</v>
      </c>
      <c r="M825">
        <v>184000</v>
      </c>
      <c r="N825">
        <v>211111</v>
      </c>
      <c r="O825">
        <v>59</v>
      </c>
      <c r="P825">
        <v>9.4</v>
      </c>
      <c r="Q825" t="s">
        <v>37</v>
      </c>
      <c r="R825" t="s">
        <v>38</v>
      </c>
    </row>
    <row r="826" spans="1:18" x14ac:dyDescent="0.3">
      <c r="A826" t="s">
        <v>39</v>
      </c>
      <c r="B826" t="s">
        <v>40</v>
      </c>
      <c r="C826">
        <v>109</v>
      </c>
      <c r="D826" t="s">
        <v>30</v>
      </c>
      <c r="E826">
        <v>2022</v>
      </c>
      <c r="F826" t="s">
        <v>35</v>
      </c>
      <c r="G826">
        <v>91</v>
      </c>
      <c r="H826">
        <v>70.3</v>
      </c>
      <c r="I826">
        <v>8</v>
      </c>
      <c r="J826">
        <v>62500</v>
      </c>
      <c r="K826">
        <v>28</v>
      </c>
      <c r="L826">
        <v>17500</v>
      </c>
      <c r="M826">
        <v>80000</v>
      </c>
      <c r="N826">
        <v>95779</v>
      </c>
      <c r="O826">
        <v>61</v>
      </c>
      <c r="P826">
        <v>14.8</v>
      </c>
      <c r="Q826" t="s">
        <v>37</v>
      </c>
      <c r="R826" t="s">
        <v>38</v>
      </c>
    </row>
    <row r="827" spans="1:18" x14ac:dyDescent="0.3">
      <c r="A827" t="s">
        <v>32</v>
      </c>
      <c r="B827" t="s">
        <v>36</v>
      </c>
      <c r="C827">
        <v>411</v>
      </c>
      <c r="D827" t="s">
        <v>34</v>
      </c>
      <c r="E827">
        <v>2024</v>
      </c>
      <c r="F827" t="s">
        <v>35</v>
      </c>
      <c r="G827">
        <v>198</v>
      </c>
      <c r="H827">
        <v>21.7</v>
      </c>
      <c r="I827">
        <v>18.600000000000001</v>
      </c>
      <c r="J827">
        <v>174046</v>
      </c>
      <c r="K827">
        <v>31</v>
      </c>
      <c r="L827">
        <v>53954</v>
      </c>
      <c r="M827">
        <v>228000</v>
      </c>
      <c r="N827">
        <v>270054</v>
      </c>
      <c r="O827">
        <v>77</v>
      </c>
      <c r="P827">
        <v>6.6</v>
      </c>
      <c r="Q827" t="s">
        <v>22</v>
      </c>
      <c r="R827" t="s">
        <v>23</v>
      </c>
    </row>
    <row r="828" spans="1:18" x14ac:dyDescent="0.3">
      <c r="A828" t="s">
        <v>32</v>
      </c>
      <c r="B828" t="s">
        <v>33</v>
      </c>
      <c r="C828">
        <v>346</v>
      </c>
      <c r="D828" t="s">
        <v>34</v>
      </c>
      <c r="E828">
        <v>2021</v>
      </c>
      <c r="F828" t="s">
        <v>35</v>
      </c>
      <c r="G828">
        <v>143</v>
      </c>
      <c r="H828">
        <v>34.700000000000003</v>
      </c>
      <c r="I828">
        <v>18</v>
      </c>
      <c r="J828">
        <v>142969</v>
      </c>
      <c r="K828">
        <v>28</v>
      </c>
      <c r="L828">
        <v>40031</v>
      </c>
      <c r="M828">
        <v>183000</v>
      </c>
      <c r="N828">
        <v>218051</v>
      </c>
      <c r="O828">
        <v>72</v>
      </c>
      <c r="P828">
        <v>5.0999999999999996</v>
      </c>
      <c r="Q828" t="s">
        <v>22</v>
      </c>
      <c r="R828" t="s">
        <v>23</v>
      </c>
    </row>
    <row r="829" spans="1:18" x14ac:dyDescent="0.3">
      <c r="A829" t="s">
        <v>55</v>
      </c>
      <c r="B829" t="s">
        <v>96</v>
      </c>
      <c r="C829">
        <v>124</v>
      </c>
      <c r="D829" t="s">
        <v>30</v>
      </c>
      <c r="E829">
        <v>2024</v>
      </c>
      <c r="F829" t="s">
        <v>35</v>
      </c>
      <c r="G829">
        <v>107</v>
      </c>
      <c r="H829">
        <v>50.1</v>
      </c>
      <c r="I829">
        <v>13.9</v>
      </c>
      <c r="J829">
        <v>74219</v>
      </c>
      <c r="K829">
        <v>28</v>
      </c>
      <c r="L829">
        <v>20781</v>
      </c>
      <c r="M829">
        <v>95000</v>
      </c>
      <c r="N829">
        <v>111924</v>
      </c>
      <c r="O829">
        <v>59</v>
      </c>
      <c r="P829">
        <v>12.7</v>
      </c>
      <c r="Q829" t="s">
        <v>37</v>
      </c>
      <c r="R829" t="s">
        <v>38</v>
      </c>
    </row>
    <row r="830" spans="1:18" x14ac:dyDescent="0.3">
      <c r="A830" t="s">
        <v>42</v>
      </c>
      <c r="B830" t="s">
        <v>45</v>
      </c>
      <c r="C830">
        <v>149</v>
      </c>
      <c r="D830" t="s">
        <v>20</v>
      </c>
      <c r="E830">
        <v>2025</v>
      </c>
      <c r="F830" t="s">
        <v>21</v>
      </c>
      <c r="G830">
        <v>112</v>
      </c>
      <c r="H830">
        <v>55.5</v>
      </c>
      <c r="I830">
        <v>12.8</v>
      </c>
      <c r="J830">
        <v>100000</v>
      </c>
      <c r="K830">
        <v>28</v>
      </c>
      <c r="L830">
        <v>28000</v>
      </c>
      <c r="M830">
        <v>128000</v>
      </c>
      <c r="N830">
        <v>149375</v>
      </c>
      <c r="O830">
        <v>72</v>
      </c>
      <c r="P830">
        <v>3.4</v>
      </c>
      <c r="Q830" t="s">
        <v>26</v>
      </c>
      <c r="R830" t="s">
        <v>27</v>
      </c>
    </row>
    <row r="831" spans="1:18" x14ac:dyDescent="0.3">
      <c r="A831" t="s">
        <v>18</v>
      </c>
      <c r="B831" t="s">
        <v>95</v>
      </c>
      <c r="C831">
        <v>160</v>
      </c>
      <c r="D831" t="s">
        <v>20</v>
      </c>
      <c r="E831">
        <v>2025</v>
      </c>
      <c r="F831" t="s">
        <v>35</v>
      </c>
      <c r="G831">
        <v>128</v>
      </c>
      <c r="H831">
        <v>46.1</v>
      </c>
      <c r="I831">
        <v>11.9</v>
      </c>
      <c r="J831">
        <v>89062</v>
      </c>
      <c r="K831">
        <v>28</v>
      </c>
      <c r="L831">
        <v>24938</v>
      </c>
      <c r="M831">
        <v>114000</v>
      </c>
      <c r="N831">
        <v>133506</v>
      </c>
      <c r="O831">
        <v>71</v>
      </c>
      <c r="P831">
        <v>11.1</v>
      </c>
      <c r="Q831" t="s">
        <v>37</v>
      </c>
      <c r="R831" t="s">
        <v>38</v>
      </c>
    </row>
    <row r="832" spans="1:18" x14ac:dyDescent="0.3">
      <c r="A832" t="s">
        <v>18</v>
      </c>
      <c r="B832" t="s">
        <v>78</v>
      </c>
      <c r="C832">
        <v>184</v>
      </c>
      <c r="D832" t="s">
        <v>20</v>
      </c>
      <c r="E832">
        <v>2024</v>
      </c>
      <c r="F832" t="s">
        <v>21</v>
      </c>
      <c r="G832">
        <v>130</v>
      </c>
      <c r="H832">
        <v>37.9</v>
      </c>
      <c r="I832">
        <v>10.3</v>
      </c>
      <c r="J832">
        <v>120312</v>
      </c>
      <c r="K832">
        <v>28</v>
      </c>
      <c r="L832">
        <v>33688</v>
      </c>
      <c r="M832">
        <v>154000</v>
      </c>
      <c r="N832">
        <v>182590</v>
      </c>
      <c r="O832">
        <v>72</v>
      </c>
      <c r="P832">
        <v>14</v>
      </c>
      <c r="Q832" t="s">
        <v>37</v>
      </c>
      <c r="R832" t="s">
        <v>38</v>
      </c>
    </row>
    <row r="833" spans="1:18" x14ac:dyDescent="0.3">
      <c r="A833" t="s">
        <v>32</v>
      </c>
      <c r="B833" t="s">
        <v>46</v>
      </c>
      <c r="C833">
        <v>349</v>
      </c>
      <c r="D833" t="s">
        <v>34</v>
      </c>
      <c r="E833">
        <v>2023</v>
      </c>
      <c r="F833" t="s">
        <v>35</v>
      </c>
      <c r="G833">
        <v>165</v>
      </c>
      <c r="H833">
        <v>33.200000000000003</v>
      </c>
      <c r="I833">
        <v>18.7</v>
      </c>
      <c r="J833">
        <v>126562</v>
      </c>
      <c r="K833">
        <v>28</v>
      </c>
      <c r="L833">
        <v>35438</v>
      </c>
      <c r="M833">
        <v>162000</v>
      </c>
      <c r="N833">
        <v>190417</v>
      </c>
      <c r="O833">
        <v>74</v>
      </c>
      <c r="P833">
        <v>14.5</v>
      </c>
      <c r="Q833" t="s">
        <v>37</v>
      </c>
      <c r="R833" t="s">
        <v>38</v>
      </c>
    </row>
    <row r="834" spans="1:18" x14ac:dyDescent="0.3">
      <c r="A834" t="s">
        <v>24</v>
      </c>
      <c r="B834" t="s">
        <v>74</v>
      </c>
      <c r="C834">
        <v>199</v>
      </c>
      <c r="D834" t="s">
        <v>20</v>
      </c>
      <c r="E834">
        <v>2021</v>
      </c>
      <c r="F834" t="s">
        <v>21</v>
      </c>
      <c r="G834">
        <v>126</v>
      </c>
      <c r="H834">
        <v>44.4</v>
      </c>
      <c r="I834">
        <v>13.4</v>
      </c>
      <c r="J834">
        <v>131250</v>
      </c>
      <c r="K834">
        <v>28</v>
      </c>
      <c r="L834">
        <v>36750</v>
      </c>
      <c r="M834">
        <v>168000</v>
      </c>
      <c r="N834">
        <v>192203</v>
      </c>
      <c r="O834">
        <v>68</v>
      </c>
      <c r="P834">
        <v>9</v>
      </c>
      <c r="Q834" t="s">
        <v>22</v>
      </c>
      <c r="R834" t="s">
        <v>23</v>
      </c>
    </row>
    <row r="835" spans="1:18" x14ac:dyDescent="0.3">
      <c r="A835" t="s">
        <v>32</v>
      </c>
      <c r="B835" t="s">
        <v>73</v>
      </c>
      <c r="C835">
        <v>648</v>
      </c>
      <c r="D835" t="s">
        <v>34</v>
      </c>
      <c r="E835">
        <v>2022</v>
      </c>
      <c r="F835" t="s">
        <v>31</v>
      </c>
      <c r="G835">
        <v>184</v>
      </c>
      <c r="H835">
        <v>20.399999999999999</v>
      </c>
      <c r="I835">
        <v>18.600000000000001</v>
      </c>
      <c r="J835">
        <v>262595</v>
      </c>
      <c r="K835">
        <v>31</v>
      </c>
      <c r="L835">
        <v>81405</v>
      </c>
      <c r="M835">
        <v>344000</v>
      </c>
      <c r="N835">
        <v>386482</v>
      </c>
      <c r="O835">
        <v>69</v>
      </c>
      <c r="P835">
        <v>5.5</v>
      </c>
      <c r="Q835" t="s">
        <v>22</v>
      </c>
      <c r="R835" t="s">
        <v>23</v>
      </c>
    </row>
    <row r="836" spans="1:18" x14ac:dyDescent="0.3">
      <c r="A836" t="s">
        <v>18</v>
      </c>
      <c r="B836" t="s">
        <v>79</v>
      </c>
      <c r="C836">
        <v>293</v>
      </c>
      <c r="D836" t="s">
        <v>34</v>
      </c>
      <c r="E836">
        <v>2022</v>
      </c>
      <c r="F836" t="s">
        <v>21</v>
      </c>
      <c r="G836">
        <v>154</v>
      </c>
      <c r="H836">
        <v>28.2</v>
      </c>
      <c r="I836">
        <v>18.899999999999999</v>
      </c>
      <c r="J836">
        <v>211719</v>
      </c>
      <c r="K836">
        <v>28</v>
      </c>
      <c r="L836">
        <v>59281</v>
      </c>
      <c r="M836">
        <v>271000</v>
      </c>
      <c r="N836">
        <v>312155</v>
      </c>
      <c r="O836">
        <v>77</v>
      </c>
      <c r="P836">
        <v>3</v>
      </c>
      <c r="Q836" t="s">
        <v>26</v>
      </c>
      <c r="R836" t="s">
        <v>27</v>
      </c>
    </row>
    <row r="837" spans="1:18" x14ac:dyDescent="0.3">
      <c r="A837" t="s">
        <v>42</v>
      </c>
      <c r="B837" t="s">
        <v>86</v>
      </c>
      <c r="C837">
        <v>155</v>
      </c>
      <c r="D837" t="s">
        <v>20</v>
      </c>
      <c r="E837">
        <v>2024</v>
      </c>
      <c r="F837" t="s">
        <v>21</v>
      </c>
      <c r="G837">
        <v>121</v>
      </c>
      <c r="H837">
        <v>45.5</v>
      </c>
      <c r="I837">
        <v>14</v>
      </c>
      <c r="J837">
        <v>160938</v>
      </c>
      <c r="K837">
        <v>28</v>
      </c>
      <c r="L837">
        <v>45062</v>
      </c>
      <c r="M837">
        <v>206000</v>
      </c>
      <c r="N837">
        <v>235767</v>
      </c>
      <c r="O837">
        <v>82</v>
      </c>
      <c r="P837">
        <v>5.5</v>
      </c>
      <c r="Q837" t="s">
        <v>22</v>
      </c>
      <c r="R837" t="s">
        <v>23</v>
      </c>
    </row>
    <row r="838" spans="1:18" x14ac:dyDescent="0.3">
      <c r="A838" t="s">
        <v>18</v>
      </c>
      <c r="B838" t="s">
        <v>78</v>
      </c>
      <c r="C838">
        <v>184</v>
      </c>
      <c r="D838" t="s">
        <v>20</v>
      </c>
      <c r="E838">
        <v>2023</v>
      </c>
      <c r="F838" t="s">
        <v>21</v>
      </c>
      <c r="G838">
        <v>135</v>
      </c>
      <c r="H838">
        <v>45.3</v>
      </c>
      <c r="I838">
        <v>10.199999999999999</v>
      </c>
      <c r="J838">
        <v>113281</v>
      </c>
      <c r="K838">
        <v>28</v>
      </c>
      <c r="L838">
        <v>31719</v>
      </c>
      <c r="M838">
        <v>145000</v>
      </c>
      <c r="N838">
        <v>172115</v>
      </c>
      <c r="O838">
        <v>79</v>
      </c>
      <c r="P838">
        <v>10.9</v>
      </c>
      <c r="Q838" t="s">
        <v>37</v>
      </c>
      <c r="R838" t="s">
        <v>38</v>
      </c>
    </row>
    <row r="839" spans="1:18" x14ac:dyDescent="0.3">
      <c r="A839" t="s">
        <v>32</v>
      </c>
      <c r="B839" t="s">
        <v>85</v>
      </c>
      <c r="C839">
        <v>346</v>
      </c>
      <c r="D839" t="s">
        <v>34</v>
      </c>
      <c r="E839">
        <v>2025</v>
      </c>
      <c r="F839" t="s">
        <v>31</v>
      </c>
      <c r="G839">
        <v>141</v>
      </c>
      <c r="H839">
        <v>33.5</v>
      </c>
      <c r="I839">
        <v>15.7</v>
      </c>
      <c r="J839">
        <v>128906</v>
      </c>
      <c r="K839">
        <v>28</v>
      </c>
      <c r="L839">
        <v>36094</v>
      </c>
      <c r="M839">
        <v>165000</v>
      </c>
      <c r="N839">
        <v>193600</v>
      </c>
      <c r="O839">
        <v>61</v>
      </c>
      <c r="P839">
        <v>13</v>
      </c>
      <c r="Q839" t="s">
        <v>37</v>
      </c>
      <c r="R839" t="s">
        <v>38</v>
      </c>
    </row>
    <row r="840" spans="1:18" x14ac:dyDescent="0.3">
      <c r="A840" t="s">
        <v>24</v>
      </c>
      <c r="B840" t="s">
        <v>107</v>
      </c>
      <c r="C840">
        <v>102</v>
      </c>
      <c r="D840" t="s">
        <v>30</v>
      </c>
      <c r="E840">
        <v>2024</v>
      </c>
      <c r="F840" t="s">
        <v>31</v>
      </c>
      <c r="G840">
        <v>96</v>
      </c>
      <c r="H840">
        <v>69.599999999999994</v>
      </c>
      <c r="I840">
        <v>9.5</v>
      </c>
      <c r="J840">
        <v>50781</v>
      </c>
      <c r="K840">
        <v>28</v>
      </c>
      <c r="L840">
        <v>14219</v>
      </c>
      <c r="M840">
        <v>65000</v>
      </c>
      <c r="N840">
        <v>78789</v>
      </c>
      <c r="O840">
        <v>61</v>
      </c>
      <c r="P840">
        <v>6.5</v>
      </c>
      <c r="Q840" t="s">
        <v>37</v>
      </c>
      <c r="R840" t="s">
        <v>38</v>
      </c>
    </row>
    <row r="841" spans="1:18" x14ac:dyDescent="0.3">
      <c r="A841" t="s">
        <v>39</v>
      </c>
      <c r="B841" t="s">
        <v>71</v>
      </c>
      <c r="C841">
        <v>159</v>
      </c>
      <c r="D841" t="s">
        <v>20</v>
      </c>
      <c r="E841">
        <v>2020</v>
      </c>
      <c r="F841" t="s">
        <v>21</v>
      </c>
      <c r="G841">
        <v>130</v>
      </c>
      <c r="H841">
        <v>37.9</v>
      </c>
      <c r="I841">
        <v>13.4</v>
      </c>
      <c r="J841">
        <v>108594</v>
      </c>
      <c r="K841">
        <v>28</v>
      </c>
      <c r="L841">
        <v>30406</v>
      </c>
      <c r="M841">
        <v>139000</v>
      </c>
      <c r="N841">
        <v>161367</v>
      </c>
      <c r="O841">
        <v>75</v>
      </c>
      <c r="P841">
        <v>13.1</v>
      </c>
      <c r="Q841" t="s">
        <v>37</v>
      </c>
      <c r="R841" t="s">
        <v>38</v>
      </c>
    </row>
    <row r="842" spans="1:18" x14ac:dyDescent="0.3">
      <c r="A842" t="s">
        <v>39</v>
      </c>
      <c r="B842" t="s">
        <v>47</v>
      </c>
      <c r="C842">
        <v>312</v>
      </c>
      <c r="D842" t="s">
        <v>34</v>
      </c>
      <c r="E842">
        <v>2025</v>
      </c>
      <c r="F842" t="s">
        <v>21</v>
      </c>
      <c r="G842">
        <v>144</v>
      </c>
      <c r="H842">
        <v>31.9</v>
      </c>
      <c r="I842">
        <v>14.4</v>
      </c>
      <c r="J842">
        <v>217188</v>
      </c>
      <c r="K842">
        <v>28</v>
      </c>
      <c r="L842">
        <v>60812</v>
      </c>
      <c r="M842">
        <v>278000</v>
      </c>
      <c r="N842">
        <v>316015</v>
      </c>
      <c r="O842">
        <v>72</v>
      </c>
      <c r="P842">
        <v>4.0999999999999996</v>
      </c>
      <c r="Q842" t="s">
        <v>26</v>
      </c>
      <c r="R842" t="s">
        <v>27</v>
      </c>
    </row>
    <row r="843" spans="1:18" x14ac:dyDescent="0.3">
      <c r="A843" t="s">
        <v>28</v>
      </c>
      <c r="B843" t="s">
        <v>91</v>
      </c>
      <c r="C843">
        <v>97</v>
      </c>
      <c r="D843" t="s">
        <v>30</v>
      </c>
      <c r="E843">
        <v>2020</v>
      </c>
      <c r="F843" t="s">
        <v>31</v>
      </c>
      <c r="G843">
        <v>98</v>
      </c>
      <c r="H843">
        <v>67.900000000000006</v>
      </c>
      <c r="I843">
        <v>8.1999999999999993</v>
      </c>
      <c r="J843">
        <v>53125</v>
      </c>
      <c r="K843">
        <v>28</v>
      </c>
      <c r="L843">
        <v>14875</v>
      </c>
      <c r="M843">
        <v>68000</v>
      </c>
      <c r="N843">
        <v>80551</v>
      </c>
      <c r="O843">
        <v>66</v>
      </c>
      <c r="P843">
        <v>12.8</v>
      </c>
      <c r="Q843" t="s">
        <v>37</v>
      </c>
      <c r="R843" t="s">
        <v>38</v>
      </c>
    </row>
    <row r="844" spans="1:18" x14ac:dyDescent="0.3">
      <c r="A844" t="s">
        <v>42</v>
      </c>
      <c r="B844" t="s">
        <v>70</v>
      </c>
      <c r="C844">
        <v>249</v>
      </c>
      <c r="D844" t="s">
        <v>20</v>
      </c>
      <c r="E844">
        <v>2023</v>
      </c>
      <c r="F844" t="s">
        <v>21</v>
      </c>
      <c r="G844">
        <v>153</v>
      </c>
      <c r="H844">
        <v>30.8</v>
      </c>
      <c r="I844">
        <v>14.7</v>
      </c>
      <c r="J844">
        <v>122656</v>
      </c>
      <c r="K844">
        <v>28</v>
      </c>
      <c r="L844">
        <v>34344</v>
      </c>
      <c r="M844">
        <v>157000</v>
      </c>
      <c r="N844">
        <v>182340</v>
      </c>
      <c r="O844">
        <v>67</v>
      </c>
      <c r="P844">
        <v>9.8000000000000007</v>
      </c>
      <c r="Q844" t="s">
        <v>22</v>
      </c>
      <c r="R844" t="s">
        <v>23</v>
      </c>
    </row>
    <row r="845" spans="1:18" x14ac:dyDescent="0.3">
      <c r="A845" t="s">
        <v>18</v>
      </c>
      <c r="B845" t="s">
        <v>78</v>
      </c>
      <c r="C845">
        <v>184</v>
      </c>
      <c r="D845" t="s">
        <v>20</v>
      </c>
      <c r="E845">
        <v>2023</v>
      </c>
      <c r="F845" t="s">
        <v>21</v>
      </c>
      <c r="G845">
        <v>132</v>
      </c>
      <c r="H845">
        <v>43.5</v>
      </c>
      <c r="I845">
        <v>13.5</v>
      </c>
      <c r="J845">
        <v>112500</v>
      </c>
      <c r="K845">
        <v>28</v>
      </c>
      <c r="L845">
        <v>31500</v>
      </c>
      <c r="M845">
        <v>144000</v>
      </c>
      <c r="N845">
        <v>167342</v>
      </c>
      <c r="O845">
        <v>79</v>
      </c>
      <c r="P845">
        <v>10.199999999999999</v>
      </c>
      <c r="Q845" t="s">
        <v>37</v>
      </c>
      <c r="R845" t="s">
        <v>38</v>
      </c>
    </row>
    <row r="846" spans="1:18" x14ac:dyDescent="0.3">
      <c r="A846" t="s">
        <v>32</v>
      </c>
      <c r="B846" t="s">
        <v>73</v>
      </c>
      <c r="C846">
        <v>648</v>
      </c>
      <c r="D846" t="s">
        <v>34</v>
      </c>
      <c r="E846">
        <v>2024</v>
      </c>
      <c r="F846" t="s">
        <v>31</v>
      </c>
      <c r="G846">
        <v>167</v>
      </c>
      <c r="H846">
        <v>20</v>
      </c>
      <c r="I846">
        <v>14.6</v>
      </c>
      <c r="J846">
        <v>250382</v>
      </c>
      <c r="K846">
        <v>31</v>
      </c>
      <c r="L846">
        <v>77618</v>
      </c>
      <c r="M846">
        <v>328000</v>
      </c>
      <c r="N846">
        <v>377551</v>
      </c>
      <c r="O846">
        <v>70</v>
      </c>
      <c r="P846">
        <v>10</v>
      </c>
      <c r="Q846" t="s">
        <v>22</v>
      </c>
      <c r="R846" t="s">
        <v>23</v>
      </c>
    </row>
    <row r="847" spans="1:18" x14ac:dyDescent="0.3">
      <c r="A847" t="s">
        <v>42</v>
      </c>
      <c r="B847" t="s">
        <v>59</v>
      </c>
      <c r="C847">
        <v>155</v>
      </c>
      <c r="D847" t="s">
        <v>20</v>
      </c>
      <c r="E847">
        <v>2021</v>
      </c>
      <c r="F847" t="s">
        <v>21</v>
      </c>
      <c r="G847">
        <v>140</v>
      </c>
      <c r="H847">
        <v>40.799999999999997</v>
      </c>
      <c r="I847">
        <v>10.4</v>
      </c>
      <c r="J847">
        <v>128125</v>
      </c>
      <c r="K847">
        <v>28</v>
      </c>
      <c r="L847">
        <v>35875</v>
      </c>
      <c r="M847">
        <v>164000</v>
      </c>
      <c r="N847">
        <v>192276</v>
      </c>
      <c r="O847">
        <v>73</v>
      </c>
      <c r="P847">
        <v>5.2</v>
      </c>
      <c r="Q847" t="s">
        <v>22</v>
      </c>
      <c r="R847" t="s">
        <v>23</v>
      </c>
    </row>
    <row r="848" spans="1:18" x14ac:dyDescent="0.3">
      <c r="A848" t="s">
        <v>28</v>
      </c>
      <c r="B848" t="s">
        <v>49</v>
      </c>
      <c r="C848">
        <v>199</v>
      </c>
      <c r="D848" t="s">
        <v>20</v>
      </c>
      <c r="E848">
        <v>2024</v>
      </c>
      <c r="F848" t="s">
        <v>21</v>
      </c>
      <c r="G848">
        <v>120</v>
      </c>
      <c r="H848">
        <v>45.2</v>
      </c>
      <c r="I848">
        <v>13.1</v>
      </c>
      <c r="J848">
        <v>125000</v>
      </c>
      <c r="K848">
        <v>28</v>
      </c>
      <c r="L848">
        <v>35000</v>
      </c>
      <c r="M848">
        <v>160000</v>
      </c>
      <c r="N848">
        <v>188498</v>
      </c>
      <c r="O848">
        <v>80</v>
      </c>
      <c r="P848">
        <v>8.8000000000000007</v>
      </c>
      <c r="Q848" t="s">
        <v>22</v>
      </c>
      <c r="R848" t="s">
        <v>23</v>
      </c>
    </row>
    <row r="849" spans="1:18" x14ac:dyDescent="0.3">
      <c r="A849" t="s">
        <v>55</v>
      </c>
      <c r="B849" t="s">
        <v>89</v>
      </c>
      <c r="C849">
        <v>155</v>
      </c>
      <c r="D849" t="s">
        <v>20</v>
      </c>
      <c r="E849">
        <v>2021</v>
      </c>
      <c r="F849" t="s">
        <v>35</v>
      </c>
      <c r="G849">
        <v>140</v>
      </c>
      <c r="H849">
        <v>45.2</v>
      </c>
      <c r="I849">
        <v>13.9</v>
      </c>
      <c r="J849">
        <v>105469</v>
      </c>
      <c r="K849">
        <v>28</v>
      </c>
      <c r="L849">
        <v>29531</v>
      </c>
      <c r="M849">
        <v>135000</v>
      </c>
      <c r="N849">
        <v>159154</v>
      </c>
      <c r="O849">
        <v>65</v>
      </c>
      <c r="P849">
        <v>11.5</v>
      </c>
      <c r="Q849" t="s">
        <v>37</v>
      </c>
      <c r="R849" t="s">
        <v>38</v>
      </c>
    </row>
    <row r="850" spans="1:18" x14ac:dyDescent="0.3">
      <c r="A850" t="s">
        <v>18</v>
      </c>
      <c r="B850" t="s">
        <v>78</v>
      </c>
      <c r="C850">
        <v>184</v>
      </c>
      <c r="D850" t="s">
        <v>20</v>
      </c>
      <c r="E850">
        <v>2024</v>
      </c>
      <c r="F850" t="s">
        <v>21</v>
      </c>
      <c r="G850">
        <v>130</v>
      </c>
      <c r="H850">
        <v>41.5</v>
      </c>
      <c r="I850">
        <v>10.8</v>
      </c>
      <c r="J850">
        <v>110938</v>
      </c>
      <c r="K850">
        <v>28</v>
      </c>
      <c r="L850">
        <v>31062</v>
      </c>
      <c r="M850">
        <v>142000</v>
      </c>
      <c r="N850">
        <v>165806</v>
      </c>
      <c r="O850">
        <v>70</v>
      </c>
      <c r="P850">
        <v>1.5</v>
      </c>
      <c r="Q850" t="s">
        <v>57</v>
      </c>
      <c r="R850" t="s">
        <v>58</v>
      </c>
    </row>
    <row r="851" spans="1:18" x14ac:dyDescent="0.3">
      <c r="A851" t="s">
        <v>24</v>
      </c>
      <c r="B851" t="s">
        <v>107</v>
      </c>
      <c r="C851">
        <v>102</v>
      </c>
      <c r="D851" t="s">
        <v>30</v>
      </c>
      <c r="E851">
        <v>2021</v>
      </c>
      <c r="F851" t="s">
        <v>31</v>
      </c>
      <c r="G851">
        <v>94</v>
      </c>
      <c r="H851">
        <v>78.099999999999994</v>
      </c>
      <c r="I851">
        <v>8.8000000000000007</v>
      </c>
      <c r="J851">
        <v>43750</v>
      </c>
      <c r="K851">
        <v>28</v>
      </c>
      <c r="L851">
        <v>12250</v>
      </c>
      <c r="M851">
        <v>56000</v>
      </c>
      <c r="N851">
        <v>65925</v>
      </c>
      <c r="O851">
        <v>60</v>
      </c>
      <c r="P851">
        <v>14.5</v>
      </c>
      <c r="Q851" t="s">
        <v>37</v>
      </c>
      <c r="R851" t="s">
        <v>38</v>
      </c>
    </row>
    <row r="852" spans="1:18" x14ac:dyDescent="0.3">
      <c r="A852" t="s">
        <v>28</v>
      </c>
      <c r="B852" t="s">
        <v>29</v>
      </c>
      <c r="C852">
        <v>97</v>
      </c>
      <c r="D852" t="s">
        <v>30</v>
      </c>
      <c r="E852">
        <v>2025</v>
      </c>
      <c r="F852" t="s">
        <v>31</v>
      </c>
      <c r="G852">
        <v>99</v>
      </c>
      <c r="H852">
        <v>72.7</v>
      </c>
      <c r="I852">
        <v>8.6</v>
      </c>
      <c r="J852">
        <v>55469</v>
      </c>
      <c r="K852">
        <v>28</v>
      </c>
      <c r="L852">
        <v>15531</v>
      </c>
      <c r="M852">
        <v>71000</v>
      </c>
      <c r="N852">
        <v>83485</v>
      </c>
      <c r="O852">
        <v>58</v>
      </c>
      <c r="P852">
        <v>9.1</v>
      </c>
      <c r="Q852" t="s">
        <v>37</v>
      </c>
      <c r="R852" t="s">
        <v>38</v>
      </c>
    </row>
    <row r="853" spans="1:18" x14ac:dyDescent="0.3">
      <c r="A853" t="s">
        <v>32</v>
      </c>
      <c r="B853" t="s">
        <v>92</v>
      </c>
      <c r="C853">
        <v>452</v>
      </c>
      <c r="D853" t="s">
        <v>34</v>
      </c>
      <c r="E853">
        <v>2022</v>
      </c>
      <c r="F853" t="s">
        <v>21</v>
      </c>
      <c r="G853">
        <v>175</v>
      </c>
      <c r="H853">
        <v>23.7</v>
      </c>
      <c r="I853">
        <v>19</v>
      </c>
      <c r="J853">
        <v>221374</v>
      </c>
      <c r="K853">
        <v>31</v>
      </c>
      <c r="L853">
        <v>68626</v>
      </c>
      <c r="M853">
        <v>290000</v>
      </c>
      <c r="N853">
        <v>336527</v>
      </c>
      <c r="O853">
        <v>77</v>
      </c>
      <c r="P853">
        <v>3.6</v>
      </c>
      <c r="Q853" t="s">
        <v>26</v>
      </c>
      <c r="R853" t="s">
        <v>27</v>
      </c>
    </row>
    <row r="854" spans="1:18" x14ac:dyDescent="0.3">
      <c r="A854" t="s">
        <v>24</v>
      </c>
      <c r="B854" t="s">
        <v>25</v>
      </c>
      <c r="C854">
        <v>249</v>
      </c>
      <c r="D854" t="s">
        <v>20</v>
      </c>
      <c r="E854">
        <v>2024</v>
      </c>
      <c r="F854" t="s">
        <v>21</v>
      </c>
      <c r="G854">
        <v>163</v>
      </c>
      <c r="H854">
        <v>30.3</v>
      </c>
      <c r="I854">
        <v>14.8</v>
      </c>
      <c r="J854">
        <v>138281</v>
      </c>
      <c r="K854">
        <v>28</v>
      </c>
      <c r="L854">
        <v>38719</v>
      </c>
      <c r="M854">
        <v>177000</v>
      </c>
      <c r="N854">
        <v>204968</v>
      </c>
      <c r="O854">
        <v>74</v>
      </c>
      <c r="P854">
        <v>6.9</v>
      </c>
      <c r="Q854" t="s">
        <v>22</v>
      </c>
      <c r="R854" t="s">
        <v>23</v>
      </c>
    </row>
    <row r="855" spans="1:18" x14ac:dyDescent="0.3">
      <c r="A855" t="s">
        <v>32</v>
      </c>
      <c r="B855" t="s">
        <v>73</v>
      </c>
      <c r="C855">
        <v>648</v>
      </c>
      <c r="D855" t="s">
        <v>34</v>
      </c>
      <c r="E855">
        <v>2020</v>
      </c>
      <c r="F855" t="s">
        <v>31</v>
      </c>
      <c r="G855">
        <v>204</v>
      </c>
      <c r="H855">
        <v>22.9</v>
      </c>
      <c r="I855">
        <v>17.399999999999999</v>
      </c>
      <c r="J855">
        <v>265649</v>
      </c>
      <c r="K855">
        <v>31</v>
      </c>
      <c r="L855">
        <v>82351</v>
      </c>
      <c r="M855">
        <v>348000</v>
      </c>
      <c r="N855">
        <v>394769</v>
      </c>
      <c r="O855">
        <v>65</v>
      </c>
      <c r="P855">
        <v>8.5</v>
      </c>
      <c r="Q855" t="s">
        <v>37</v>
      </c>
      <c r="R855" t="s">
        <v>38</v>
      </c>
    </row>
    <row r="856" spans="1:18" x14ac:dyDescent="0.3">
      <c r="A856" t="s">
        <v>39</v>
      </c>
      <c r="B856" t="s">
        <v>83</v>
      </c>
      <c r="C856">
        <v>124</v>
      </c>
      <c r="D856" t="s">
        <v>30</v>
      </c>
      <c r="E856">
        <v>2022</v>
      </c>
      <c r="F856" t="s">
        <v>21</v>
      </c>
      <c r="G856">
        <v>110</v>
      </c>
      <c r="H856">
        <v>55.8</v>
      </c>
      <c r="I856">
        <v>14</v>
      </c>
      <c r="J856">
        <v>80469</v>
      </c>
      <c r="K856">
        <v>28</v>
      </c>
      <c r="L856">
        <v>22531</v>
      </c>
      <c r="M856">
        <v>103000</v>
      </c>
      <c r="N856">
        <v>121122</v>
      </c>
      <c r="O856">
        <v>69</v>
      </c>
      <c r="P856">
        <v>12.5</v>
      </c>
      <c r="Q856" t="s">
        <v>37</v>
      </c>
      <c r="R856" t="s">
        <v>38</v>
      </c>
    </row>
    <row r="857" spans="1:18" x14ac:dyDescent="0.3">
      <c r="A857" t="s">
        <v>50</v>
      </c>
      <c r="B857" t="s">
        <v>109</v>
      </c>
      <c r="C857">
        <v>373</v>
      </c>
      <c r="D857" t="s">
        <v>34</v>
      </c>
      <c r="E857">
        <v>2020</v>
      </c>
      <c r="F857" t="s">
        <v>21</v>
      </c>
      <c r="G857">
        <v>167</v>
      </c>
      <c r="H857">
        <v>20</v>
      </c>
      <c r="I857">
        <v>15.3</v>
      </c>
      <c r="J857">
        <v>251145</v>
      </c>
      <c r="K857">
        <v>31</v>
      </c>
      <c r="L857">
        <v>77855</v>
      </c>
      <c r="M857">
        <v>329000</v>
      </c>
      <c r="N857">
        <v>382611</v>
      </c>
      <c r="O857">
        <v>81</v>
      </c>
      <c r="P857">
        <v>8.6999999999999993</v>
      </c>
      <c r="Q857" t="s">
        <v>22</v>
      </c>
      <c r="R857" t="s">
        <v>23</v>
      </c>
    </row>
    <row r="858" spans="1:18" x14ac:dyDescent="0.3">
      <c r="A858" t="s">
        <v>18</v>
      </c>
      <c r="B858" t="s">
        <v>103</v>
      </c>
      <c r="C858">
        <v>124</v>
      </c>
      <c r="D858" t="s">
        <v>30</v>
      </c>
      <c r="E858">
        <v>2021</v>
      </c>
      <c r="F858" t="s">
        <v>35</v>
      </c>
      <c r="G858">
        <v>108</v>
      </c>
      <c r="H858">
        <v>52</v>
      </c>
      <c r="I858">
        <v>11.5</v>
      </c>
      <c r="J858">
        <v>68750</v>
      </c>
      <c r="K858">
        <v>28</v>
      </c>
      <c r="L858">
        <v>19250</v>
      </c>
      <c r="M858">
        <v>88000</v>
      </c>
      <c r="N858">
        <v>102259</v>
      </c>
      <c r="O858">
        <v>65</v>
      </c>
      <c r="P858">
        <v>14.7</v>
      </c>
      <c r="Q858" t="s">
        <v>37</v>
      </c>
      <c r="R858" t="s">
        <v>38</v>
      </c>
    </row>
    <row r="859" spans="1:18" x14ac:dyDescent="0.3">
      <c r="A859" t="s">
        <v>18</v>
      </c>
      <c r="B859" t="s">
        <v>95</v>
      </c>
      <c r="C859">
        <v>160</v>
      </c>
      <c r="D859" t="s">
        <v>20</v>
      </c>
      <c r="E859">
        <v>2025</v>
      </c>
      <c r="F859" t="s">
        <v>35</v>
      </c>
      <c r="G859">
        <v>135</v>
      </c>
      <c r="H859">
        <v>42.9</v>
      </c>
      <c r="I859">
        <v>12.3</v>
      </c>
      <c r="J859">
        <v>93750</v>
      </c>
      <c r="K859">
        <v>28</v>
      </c>
      <c r="L859">
        <v>26250</v>
      </c>
      <c r="M859">
        <v>120000</v>
      </c>
      <c r="N859">
        <v>138311</v>
      </c>
      <c r="O859">
        <v>63</v>
      </c>
      <c r="P859">
        <v>8.4</v>
      </c>
      <c r="Q859" t="s">
        <v>37</v>
      </c>
      <c r="R859" t="s">
        <v>38</v>
      </c>
    </row>
    <row r="860" spans="1:18" x14ac:dyDescent="0.3">
      <c r="A860" t="s">
        <v>39</v>
      </c>
      <c r="B860" t="s">
        <v>71</v>
      </c>
      <c r="C860">
        <v>159</v>
      </c>
      <c r="D860" t="s">
        <v>20</v>
      </c>
      <c r="E860">
        <v>2025</v>
      </c>
      <c r="F860" t="s">
        <v>21</v>
      </c>
      <c r="G860">
        <v>132</v>
      </c>
      <c r="H860">
        <v>40.200000000000003</v>
      </c>
      <c r="I860">
        <v>12.7</v>
      </c>
      <c r="J860">
        <v>106250</v>
      </c>
      <c r="K860">
        <v>28</v>
      </c>
      <c r="L860">
        <v>29750</v>
      </c>
      <c r="M860">
        <v>136000</v>
      </c>
      <c r="N860">
        <v>159402</v>
      </c>
      <c r="O860">
        <v>68</v>
      </c>
      <c r="P860">
        <v>5.8</v>
      </c>
      <c r="Q860" t="s">
        <v>22</v>
      </c>
      <c r="R860" t="s">
        <v>23</v>
      </c>
    </row>
    <row r="861" spans="1:18" x14ac:dyDescent="0.3">
      <c r="A861" t="s">
        <v>55</v>
      </c>
      <c r="B861" t="s">
        <v>75</v>
      </c>
      <c r="C861">
        <v>155</v>
      </c>
      <c r="D861" t="s">
        <v>20</v>
      </c>
      <c r="E861">
        <v>2021</v>
      </c>
      <c r="F861" t="s">
        <v>35</v>
      </c>
      <c r="G861">
        <v>120</v>
      </c>
      <c r="H861">
        <v>38.200000000000003</v>
      </c>
      <c r="I861">
        <v>12.6</v>
      </c>
      <c r="J861">
        <v>114062</v>
      </c>
      <c r="K861">
        <v>28</v>
      </c>
      <c r="L861">
        <v>31938</v>
      </c>
      <c r="M861">
        <v>146000</v>
      </c>
      <c r="N861">
        <v>172813</v>
      </c>
      <c r="O861">
        <v>68</v>
      </c>
      <c r="P861">
        <v>8.1999999999999993</v>
      </c>
      <c r="Q861" t="s">
        <v>22</v>
      </c>
      <c r="R861" t="s">
        <v>23</v>
      </c>
    </row>
    <row r="862" spans="1:18" x14ac:dyDescent="0.3">
      <c r="A862" t="s">
        <v>18</v>
      </c>
      <c r="B862" t="s">
        <v>62</v>
      </c>
      <c r="C862">
        <v>348</v>
      </c>
      <c r="D862" t="s">
        <v>34</v>
      </c>
      <c r="E862">
        <v>2023</v>
      </c>
      <c r="F862" t="s">
        <v>21</v>
      </c>
      <c r="G862">
        <v>151</v>
      </c>
      <c r="H862">
        <v>33.1</v>
      </c>
      <c r="I862">
        <v>17.899999999999999</v>
      </c>
      <c r="J862">
        <v>168750</v>
      </c>
      <c r="K862">
        <v>28</v>
      </c>
      <c r="L862">
        <v>47250</v>
      </c>
      <c r="M862">
        <v>216000</v>
      </c>
      <c r="N862">
        <v>251313</v>
      </c>
      <c r="O862">
        <v>75</v>
      </c>
      <c r="P862">
        <v>10.5</v>
      </c>
      <c r="Q862" t="s">
        <v>37</v>
      </c>
      <c r="R862" t="s">
        <v>38</v>
      </c>
    </row>
    <row r="863" spans="1:18" x14ac:dyDescent="0.3">
      <c r="A863" t="s">
        <v>24</v>
      </c>
      <c r="B863" t="s">
        <v>84</v>
      </c>
      <c r="C863">
        <v>124</v>
      </c>
      <c r="D863" t="s">
        <v>30</v>
      </c>
      <c r="E863">
        <v>2021</v>
      </c>
      <c r="F863" t="s">
        <v>35</v>
      </c>
      <c r="G863">
        <v>118</v>
      </c>
      <c r="H863">
        <v>52</v>
      </c>
      <c r="I863">
        <v>11.2</v>
      </c>
      <c r="J863">
        <v>73438</v>
      </c>
      <c r="K863">
        <v>28</v>
      </c>
      <c r="L863">
        <v>20562</v>
      </c>
      <c r="M863">
        <v>94000</v>
      </c>
      <c r="N863">
        <v>109726</v>
      </c>
      <c r="O863">
        <v>65</v>
      </c>
      <c r="P863">
        <v>14.2</v>
      </c>
      <c r="Q863" t="s">
        <v>37</v>
      </c>
      <c r="R863" t="s">
        <v>38</v>
      </c>
    </row>
    <row r="864" spans="1:18" x14ac:dyDescent="0.3">
      <c r="A864" t="s">
        <v>18</v>
      </c>
      <c r="B864" t="s">
        <v>103</v>
      </c>
      <c r="C864">
        <v>124</v>
      </c>
      <c r="D864" t="s">
        <v>30</v>
      </c>
      <c r="E864">
        <v>2021</v>
      </c>
      <c r="F864" t="s">
        <v>35</v>
      </c>
      <c r="G864">
        <v>107</v>
      </c>
      <c r="H864">
        <v>56.8</v>
      </c>
      <c r="I864">
        <v>12.3</v>
      </c>
      <c r="J864">
        <v>75000</v>
      </c>
      <c r="K864">
        <v>28</v>
      </c>
      <c r="L864">
        <v>21000</v>
      </c>
      <c r="M864">
        <v>96000</v>
      </c>
      <c r="N864">
        <v>111090</v>
      </c>
      <c r="O864">
        <v>62</v>
      </c>
      <c r="P864">
        <v>14.2</v>
      </c>
      <c r="Q864" t="s">
        <v>37</v>
      </c>
      <c r="R864" t="s">
        <v>38</v>
      </c>
    </row>
    <row r="865" spans="1:18" x14ac:dyDescent="0.3">
      <c r="A865" t="s">
        <v>18</v>
      </c>
      <c r="B865" t="s">
        <v>68</v>
      </c>
      <c r="C865">
        <v>109</v>
      </c>
      <c r="D865" t="s">
        <v>30</v>
      </c>
      <c r="E865">
        <v>2025</v>
      </c>
      <c r="F865" t="s">
        <v>31</v>
      </c>
      <c r="G865">
        <v>98</v>
      </c>
      <c r="H865">
        <v>77.8</v>
      </c>
      <c r="I865">
        <v>8.3000000000000007</v>
      </c>
      <c r="J865">
        <v>63281</v>
      </c>
      <c r="K865">
        <v>28</v>
      </c>
      <c r="L865">
        <v>17719</v>
      </c>
      <c r="M865">
        <v>81000</v>
      </c>
      <c r="N865">
        <v>94547</v>
      </c>
      <c r="O865">
        <v>67</v>
      </c>
      <c r="P865">
        <v>8.1</v>
      </c>
      <c r="Q865" t="s">
        <v>22</v>
      </c>
      <c r="R865" t="s">
        <v>23</v>
      </c>
    </row>
    <row r="866" spans="1:18" x14ac:dyDescent="0.3">
      <c r="A866" t="s">
        <v>42</v>
      </c>
      <c r="B866" t="s">
        <v>86</v>
      </c>
      <c r="C866">
        <v>155</v>
      </c>
      <c r="D866" t="s">
        <v>20</v>
      </c>
      <c r="E866">
        <v>2025</v>
      </c>
      <c r="F866" t="s">
        <v>21</v>
      </c>
      <c r="G866">
        <v>120</v>
      </c>
      <c r="H866">
        <v>38.200000000000003</v>
      </c>
      <c r="I866">
        <v>10</v>
      </c>
      <c r="J866">
        <v>156250</v>
      </c>
      <c r="K866">
        <v>28</v>
      </c>
      <c r="L866">
        <v>43750</v>
      </c>
      <c r="M866">
        <v>200000</v>
      </c>
      <c r="N866">
        <v>238394</v>
      </c>
      <c r="O866">
        <v>76</v>
      </c>
      <c r="P866">
        <v>3.7</v>
      </c>
      <c r="Q866" t="s">
        <v>26</v>
      </c>
      <c r="R866" t="s">
        <v>27</v>
      </c>
    </row>
    <row r="867" spans="1:18" x14ac:dyDescent="0.3">
      <c r="A867" t="s">
        <v>50</v>
      </c>
      <c r="B867" t="s">
        <v>81</v>
      </c>
      <c r="C867">
        <v>199</v>
      </c>
      <c r="D867" t="s">
        <v>20</v>
      </c>
      <c r="E867">
        <v>2024</v>
      </c>
      <c r="F867" t="s">
        <v>21</v>
      </c>
      <c r="G867">
        <v>136</v>
      </c>
      <c r="H867">
        <v>46.5</v>
      </c>
      <c r="I867">
        <v>11.8</v>
      </c>
      <c r="J867">
        <v>173438</v>
      </c>
      <c r="K867">
        <v>28</v>
      </c>
      <c r="L867">
        <v>48562</v>
      </c>
      <c r="M867">
        <v>222000</v>
      </c>
      <c r="N867">
        <v>258869</v>
      </c>
      <c r="O867">
        <v>84</v>
      </c>
      <c r="P867">
        <v>9.5</v>
      </c>
      <c r="Q867" t="s">
        <v>22</v>
      </c>
      <c r="R867" t="s">
        <v>23</v>
      </c>
    </row>
    <row r="868" spans="1:18" x14ac:dyDescent="0.3">
      <c r="A868" t="s">
        <v>24</v>
      </c>
      <c r="B868" t="s">
        <v>101</v>
      </c>
      <c r="C868">
        <v>102</v>
      </c>
      <c r="D868" t="s">
        <v>30</v>
      </c>
      <c r="E868">
        <v>2020</v>
      </c>
      <c r="F868" t="s">
        <v>31</v>
      </c>
      <c r="G868">
        <v>96</v>
      </c>
      <c r="H868">
        <v>64.5</v>
      </c>
      <c r="I868">
        <v>8.8000000000000007</v>
      </c>
      <c r="J868">
        <v>54688</v>
      </c>
      <c r="K868">
        <v>28</v>
      </c>
      <c r="L868">
        <v>15312</v>
      </c>
      <c r="M868">
        <v>70000</v>
      </c>
      <c r="N868">
        <v>83823</v>
      </c>
      <c r="O868">
        <v>57</v>
      </c>
      <c r="P868">
        <v>8.1999999999999993</v>
      </c>
      <c r="Q868" t="s">
        <v>37</v>
      </c>
      <c r="R868" t="s">
        <v>38</v>
      </c>
    </row>
    <row r="869" spans="1:18" x14ac:dyDescent="0.3">
      <c r="A869" t="s">
        <v>32</v>
      </c>
      <c r="B869" t="s">
        <v>73</v>
      </c>
      <c r="C869">
        <v>648</v>
      </c>
      <c r="D869" t="s">
        <v>34</v>
      </c>
      <c r="E869">
        <v>2023</v>
      </c>
      <c r="F869" t="s">
        <v>31</v>
      </c>
      <c r="G869">
        <v>194</v>
      </c>
      <c r="H869">
        <v>20.7</v>
      </c>
      <c r="I869">
        <v>15.1</v>
      </c>
      <c r="J869">
        <v>245802</v>
      </c>
      <c r="K869">
        <v>31</v>
      </c>
      <c r="L869">
        <v>76198</v>
      </c>
      <c r="M869">
        <v>322000</v>
      </c>
      <c r="N869">
        <v>376868</v>
      </c>
      <c r="O869">
        <v>64</v>
      </c>
      <c r="P869">
        <v>5.0999999999999996</v>
      </c>
      <c r="Q869" t="s">
        <v>37</v>
      </c>
      <c r="R869" t="s">
        <v>38</v>
      </c>
    </row>
    <row r="870" spans="1:18" x14ac:dyDescent="0.3">
      <c r="A870" t="s">
        <v>24</v>
      </c>
      <c r="B870" t="s">
        <v>25</v>
      </c>
      <c r="C870">
        <v>249</v>
      </c>
      <c r="D870" t="s">
        <v>20</v>
      </c>
      <c r="E870">
        <v>2020</v>
      </c>
      <c r="F870" t="s">
        <v>21</v>
      </c>
      <c r="G870">
        <v>160</v>
      </c>
      <c r="H870">
        <v>35.299999999999997</v>
      </c>
      <c r="I870">
        <v>19.5</v>
      </c>
      <c r="J870">
        <v>118750</v>
      </c>
      <c r="K870">
        <v>28</v>
      </c>
      <c r="L870">
        <v>33250</v>
      </c>
      <c r="M870">
        <v>152000</v>
      </c>
      <c r="N870">
        <v>177002</v>
      </c>
      <c r="O870">
        <v>79</v>
      </c>
      <c r="P870">
        <v>12.6</v>
      </c>
      <c r="Q870" t="s">
        <v>37</v>
      </c>
      <c r="R870" t="s">
        <v>38</v>
      </c>
    </row>
    <row r="871" spans="1:18" x14ac:dyDescent="0.3">
      <c r="A871" t="s">
        <v>42</v>
      </c>
      <c r="B871" t="s">
        <v>54</v>
      </c>
      <c r="C871">
        <v>155</v>
      </c>
      <c r="D871" t="s">
        <v>20</v>
      </c>
      <c r="E871">
        <v>2021</v>
      </c>
      <c r="F871" t="s">
        <v>21</v>
      </c>
      <c r="G871">
        <v>120</v>
      </c>
      <c r="H871">
        <v>40.5</v>
      </c>
      <c r="I871">
        <v>11.6</v>
      </c>
      <c r="J871">
        <v>130469</v>
      </c>
      <c r="K871">
        <v>28</v>
      </c>
      <c r="L871">
        <v>36531</v>
      </c>
      <c r="M871">
        <v>167000</v>
      </c>
      <c r="N871">
        <v>190169</v>
      </c>
      <c r="O871">
        <v>72</v>
      </c>
      <c r="P871">
        <v>13.5</v>
      </c>
      <c r="Q871" t="s">
        <v>37</v>
      </c>
      <c r="R871" t="s">
        <v>38</v>
      </c>
    </row>
    <row r="872" spans="1:18" x14ac:dyDescent="0.3">
      <c r="A872" t="s">
        <v>28</v>
      </c>
      <c r="B872" t="s">
        <v>91</v>
      </c>
      <c r="C872">
        <v>97</v>
      </c>
      <c r="D872" t="s">
        <v>30</v>
      </c>
      <c r="E872">
        <v>2020</v>
      </c>
      <c r="F872" t="s">
        <v>31</v>
      </c>
      <c r="G872">
        <v>98</v>
      </c>
      <c r="H872">
        <v>76.7</v>
      </c>
      <c r="I872">
        <v>8.3000000000000007</v>
      </c>
      <c r="J872">
        <v>51562</v>
      </c>
      <c r="K872">
        <v>28</v>
      </c>
      <c r="L872">
        <v>14438</v>
      </c>
      <c r="M872">
        <v>66000</v>
      </c>
      <c r="N872">
        <v>78777</v>
      </c>
      <c r="O872">
        <v>57</v>
      </c>
      <c r="P872">
        <v>13.8</v>
      </c>
      <c r="Q872" t="s">
        <v>37</v>
      </c>
      <c r="R872" t="s">
        <v>38</v>
      </c>
    </row>
    <row r="873" spans="1:18" x14ac:dyDescent="0.3">
      <c r="A873" t="s">
        <v>39</v>
      </c>
      <c r="B873" t="s">
        <v>80</v>
      </c>
      <c r="C873">
        <v>109</v>
      </c>
      <c r="D873" t="s">
        <v>30</v>
      </c>
      <c r="E873">
        <v>2025</v>
      </c>
      <c r="F873" t="s">
        <v>31</v>
      </c>
      <c r="G873">
        <v>93</v>
      </c>
      <c r="H873">
        <v>76.599999999999994</v>
      </c>
      <c r="I873">
        <v>9.6999999999999993</v>
      </c>
      <c r="J873">
        <v>58594</v>
      </c>
      <c r="K873">
        <v>28</v>
      </c>
      <c r="L873">
        <v>16406</v>
      </c>
      <c r="M873">
        <v>75000</v>
      </c>
      <c r="N873">
        <v>88639</v>
      </c>
      <c r="O873">
        <v>55</v>
      </c>
      <c r="P873">
        <v>14.9</v>
      </c>
      <c r="Q873" t="s">
        <v>37</v>
      </c>
      <c r="R873" t="s">
        <v>38</v>
      </c>
    </row>
    <row r="874" spans="1:18" x14ac:dyDescent="0.3">
      <c r="A874" t="s">
        <v>24</v>
      </c>
      <c r="B874" t="s">
        <v>107</v>
      </c>
      <c r="C874">
        <v>102</v>
      </c>
      <c r="D874" t="s">
        <v>30</v>
      </c>
      <c r="E874">
        <v>2023</v>
      </c>
      <c r="F874" t="s">
        <v>31</v>
      </c>
      <c r="G874">
        <v>91</v>
      </c>
      <c r="H874">
        <v>64.900000000000006</v>
      </c>
      <c r="I874">
        <v>8.8000000000000007</v>
      </c>
      <c r="J874">
        <v>44531</v>
      </c>
      <c r="K874">
        <v>28</v>
      </c>
      <c r="L874">
        <v>12469</v>
      </c>
      <c r="M874">
        <v>57000</v>
      </c>
      <c r="N874">
        <v>69884</v>
      </c>
      <c r="O874">
        <v>59</v>
      </c>
      <c r="P874">
        <v>1.6</v>
      </c>
      <c r="Q874" t="s">
        <v>57</v>
      </c>
      <c r="R874" t="s">
        <v>58</v>
      </c>
    </row>
    <row r="875" spans="1:18" x14ac:dyDescent="0.3">
      <c r="A875" t="s">
        <v>32</v>
      </c>
      <c r="B875" t="s">
        <v>85</v>
      </c>
      <c r="C875">
        <v>346</v>
      </c>
      <c r="D875" t="s">
        <v>34</v>
      </c>
      <c r="E875">
        <v>2024</v>
      </c>
      <c r="F875" t="s">
        <v>31</v>
      </c>
      <c r="G875">
        <v>148</v>
      </c>
      <c r="H875">
        <v>35.5</v>
      </c>
      <c r="I875">
        <v>16.5</v>
      </c>
      <c r="J875">
        <v>145312</v>
      </c>
      <c r="K875">
        <v>28</v>
      </c>
      <c r="L875">
        <v>40688</v>
      </c>
      <c r="M875">
        <v>186000</v>
      </c>
      <c r="N875">
        <v>212356</v>
      </c>
      <c r="O875">
        <v>66</v>
      </c>
      <c r="P875">
        <v>6.9</v>
      </c>
      <c r="Q875" t="s">
        <v>37</v>
      </c>
      <c r="R875" t="s">
        <v>38</v>
      </c>
    </row>
    <row r="876" spans="1:18" x14ac:dyDescent="0.3">
      <c r="A876" t="s">
        <v>18</v>
      </c>
      <c r="B876" t="s">
        <v>79</v>
      </c>
      <c r="C876">
        <v>293</v>
      </c>
      <c r="D876" t="s">
        <v>34</v>
      </c>
      <c r="E876">
        <v>2020</v>
      </c>
      <c r="F876" t="s">
        <v>21</v>
      </c>
      <c r="G876">
        <v>163</v>
      </c>
      <c r="H876">
        <v>33.700000000000003</v>
      </c>
      <c r="I876">
        <v>18.5</v>
      </c>
      <c r="J876">
        <v>204688</v>
      </c>
      <c r="K876">
        <v>28</v>
      </c>
      <c r="L876">
        <v>57312</v>
      </c>
      <c r="M876">
        <v>262000</v>
      </c>
      <c r="N876">
        <v>307506</v>
      </c>
      <c r="O876">
        <v>78</v>
      </c>
      <c r="P876">
        <v>2.8</v>
      </c>
      <c r="Q876" t="s">
        <v>26</v>
      </c>
      <c r="R876" t="s">
        <v>27</v>
      </c>
    </row>
    <row r="877" spans="1:18" x14ac:dyDescent="0.3">
      <c r="A877" t="s">
        <v>18</v>
      </c>
      <c r="B877" t="s">
        <v>79</v>
      </c>
      <c r="C877">
        <v>293</v>
      </c>
      <c r="D877" t="s">
        <v>34</v>
      </c>
      <c r="E877">
        <v>2025</v>
      </c>
      <c r="F877" t="s">
        <v>21</v>
      </c>
      <c r="G877">
        <v>150</v>
      </c>
      <c r="H877">
        <v>28.6</v>
      </c>
      <c r="I877">
        <v>13.1</v>
      </c>
      <c r="J877">
        <v>199219</v>
      </c>
      <c r="K877">
        <v>28</v>
      </c>
      <c r="L877">
        <v>55781</v>
      </c>
      <c r="M877">
        <v>255000</v>
      </c>
      <c r="N877">
        <v>295032</v>
      </c>
      <c r="O877">
        <v>78</v>
      </c>
      <c r="P877">
        <v>14.7</v>
      </c>
      <c r="Q877" t="s">
        <v>37</v>
      </c>
      <c r="R877" t="s">
        <v>38</v>
      </c>
    </row>
    <row r="878" spans="1:18" x14ac:dyDescent="0.3">
      <c r="A878" t="s">
        <v>42</v>
      </c>
      <c r="B878" t="s">
        <v>59</v>
      </c>
      <c r="C878">
        <v>155</v>
      </c>
      <c r="D878" t="s">
        <v>20</v>
      </c>
      <c r="E878">
        <v>2020</v>
      </c>
      <c r="F878" t="s">
        <v>21</v>
      </c>
      <c r="G878">
        <v>136</v>
      </c>
      <c r="H878">
        <v>43.2</v>
      </c>
      <c r="I878">
        <v>13.5</v>
      </c>
      <c r="J878">
        <v>128125</v>
      </c>
      <c r="K878">
        <v>28</v>
      </c>
      <c r="L878">
        <v>35875</v>
      </c>
      <c r="M878">
        <v>164000</v>
      </c>
      <c r="N878">
        <v>190737</v>
      </c>
      <c r="O878">
        <v>69</v>
      </c>
      <c r="P878">
        <v>4.5</v>
      </c>
      <c r="Q878" t="s">
        <v>26</v>
      </c>
      <c r="R878" t="s">
        <v>27</v>
      </c>
    </row>
    <row r="879" spans="1:18" x14ac:dyDescent="0.3">
      <c r="A879" t="s">
        <v>39</v>
      </c>
      <c r="B879" t="s">
        <v>40</v>
      </c>
      <c r="C879">
        <v>109</v>
      </c>
      <c r="D879" t="s">
        <v>30</v>
      </c>
      <c r="E879">
        <v>2024</v>
      </c>
      <c r="F879" t="s">
        <v>35</v>
      </c>
      <c r="G879">
        <v>90</v>
      </c>
      <c r="H879">
        <v>73.400000000000006</v>
      </c>
      <c r="I879">
        <v>9.3000000000000007</v>
      </c>
      <c r="J879">
        <v>65625</v>
      </c>
      <c r="K879">
        <v>28</v>
      </c>
      <c r="L879">
        <v>18375</v>
      </c>
      <c r="M879">
        <v>84000</v>
      </c>
      <c r="N879">
        <v>97900</v>
      </c>
      <c r="O879">
        <v>64</v>
      </c>
      <c r="P879">
        <v>14.9</v>
      </c>
      <c r="Q879" t="s">
        <v>37</v>
      </c>
      <c r="R879" t="s">
        <v>38</v>
      </c>
    </row>
    <row r="880" spans="1:18" x14ac:dyDescent="0.3">
      <c r="A880" t="s">
        <v>18</v>
      </c>
      <c r="B880" t="s">
        <v>105</v>
      </c>
      <c r="C880">
        <v>471</v>
      </c>
      <c r="D880" t="s">
        <v>34</v>
      </c>
      <c r="E880">
        <v>2020</v>
      </c>
      <c r="F880" t="s">
        <v>21</v>
      </c>
      <c r="G880">
        <v>187</v>
      </c>
      <c r="H880">
        <v>24.3</v>
      </c>
      <c r="I880">
        <v>19.100000000000001</v>
      </c>
      <c r="J880">
        <v>423664</v>
      </c>
      <c r="K880">
        <v>31</v>
      </c>
      <c r="L880">
        <v>131336</v>
      </c>
      <c r="M880">
        <v>555000</v>
      </c>
      <c r="N880">
        <v>622200</v>
      </c>
      <c r="O880">
        <v>76</v>
      </c>
      <c r="P880">
        <v>9.6</v>
      </c>
      <c r="Q880" t="s">
        <v>22</v>
      </c>
      <c r="R880" t="s">
        <v>23</v>
      </c>
    </row>
    <row r="881" spans="1:18" x14ac:dyDescent="0.3">
      <c r="A881" t="s">
        <v>32</v>
      </c>
      <c r="B881" t="s">
        <v>73</v>
      </c>
      <c r="C881">
        <v>648</v>
      </c>
      <c r="D881" t="s">
        <v>34</v>
      </c>
      <c r="E881">
        <v>2023</v>
      </c>
      <c r="F881" t="s">
        <v>31</v>
      </c>
      <c r="G881">
        <v>187</v>
      </c>
      <c r="H881">
        <v>20.5</v>
      </c>
      <c r="I881">
        <v>17.5</v>
      </c>
      <c r="J881">
        <v>255725</v>
      </c>
      <c r="K881">
        <v>31</v>
      </c>
      <c r="L881">
        <v>79275</v>
      </c>
      <c r="M881">
        <v>335000</v>
      </c>
      <c r="N881">
        <v>383147</v>
      </c>
      <c r="O881">
        <v>70</v>
      </c>
      <c r="P881">
        <v>1.9</v>
      </c>
      <c r="Q881" t="s">
        <v>57</v>
      </c>
      <c r="R881" t="s">
        <v>58</v>
      </c>
    </row>
    <row r="882" spans="1:18" x14ac:dyDescent="0.3">
      <c r="A882" t="s">
        <v>39</v>
      </c>
      <c r="B882" t="s">
        <v>47</v>
      </c>
      <c r="C882">
        <v>312</v>
      </c>
      <c r="D882" t="s">
        <v>34</v>
      </c>
      <c r="E882">
        <v>2020</v>
      </c>
      <c r="F882" t="s">
        <v>21</v>
      </c>
      <c r="G882">
        <v>150</v>
      </c>
      <c r="H882">
        <v>31.4</v>
      </c>
      <c r="I882">
        <v>13.4</v>
      </c>
      <c r="J882">
        <v>205469</v>
      </c>
      <c r="K882">
        <v>28</v>
      </c>
      <c r="L882">
        <v>57531</v>
      </c>
      <c r="M882">
        <v>263000</v>
      </c>
      <c r="N882">
        <v>305629</v>
      </c>
      <c r="O882">
        <v>69</v>
      </c>
      <c r="P882">
        <v>3.5</v>
      </c>
      <c r="Q882" t="s">
        <v>26</v>
      </c>
      <c r="R882" t="s">
        <v>27</v>
      </c>
    </row>
    <row r="883" spans="1:18" x14ac:dyDescent="0.3">
      <c r="A883" t="s">
        <v>32</v>
      </c>
      <c r="B883" t="s">
        <v>88</v>
      </c>
      <c r="C883">
        <v>349</v>
      </c>
      <c r="D883" t="s">
        <v>34</v>
      </c>
      <c r="E883">
        <v>2022</v>
      </c>
      <c r="F883" t="s">
        <v>35</v>
      </c>
      <c r="G883">
        <v>148</v>
      </c>
      <c r="H883">
        <v>31.5</v>
      </c>
      <c r="I883">
        <v>13.8</v>
      </c>
      <c r="J883">
        <v>145312</v>
      </c>
      <c r="K883">
        <v>28</v>
      </c>
      <c r="L883">
        <v>40688</v>
      </c>
      <c r="M883">
        <v>186000</v>
      </c>
      <c r="N883">
        <v>215764</v>
      </c>
      <c r="O883">
        <v>73</v>
      </c>
      <c r="P883">
        <v>6.1</v>
      </c>
      <c r="Q883" t="s">
        <v>22</v>
      </c>
      <c r="R883" t="s">
        <v>23</v>
      </c>
    </row>
    <row r="884" spans="1:18" x14ac:dyDescent="0.3">
      <c r="A884" t="s">
        <v>28</v>
      </c>
      <c r="B884" t="s">
        <v>91</v>
      </c>
      <c r="C884">
        <v>97</v>
      </c>
      <c r="D884" t="s">
        <v>30</v>
      </c>
      <c r="E884">
        <v>2022</v>
      </c>
      <c r="F884" t="s">
        <v>31</v>
      </c>
      <c r="G884">
        <v>96</v>
      </c>
      <c r="H884">
        <v>74.099999999999994</v>
      </c>
      <c r="I884">
        <v>8.5</v>
      </c>
      <c r="J884">
        <v>56250</v>
      </c>
      <c r="K884">
        <v>28</v>
      </c>
      <c r="L884">
        <v>15750</v>
      </c>
      <c r="M884">
        <v>72000</v>
      </c>
      <c r="N884">
        <v>85803</v>
      </c>
      <c r="O884">
        <v>65</v>
      </c>
      <c r="P884">
        <v>8.4</v>
      </c>
      <c r="Q884" t="s">
        <v>37</v>
      </c>
      <c r="R884" t="s">
        <v>38</v>
      </c>
    </row>
    <row r="885" spans="1:18" x14ac:dyDescent="0.3">
      <c r="A885" t="s">
        <v>39</v>
      </c>
      <c r="B885" t="s">
        <v>64</v>
      </c>
      <c r="C885">
        <v>159</v>
      </c>
      <c r="D885" t="s">
        <v>20</v>
      </c>
      <c r="E885">
        <v>2025</v>
      </c>
      <c r="F885" t="s">
        <v>35</v>
      </c>
      <c r="G885">
        <v>139</v>
      </c>
      <c r="H885">
        <v>43.3</v>
      </c>
      <c r="I885">
        <v>13.3</v>
      </c>
      <c r="J885">
        <v>89062</v>
      </c>
      <c r="K885">
        <v>28</v>
      </c>
      <c r="L885">
        <v>24938</v>
      </c>
      <c r="M885">
        <v>114000</v>
      </c>
      <c r="N885">
        <v>132848</v>
      </c>
      <c r="O885">
        <v>60</v>
      </c>
      <c r="P885">
        <v>1.6</v>
      </c>
      <c r="Q885" t="s">
        <v>57</v>
      </c>
      <c r="R885" t="s">
        <v>58</v>
      </c>
    </row>
    <row r="886" spans="1:18" x14ac:dyDescent="0.3">
      <c r="A886" t="s">
        <v>24</v>
      </c>
      <c r="B886" t="s">
        <v>65</v>
      </c>
      <c r="C886">
        <v>149</v>
      </c>
      <c r="D886" t="s">
        <v>20</v>
      </c>
      <c r="E886">
        <v>2021</v>
      </c>
      <c r="F886" t="s">
        <v>35</v>
      </c>
      <c r="G886">
        <v>114</v>
      </c>
      <c r="H886">
        <v>56.6</v>
      </c>
      <c r="I886">
        <v>12.1</v>
      </c>
      <c r="J886">
        <v>92969</v>
      </c>
      <c r="K886">
        <v>28</v>
      </c>
      <c r="L886">
        <v>26031</v>
      </c>
      <c r="M886">
        <v>119000</v>
      </c>
      <c r="N886">
        <v>140912</v>
      </c>
      <c r="O886">
        <v>69</v>
      </c>
      <c r="P886">
        <v>14.9</v>
      </c>
      <c r="Q886" t="s">
        <v>37</v>
      </c>
      <c r="R886" t="s">
        <v>38</v>
      </c>
    </row>
    <row r="887" spans="1:18" x14ac:dyDescent="0.3">
      <c r="A887" t="s">
        <v>18</v>
      </c>
      <c r="B887" t="s">
        <v>105</v>
      </c>
      <c r="C887">
        <v>471</v>
      </c>
      <c r="D887" t="s">
        <v>34</v>
      </c>
      <c r="E887">
        <v>2022</v>
      </c>
      <c r="F887" t="s">
        <v>21</v>
      </c>
      <c r="G887">
        <v>208</v>
      </c>
      <c r="H887">
        <v>24.1</v>
      </c>
      <c r="I887">
        <v>16.100000000000001</v>
      </c>
      <c r="J887">
        <v>410687</v>
      </c>
      <c r="K887">
        <v>31</v>
      </c>
      <c r="L887">
        <v>127313</v>
      </c>
      <c r="M887">
        <v>538000</v>
      </c>
      <c r="N887">
        <v>610263</v>
      </c>
      <c r="O887">
        <v>84</v>
      </c>
      <c r="P887">
        <v>14.7</v>
      </c>
      <c r="Q887" t="s">
        <v>37</v>
      </c>
      <c r="R887" t="s">
        <v>38</v>
      </c>
    </row>
    <row r="888" spans="1:18" x14ac:dyDescent="0.3">
      <c r="A888" t="s">
        <v>18</v>
      </c>
      <c r="B888" t="s">
        <v>78</v>
      </c>
      <c r="C888">
        <v>184</v>
      </c>
      <c r="D888" t="s">
        <v>20</v>
      </c>
      <c r="E888">
        <v>2021</v>
      </c>
      <c r="F888" t="s">
        <v>21</v>
      </c>
      <c r="G888">
        <v>125</v>
      </c>
      <c r="H888">
        <v>44.9</v>
      </c>
      <c r="I888">
        <v>11.2</v>
      </c>
      <c r="J888">
        <v>125000</v>
      </c>
      <c r="K888">
        <v>28</v>
      </c>
      <c r="L888">
        <v>35000</v>
      </c>
      <c r="M888">
        <v>160000</v>
      </c>
      <c r="N888">
        <v>183437</v>
      </c>
      <c r="O888">
        <v>78</v>
      </c>
      <c r="P888">
        <v>4.8</v>
      </c>
      <c r="Q888" t="s">
        <v>26</v>
      </c>
      <c r="R888" t="s">
        <v>27</v>
      </c>
    </row>
    <row r="889" spans="1:18" x14ac:dyDescent="0.3">
      <c r="A889" t="s">
        <v>28</v>
      </c>
      <c r="B889" t="s">
        <v>99</v>
      </c>
      <c r="C889">
        <v>199</v>
      </c>
      <c r="D889" t="s">
        <v>20</v>
      </c>
      <c r="E889">
        <v>2021</v>
      </c>
      <c r="F889" t="s">
        <v>21</v>
      </c>
      <c r="G889">
        <v>137</v>
      </c>
      <c r="H889">
        <v>41.9</v>
      </c>
      <c r="I889">
        <v>11.8</v>
      </c>
      <c r="J889">
        <v>118750</v>
      </c>
      <c r="K889">
        <v>28</v>
      </c>
      <c r="L889">
        <v>33250</v>
      </c>
      <c r="M889">
        <v>152000</v>
      </c>
      <c r="N889">
        <v>178818</v>
      </c>
      <c r="O889">
        <v>76</v>
      </c>
      <c r="P889">
        <v>14.6</v>
      </c>
      <c r="Q889" t="s">
        <v>37</v>
      </c>
      <c r="R889" t="s">
        <v>38</v>
      </c>
    </row>
    <row r="890" spans="1:18" x14ac:dyDescent="0.3">
      <c r="A890" t="s">
        <v>42</v>
      </c>
      <c r="B890" t="s">
        <v>87</v>
      </c>
      <c r="C890">
        <v>321</v>
      </c>
      <c r="D890" t="s">
        <v>34</v>
      </c>
      <c r="E890">
        <v>2024</v>
      </c>
      <c r="F890" t="s">
        <v>21</v>
      </c>
      <c r="G890">
        <v>140</v>
      </c>
      <c r="H890">
        <v>29.7</v>
      </c>
      <c r="I890">
        <v>17.899999999999999</v>
      </c>
      <c r="J890">
        <v>352344</v>
      </c>
      <c r="K890">
        <v>28</v>
      </c>
      <c r="L890">
        <v>98656</v>
      </c>
      <c r="M890">
        <v>451000</v>
      </c>
      <c r="N890">
        <v>521398</v>
      </c>
      <c r="O890">
        <v>72</v>
      </c>
      <c r="P890">
        <v>9</v>
      </c>
      <c r="Q890" t="s">
        <v>22</v>
      </c>
      <c r="R890" t="s">
        <v>23</v>
      </c>
    </row>
    <row r="891" spans="1:18" x14ac:dyDescent="0.3">
      <c r="A891" t="s">
        <v>42</v>
      </c>
      <c r="B891" t="s">
        <v>87</v>
      </c>
      <c r="C891">
        <v>321</v>
      </c>
      <c r="D891" t="s">
        <v>34</v>
      </c>
      <c r="E891">
        <v>2021</v>
      </c>
      <c r="F891" t="s">
        <v>21</v>
      </c>
      <c r="G891">
        <v>149</v>
      </c>
      <c r="H891">
        <v>34.700000000000003</v>
      </c>
      <c r="I891">
        <v>14.6</v>
      </c>
      <c r="J891">
        <v>357031</v>
      </c>
      <c r="K891">
        <v>28</v>
      </c>
      <c r="L891">
        <v>99969</v>
      </c>
      <c r="M891">
        <v>457000</v>
      </c>
      <c r="N891">
        <v>528249</v>
      </c>
      <c r="O891">
        <v>74</v>
      </c>
      <c r="P891">
        <v>8.6999999999999993</v>
      </c>
      <c r="Q891" t="s">
        <v>22</v>
      </c>
      <c r="R891" t="s">
        <v>23</v>
      </c>
    </row>
    <row r="892" spans="1:18" x14ac:dyDescent="0.3">
      <c r="A892" t="s">
        <v>55</v>
      </c>
      <c r="B892" t="s">
        <v>75</v>
      </c>
      <c r="C892">
        <v>155</v>
      </c>
      <c r="D892" t="s">
        <v>20</v>
      </c>
      <c r="E892">
        <v>2021</v>
      </c>
      <c r="F892" t="s">
        <v>35</v>
      </c>
      <c r="G892">
        <v>128</v>
      </c>
      <c r="H892">
        <v>46.3</v>
      </c>
      <c r="I892">
        <v>14</v>
      </c>
      <c r="J892">
        <v>108594</v>
      </c>
      <c r="K892">
        <v>28</v>
      </c>
      <c r="L892">
        <v>30406</v>
      </c>
      <c r="M892">
        <v>139000</v>
      </c>
      <c r="N892">
        <v>158056</v>
      </c>
      <c r="O892">
        <v>64</v>
      </c>
      <c r="P892">
        <v>10</v>
      </c>
      <c r="Q892" t="s">
        <v>37</v>
      </c>
      <c r="R892" t="s">
        <v>38</v>
      </c>
    </row>
    <row r="893" spans="1:18" x14ac:dyDescent="0.3">
      <c r="A893" t="s">
        <v>24</v>
      </c>
      <c r="B893" t="s">
        <v>67</v>
      </c>
      <c r="C893">
        <v>199</v>
      </c>
      <c r="D893" t="s">
        <v>20</v>
      </c>
      <c r="E893">
        <v>2024</v>
      </c>
      <c r="F893" t="s">
        <v>21</v>
      </c>
      <c r="G893">
        <v>130</v>
      </c>
      <c r="H893">
        <v>46.8</v>
      </c>
      <c r="I893">
        <v>11.1</v>
      </c>
      <c r="J893">
        <v>117969</v>
      </c>
      <c r="K893">
        <v>28</v>
      </c>
      <c r="L893">
        <v>33031</v>
      </c>
      <c r="M893">
        <v>151000</v>
      </c>
      <c r="N893">
        <v>173146</v>
      </c>
      <c r="O893">
        <v>74</v>
      </c>
      <c r="P893">
        <v>14.2</v>
      </c>
      <c r="Q893" t="s">
        <v>37</v>
      </c>
      <c r="R893" t="s">
        <v>38</v>
      </c>
    </row>
    <row r="894" spans="1:18" x14ac:dyDescent="0.3">
      <c r="A894" t="s">
        <v>18</v>
      </c>
      <c r="B894" t="s">
        <v>44</v>
      </c>
      <c r="C894">
        <v>348</v>
      </c>
      <c r="D894" t="s">
        <v>34</v>
      </c>
      <c r="E894">
        <v>2022</v>
      </c>
      <c r="F894" t="s">
        <v>21</v>
      </c>
      <c r="G894">
        <v>140</v>
      </c>
      <c r="H894">
        <v>33</v>
      </c>
      <c r="I894">
        <v>14.2</v>
      </c>
      <c r="J894">
        <v>161719</v>
      </c>
      <c r="K894">
        <v>28</v>
      </c>
      <c r="L894">
        <v>45281</v>
      </c>
      <c r="M894">
        <v>207000</v>
      </c>
      <c r="N894">
        <v>238411</v>
      </c>
      <c r="O894">
        <v>77</v>
      </c>
      <c r="P894">
        <v>4.0999999999999996</v>
      </c>
      <c r="Q894" t="s">
        <v>26</v>
      </c>
      <c r="R894" t="s">
        <v>27</v>
      </c>
    </row>
    <row r="895" spans="1:18" x14ac:dyDescent="0.3">
      <c r="A895" t="s">
        <v>28</v>
      </c>
      <c r="B895" t="s">
        <v>48</v>
      </c>
      <c r="C895">
        <v>110</v>
      </c>
      <c r="D895" t="s">
        <v>30</v>
      </c>
      <c r="E895">
        <v>2025</v>
      </c>
      <c r="F895" t="s">
        <v>35</v>
      </c>
      <c r="G895">
        <v>97</v>
      </c>
      <c r="H895">
        <v>63.4</v>
      </c>
      <c r="I895">
        <v>9.3000000000000007</v>
      </c>
      <c r="J895">
        <v>62500</v>
      </c>
      <c r="K895">
        <v>28</v>
      </c>
      <c r="L895">
        <v>17500</v>
      </c>
      <c r="M895">
        <v>80000</v>
      </c>
      <c r="N895">
        <v>97566</v>
      </c>
      <c r="O895">
        <v>73</v>
      </c>
      <c r="P895">
        <v>4.5999999999999996</v>
      </c>
      <c r="Q895" t="s">
        <v>26</v>
      </c>
      <c r="R895" t="s">
        <v>27</v>
      </c>
    </row>
    <row r="896" spans="1:18" x14ac:dyDescent="0.3">
      <c r="A896" t="s">
        <v>55</v>
      </c>
      <c r="B896" t="s">
        <v>108</v>
      </c>
      <c r="C896">
        <v>249</v>
      </c>
      <c r="D896" t="s">
        <v>20</v>
      </c>
      <c r="E896">
        <v>2021</v>
      </c>
      <c r="F896" t="s">
        <v>21</v>
      </c>
      <c r="G896">
        <v>165</v>
      </c>
      <c r="H896">
        <v>32.6</v>
      </c>
      <c r="I896">
        <v>18.100000000000001</v>
      </c>
      <c r="J896">
        <v>145312</v>
      </c>
      <c r="K896">
        <v>28</v>
      </c>
      <c r="L896">
        <v>40688</v>
      </c>
      <c r="M896">
        <v>186000</v>
      </c>
      <c r="N896">
        <v>213791</v>
      </c>
      <c r="O896">
        <v>69</v>
      </c>
      <c r="P896">
        <v>3.2</v>
      </c>
      <c r="Q896" t="s">
        <v>26</v>
      </c>
      <c r="R896" t="s">
        <v>27</v>
      </c>
    </row>
    <row r="897" spans="1:18" x14ac:dyDescent="0.3">
      <c r="A897" t="s">
        <v>50</v>
      </c>
      <c r="B897" t="s">
        <v>109</v>
      </c>
      <c r="C897">
        <v>373</v>
      </c>
      <c r="D897" t="s">
        <v>34</v>
      </c>
      <c r="E897">
        <v>2025</v>
      </c>
      <c r="F897" t="s">
        <v>21</v>
      </c>
      <c r="G897">
        <v>171</v>
      </c>
      <c r="H897">
        <v>21.8</v>
      </c>
      <c r="I897">
        <v>14.3</v>
      </c>
      <c r="J897">
        <v>250382</v>
      </c>
      <c r="K897">
        <v>31</v>
      </c>
      <c r="L897">
        <v>77618</v>
      </c>
      <c r="M897">
        <v>328000</v>
      </c>
      <c r="N897">
        <v>379274</v>
      </c>
      <c r="O897">
        <v>74</v>
      </c>
      <c r="P897">
        <v>9</v>
      </c>
      <c r="Q897" t="s">
        <v>22</v>
      </c>
      <c r="R897" t="s">
        <v>23</v>
      </c>
    </row>
    <row r="898" spans="1:18" x14ac:dyDescent="0.3">
      <c r="A898" t="s">
        <v>39</v>
      </c>
      <c r="B898" t="s">
        <v>71</v>
      </c>
      <c r="C898">
        <v>159</v>
      </c>
      <c r="D898" t="s">
        <v>20</v>
      </c>
      <c r="E898">
        <v>2023</v>
      </c>
      <c r="F898" t="s">
        <v>21</v>
      </c>
      <c r="G898">
        <v>126</v>
      </c>
      <c r="H898">
        <v>43.9</v>
      </c>
      <c r="I898">
        <v>11</v>
      </c>
      <c r="J898">
        <v>97656</v>
      </c>
      <c r="K898">
        <v>28</v>
      </c>
      <c r="L898">
        <v>27344</v>
      </c>
      <c r="M898">
        <v>125000</v>
      </c>
      <c r="N898">
        <v>143623</v>
      </c>
      <c r="O898">
        <v>67</v>
      </c>
      <c r="P898">
        <v>3</v>
      </c>
      <c r="Q898" t="s">
        <v>26</v>
      </c>
      <c r="R898" t="s">
        <v>27</v>
      </c>
    </row>
    <row r="899" spans="1:18" x14ac:dyDescent="0.3">
      <c r="A899" t="s">
        <v>50</v>
      </c>
      <c r="B899" t="s">
        <v>52</v>
      </c>
      <c r="C899">
        <v>199</v>
      </c>
      <c r="D899" t="s">
        <v>20</v>
      </c>
      <c r="E899">
        <v>2020</v>
      </c>
      <c r="F899" t="s">
        <v>21</v>
      </c>
      <c r="G899">
        <v>132</v>
      </c>
      <c r="H899">
        <v>43</v>
      </c>
      <c r="I899">
        <v>13.1</v>
      </c>
      <c r="J899">
        <v>146094</v>
      </c>
      <c r="K899">
        <v>28</v>
      </c>
      <c r="L899">
        <v>40906</v>
      </c>
      <c r="M899">
        <v>187000</v>
      </c>
      <c r="N899">
        <v>216276</v>
      </c>
      <c r="O899">
        <v>74</v>
      </c>
      <c r="P899">
        <v>1.3</v>
      </c>
      <c r="Q899" t="s">
        <v>57</v>
      </c>
      <c r="R899" t="s">
        <v>58</v>
      </c>
    </row>
    <row r="900" spans="1:18" x14ac:dyDescent="0.3">
      <c r="A900" t="s">
        <v>28</v>
      </c>
      <c r="B900" t="s">
        <v>69</v>
      </c>
      <c r="C900">
        <v>125</v>
      </c>
      <c r="D900" t="s">
        <v>30</v>
      </c>
      <c r="E900">
        <v>2022</v>
      </c>
      <c r="F900" t="s">
        <v>21</v>
      </c>
      <c r="G900">
        <v>105</v>
      </c>
      <c r="H900">
        <v>56.3</v>
      </c>
      <c r="I900">
        <v>13.4</v>
      </c>
      <c r="J900">
        <v>77344</v>
      </c>
      <c r="K900">
        <v>28</v>
      </c>
      <c r="L900">
        <v>21656</v>
      </c>
      <c r="M900">
        <v>99000</v>
      </c>
      <c r="N900">
        <v>118039</v>
      </c>
      <c r="O900">
        <v>66</v>
      </c>
      <c r="P900">
        <v>8.6</v>
      </c>
      <c r="Q900" t="s">
        <v>37</v>
      </c>
      <c r="R900" t="s">
        <v>38</v>
      </c>
    </row>
    <row r="901" spans="1:18" x14ac:dyDescent="0.3">
      <c r="A901" t="s">
        <v>18</v>
      </c>
      <c r="B901" t="s">
        <v>68</v>
      </c>
      <c r="C901">
        <v>109</v>
      </c>
      <c r="D901" t="s">
        <v>30</v>
      </c>
      <c r="E901">
        <v>2021</v>
      </c>
      <c r="F901" t="s">
        <v>31</v>
      </c>
      <c r="G901">
        <v>94</v>
      </c>
      <c r="H901">
        <v>75.3</v>
      </c>
      <c r="I901">
        <v>8.1</v>
      </c>
      <c r="J901">
        <v>57812</v>
      </c>
      <c r="K901">
        <v>28</v>
      </c>
      <c r="L901">
        <v>16188</v>
      </c>
      <c r="M901">
        <v>74000</v>
      </c>
      <c r="N901">
        <v>88214</v>
      </c>
      <c r="O901">
        <v>62</v>
      </c>
      <c r="P901">
        <v>7.7</v>
      </c>
      <c r="Q901" t="s">
        <v>37</v>
      </c>
      <c r="R901" t="s">
        <v>38</v>
      </c>
    </row>
    <row r="902" spans="1:18" x14ac:dyDescent="0.3">
      <c r="A902" t="s">
        <v>39</v>
      </c>
      <c r="B902" t="s">
        <v>83</v>
      </c>
      <c r="C902">
        <v>124</v>
      </c>
      <c r="D902" t="s">
        <v>30</v>
      </c>
      <c r="E902">
        <v>2023</v>
      </c>
      <c r="F902" t="s">
        <v>21</v>
      </c>
      <c r="G902">
        <v>108</v>
      </c>
      <c r="H902">
        <v>55.6</v>
      </c>
      <c r="I902">
        <v>10.6</v>
      </c>
      <c r="J902">
        <v>75781</v>
      </c>
      <c r="K902">
        <v>28</v>
      </c>
      <c r="L902">
        <v>21219</v>
      </c>
      <c r="M902">
        <v>97000</v>
      </c>
      <c r="N902">
        <v>112169</v>
      </c>
      <c r="O902">
        <v>71</v>
      </c>
      <c r="P902">
        <v>13.4</v>
      </c>
      <c r="Q902" t="s">
        <v>37</v>
      </c>
      <c r="R902" t="s">
        <v>38</v>
      </c>
    </row>
    <row r="903" spans="1:18" x14ac:dyDescent="0.3">
      <c r="A903" t="s">
        <v>24</v>
      </c>
      <c r="B903" t="s">
        <v>74</v>
      </c>
      <c r="C903">
        <v>199</v>
      </c>
      <c r="D903" t="s">
        <v>20</v>
      </c>
      <c r="E903">
        <v>2020</v>
      </c>
      <c r="F903" t="s">
        <v>21</v>
      </c>
      <c r="G903">
        <v>132</v>
      </c>
      <c r="H903">
        <v>39.9</v>
      </c>
      <c r="I903">
        <v>12</v>
      </c>
      <c r="J903">
        <v>126562</v>
      </c>
      <c r="K903">
        <v>28</v>
      </c>
      <c r="L903">
        <v>35438</v>
      </c>
      <c r="M903">
        <v>162000</v>
      </c>
      <c r="N903">
        <v>187749</v>
      </c>
      <c r="O903">
        <v>77</v>
      </c>
      <c r="P903">
        <v>13.4</v>
      </c>
      <c r="Q903" t="s">
        <v>37</v>
      </c>
      <c r="R903" t="s">
        <v>38</v>
      </c>
    </row>
    <row r="904" spans="1:18" x14ac:dyDescent="0.3">
      <c r="A904" t="s">
        <v>18</v>
      </c>
      <c r="B904" t="s">
        <v>19</v>
      </c>
      <c r="C904">
        <v>184</v>
      </c>
      <c r="D904" t="s">
        <v>20</v>
      </c>
      <c r="E904">
        <v>2020</v>
      </c>
      <c r="F904" t="s">
        <v>21</v>
      </c>
      <c r="G904">
        <v>123</v>
      </c>
      <c r="H904">
        <v>43.2</v>
      </c>
      <c r="I904">
        <v>13.6</v>
      </c>
      <c r="J904">
        <v>104688</v>
      </c>
      <c r="K904">
        <v>28</v>
      </c>
      <c r="L904">
        <v>29312</v>
      </c>
      <c r="M904">
        <v>134000</v>
      </c>
      <c r="N904">
        <v>156934</v>
      </c>
      <c r="O904">
        <v>74</v>
      </c>
      <c r="P904">
        <v>13.9</v>
      </c>
      <c r="Q904" t="s">
        <v>37</v>
      </c>
      <c r="R904" t="s">
        <v>38</v>
      </c>
    </row>
    <row r="905" spans="1:18" x14ac:dyDescent="0.3">
      <c r="A905" t="s">
        <v>18</v>
      </c>
      <c r="B905" t="s">
        <v>105</v>
      </c>
      <c r="C905">
        <v>471</v>
      </c>
      <c r="D905" t="s">
        <v>34</v>
      </c>
      <c r="E905">
        <v>2022</v>
      </c>
      <c r="F905" t="s">
        <v>21</v>
      </c>
      <c r="G905">
        <v>202</v>
      </c>
      <c r="H905">
        <v>21.6</v>
      </c>
      <c r="I905">
        <v>15.4</v>
      </c>
      <c r="J905">
        <v>419847</v>
      </c>
      <c r="K905">
        <v>31</v>
      </c>
      <c r="L905">
        <v>130153</v>
      </c>
      <c r="M905">
        <v>550000</v>
      </c>
      <c r="N905">
        <v>633548</v>
      </c>
      <c r="O905">
        <v>86</v>
      </c>
      <c r="P905">
        <v>5.2</v>
      </c>
      <c r="Q905" t="s">
        <v>22</v>
      </c>
      <c r="R905" t="s">
        <v>23</v>
      </c>
    </row>
    <row r="906" spans="1:18" x14ac:dyDescent="0.3">
      <c r="A906" t="s">
        <v>18</v>
      </c>
      <c r="B906" t="s">
        <v>95</v>
      </c>
      <c r="C906">
        <v>160</v>
      </c>
      <c r="D906" t="s">
        <v>20</v>
      </c>
      <c r="E906">
        <v>2021</v>
      </c>
      <c r="F906" t="s">
        <v>35</v>
      </c>
      <c r="G906">
        <v>122</v>
      </c>
      <c r="H906">
        <v>45.1</v>
      </c>
      <c r="I906">
        <v>13.1</v>
      </c>
      <c r="J906">
        <v>86719</v>
      </c>
      <c r="K906">
        <v>28</v>
      </c>
      <c r="L906">
        <v>24281</v>
      </c>
      <c r="M906">
        <v>111000</v>
      </c>
      <c r="N906">
        <v>129333</v>
      </c>
      <c r="O906">
        <v>68</v>
      </c>
      <c r="P906">
        <v>13.1</v>
      </c>
      <c r="Q906" t="s">
        <v>37</v>
      </c>
      <c r="R906" t="s">
        <v>38</v>
      </c>
    </row>
    <row r="907" spans="1:18" x14ac:dyDescent="0.3">
      <c r="A907" t="s">
        <v>18</v>
      </c>
      <c r="B907" t="s">
        <v>62</v>
      </c>
      <c r="C907">
        <v>348</v>
      </c>
      <c r="D907" t="s">
        <v>34</v>
      </c>
      <c r="E907">
        <v>2025</v>
      </c>
      <c r="F907" t="s">
        <v>21</v>
      </c>
      <c r="G907">
        <v>143</v>
      </c>
      <c r="H907">
        <v>34.4</v>
      </c>
      <c r="I907">
        <v>14.9</v>
      </c>
      <c r="J907">
        <v>167188</v>
      </c>
      <c r="K907">
        <v>28</v>
      </c>
      <c r="L907">
        <v>46812</v>
      </c>
      <c r="M907">
        <v>214000</v>
      </c>
      <c r="N907">
        <v>247930</v>
      </c>
      <c r="O907">
        <v>81</v>
      </c>
      <c r="P907">
        <v>7</v>
      </c>
      <c r="Q907" t="s">
        <v>22</v>
      </c>
      <c r="R907" t="s">
        <v>23</v>
      </c>
    </row>
    <row r="908" spans="1:18" x14ac:dyDescent="0.3">
      <c r="A908" t="s">
        <v>18</v>
      </c>
      <c r="B908" t="s">
        <v>103</v>
      </c>
      <c r="C908">
        <v>124</v>
      </c>
      <c r="D908" t="s">
        <v>30</v>
      </c>
      <c r="E908">
        <v>2023</v>
      </c>
      <c r="F908" t="s">
        <v>35</v>
      </c>
      <c r="G908">
        <v>118</v>
      </c>
      <c r="H908">
        <v>52.6</v>
      </c>
      <c r="I908">
        <v>12.4</v>
      </c>
      <c r="J908">
        <v>67969</v>
      </c>
      <c r="K908">
        <v>28</v>
      </c>
      <c r="L908">
        <v>19031</v>
      </c>
      <c r="M908">
        <v>87000</v>
      </c>
      <c r="N908">
        <v>101793</v>
      </c>
      <c r="O908">
        <v>66</v>
      </c>
      <c r="P908">
        <v>10.7</v>
      </c>
      <c r="Q908" t="s">
        <v>37</v>
      </c>
      <c r="R908" t="s">
        <v>38</v>
      </c>
    </row>
    <row r="909" spans="1:18" x14ac:dyDescent="0.3">
      <c r="A909" t="s">
        <v>32</v>
      </c>
      <c r="B909" t="s">
        <v>85</v>
      </c>
      <c r="C909">
        <v>346</v>
      </c>
      <c r="D909" t="s">
        <v>34</v>
      </c>
      <c r="E909">
        <v>2024</v>
      </c>
      <c r="F909" t="s">
        <v>31</v>
      </c>
      <c r="G909">
        <v>155</v>
      </c>
      <c r="H909">
        <v>31.4</v>
      </c>
      <c r="I909">
        <v>16.8</v>
      </c>
      <c r="J909">
        <v>128906</v>
      </c>
      <c r="K909">
        <v>28</v>
      </c>
      <c r="L909">
        <v>36094</v>
      </c>
      <c r="M909">
        <v>165000</v>
      </c>
      <c r="N909">
        <v>195991</v>
      </c>
      <c r="O909">
        <v>67</v>
      </c>
      <c r="P909">
        <v>8.5</v>
      </c>
      <c r="Q909" t="s">
        <v>22</v>
      </c>
      <c r="R909" t="s">
        <v>23</v>
      </c>
    </row>
    <row r="910" spans="1:18" x14ac:dyDescent="0.3">
      <c r="A910" t="s">
        <v>24</v>
      </c>
      <c r="B910" t="s">
        <v>106</v>
      </c>
      <c r="C910">
        <v>373</v>
      </c>
      <c r="D910" t="s">
        <v>34</v>
      </c>
      <c r="E910">
        <v>2021</v>
      </c>
      <c r="F910" t="s">
        <v>21</v>
      </c>
      <c r="G910">
        <v>207</v>
      </c>
      <c r="H910">
        <v>23.5</v>
      </c>
      <c r="I910">
        <v>15.5</v>
      </c>
      <c r="J910">
        <v>180153</v>
      </c>
      <c r="K910">
        <v>31</v>
      </c>
      <c r="L910">
        <v>55847</v>
      </c>
      <c r="M910">
        <v>236000</v>
      </c>
      <c r="N910">
        <v>273801</v>
      </c>
      <c r="O910">
        <v>73</v>
      </c>
      <c r="P910">
        <v>10.8</v>
      </c>
      <c r="Q910" t="s">
        <v>37</v>
      </c>
      <c r="R910" t="s">
        <v>38</v>
      </c>
    </row>
    <row r="911" spans="1:18" x14ac:dyDescent="0.3">
      <c r="A911" t="s">
        <v>24</v>
      </c>
      <c r="B911" t="s">
        <v>67</v>
      </c>
      <c r="C911">
        <v>199</v>
      </c>
      <c r="D911" t="s">
        <v>20</v>
      </c>
      <c r="E911">
        <v>2021</v>
      </c>
      <c r="F911" t="s">
        <v>21</v>
      </c>
      <c r="G911">
        <v>121</v>
      </c>
      <c r="H911">
        <v>46.2</v>
      </c>
      <c r="I911">
        <v>11.2</v>
      </c>
      <c r="J911">
        <v>126562</v>
      </c>
      <c r="K911">
        <v>28</v>
      </c>
      <c r="L911">
        <v>35438</v>
      </c>
      <c r="M911">
        <v>162000</v>
      </c>
      <c r="N911">
        <v>184287</v>
      </c>
      <c r="O911">
        <v>78</v>
      </c>
      <c r="P911">
        <v>6.1</v>
      </c>
      <c r="Q911" t="s">
        <v>22</v>
      </c>
      <c r="R911" t="s">
        <v>23</v>
      </c>
    </row>
    <row r="912" spans="1:18" x14ac:dyDescent="0.3">
      <c r="A912" t="s">
        <v>18</v>
      </c>
      <c r="B912" t="s">
        <v>62</v>
      </c>
      <c r="C912">
        <v>348</v>
      </c>
      <c r="D912" t="s">
        <v>34</v>
      </c>
      <c r="E912">
        <v>2020</v>
      </c>
      <c r="F912" t="s">
        <v>21</v>
      </c>
      <c r="G912">
        <v>147</v>
      </c>
      <c r="H912">
        <v>30</v>
      </c>
      <c r="I912">
        <v>19.7</v>
      </c>
      <c r="J912">
        <v>181250</v>
      </c>
      <c r="K912">
        <v>28</v>
      </c>
      <c r="L912">
        <v>50750</v>
      </c>
      <c r="M912">
        <v>232000</v>
      </c>
      <c r="N912">
        <v>270683</v>
      </c>
      <c r="O912">
        <v>72</v>
      </c>
      <c r="P912">
        <v>11.5</v>
      </c>
      <c r="Q912" t="s">
        <v>37</v>
      </c>
      <c r="R912" t="s">
        <v>38</v>
      </c>
    </row>
    <row r="913" spans="1:18" x14ac:dyDescent="0.3">
      <c r="A913" t="s">
        <v>18</v>
      </c>
      <c r="B913" t="s">
        <v>62</v>
      </c>
      <c r="C913">
        <v>348</v>
      </c>
      <c r="D913" t="s">
        <v>34</v>
      </c>
      <c r="E913">
        <v>2023</v>
      </c>
      <c r="F913" t="s">
        <v>21</v>
      </c>
      <c r="G913">
        <v>143</v>
      </c>
      <c r="H913">
        <v>28.6</v>
      </c>
      <c r="I913">
        <v>18.899999999999999</v>
      </c>
      <c r="J913">
        <v>168750</v>
      </c>
      <c r="K913">
        <v>28</v>
      </c>
      <c r="L913">
        <v>47250</v>
      </c>
      <c r="M913">
        <v>216000</v>
      </c>
      <c r="N913">
        <v>247678</v>
      </c>
      <c r="O913">
        <v>82</v>
      </c>
      <c r="P913">
        <v>9.1</v>
      </c>
      <c r="Q913" t="s">
        <v>22</v>
      </c>
      <c r="R913" t="s">
        <v>23</v>
      </c>
    </row>
    <row r="914" spans="1:18" x14ac:dyDescent="0.3">
      <c r="A914" t="s">
        <v>24</v>
      </c>
      <c r="B914" t="s">
        <v>107</v>
      </c>
      <c r="C914">
        <v>102</v>
      </c>
      <c r="D914" t="s">
        <v>30</v>
      </c>
      <c r="E914">
        <v>2023</v>
      </c>
      <c r="F914" t="s">
        <v>31</v>
      </c>
      <c r="G914">
        <v>98</v>
      </c>
      <c r="H914">
        <v>61.8</v>
      </c>
      <c r="I914">
        <v>9.5</v>
      </c>
      <c r="J914">
        <v>42969</v>
      </c>
      <c r="K914">
        <v>28</v>
      </c>
      <c r="L914">
        <v>12031</v>
      </c>
      <c r="M914">
        <v>55000</v>
      </c>
      <c r="N914">
        <v>64255</v>
      </c>
      <c r="O914">
        <v>57</v>
      </c>
      <c r="P914">
        <v>11.7</v>
      </c>
      <c r="Q914" t="s">
        <v>37</v>
      </c>
      <c r="R914" t="s">
        <v>38</v>
      </c>
    </row>
    <row r="915" spans="1:18" x14ac:dyDescent="0.3">
      <c r="A915" t="s">
        <v>55</v>
      </c>
      <c r="B915" t="s">
        <v>89</v>
      </c>
      <c r="C915">
        <v>155</v>
      </c>
      <c r="D915" t="s">
        <v>20</v>
      </c>
      <c r="E915">
        <v>2021</v>
      </c>
      <c r="F915" t="s">
        <v>35</v>
      </c>
      <c r="G915">
        <v>140</v>
      </c>
      <c r="H915">
        <v>41.4</v>
      </c>
      <c r="I915">
        <v>10.199999999999999</v>
      </c>
      <c r="J915">
        <v>108594</v>
      </c>
      <c r="K915">
        <v>28</v>
      </c>
      <c r="L915">
        <v>30406</v>
      </c>
      <c r="M915">
        <v>139000</v>
      </c>
      <c r="N915">
        <v>160480</v>
      </c>
      <c r="O915">
        <v>58</v>
      </c>
      <c r="P915">
        <v>5</v>
      </c>
      <c r="Q915" t="s">
        <v>26</v>
      </c>
      <c r="R915" t="s">
        <v>27</v>
      </c>
    </row>
    <row r="916" spans="1:18" x14ac:dyDescent="0.3">
      <c r="A916" t="s">
        <v>28</v>
      </c>
      <c r="B916" t="s">
        <v>41</v>
      </c>
      <c r="C916">
        <v>125</v>
      </c>
      <c r="D916" t="s">
        <v>30</v>
      </c>
      <c r="E916">
        <v>2022</v>
      </c>
      <c r="F916" t="s">
        <v>35</v>
      </c>
      <c r="G916">
        <v>119</v>
      </c>
      <c r="H916">
        <v>59.4</v>
      </c>
      <c r="I916">
        <v>13.7</v>
      </c>
      <c r="J916">
        <v>71875</v>
      </c>
      <c r="K916">
        <v>28</v>
      </c>
      <c r="L916">
        <v>20125</v>
      </c>
      <c r="M916">
        <v>92000</v>
      </c>
      <c r="N916">
        <v>106677</v>
      </c>
      <c r="O916">
        <v>66</v>
      </c>
      <c r="P916">
        <v>11</v>
      </c>
      <c r="Q916" t="s">
        <v>37</v>
      </c>
      <c r="R916" t="s">
        <v>38</v>
      </c>
    </row>
    <row r="917" spans="1:18" x14ac:dyDescent="0.3">
      <c r="A917" t="s">
        <v>42</v>
      </c>
      <c r="B917" t="s">
        <v>110</v>
      </c>
      <c r="C917">
        <v>321</v>
      </c>
      <c r="D917" t="s">
        <v>34</v>
      </c>
      <c r="E917">
        <v>2021</v>
      </c>
      <c r="F917" t="s">
        <v>21</v>
      </c>
      <c r="G917">
        <v>156</v>
      </c>
      <c r="H917">
        <v>35.6</v>
      </c>
      <c r="I917">
        <v>18.2</v>
      </c>
      <c r="J917">
        <v>340625</v>
      </c>
      <c r="K917">
        <v>28</v>
      </c>
      <c r="L917">
        <v>95375</v>
      </c>
      <c r="M917">
        <v>436000</v>
      </c>
      <c r="N917">
        <v>499160</v>
      </c>
      <c r="O917">
        <v>82</v>
      </c>
      <c r="P917">
        <v>14.7</v>
      </c>
      <c r="Q917" t="s">
        <v>37</v>
      </c>
      <c r="R917" t="s">
        <v>38</v>
      </c>
    </row>
    <row r="918" spans="1:18" x14ac:dyDescent="0.3">
      <c r="A918" t="s">
        <v>50</v>
      </c>
      <c r="B918" t="s">
        <v>52</v>
      </c>
      <c r="C918">
        <v>199</v>
      </c>
      <c r="D918" t="s">
        <v>20</v>
      </c>
      <c r="E918">
        <v>2025</v>
      </c>
      <c r="F918" t="s">
        <v>21</v>
      </c>
      <c r="G918">
        <v>122</v>
      </c>
      <c r="H918">
        <v>43.1</v>
      </c>
      <c r="I918">
        <v>12.6</v>
      </c>
      <c r="J918">
        <v>159375</v>
      </c>
      <c r="K918">
        <v>28</v>
      </c>
      <c r="L918">
        <v>44625</v>
      </c>
      <c r="M918">
        <v>204000</v>
      </c>
      <c r="N918">
        <v>233266</v>
      </c>
      <c r="O918">
        <v>75</v>
      </c>
      <c r="P918">
        <v>7.7</v>
      </c>
      <c r="Q918" t="s">
        <v>22</v>
      </c>
      <c r="R918" t="s">
        <v>23</v>
      </c>
    </row>
    <row r="919" spans="1:18" x14ac:dyDescent="0.3">
      <c r="A919" t="s">
        <v>32</v>
      </c>
      <c r="B919" t="s">
        <v>73</v>
      </c>
      <c r="C919">
        <v>648</v>
      </c>
      <c r="D919" t="s">
        <v>34</v>
      </c>
      <c r="E919">
        <v>2022</v>
      </c>
      <c r="F919" t="s">
        <v>31</v>
      </c>
      <c r="G919">
        <v>166</v>
      </c>
      <c r="H919">
        <v>20.8</v>
      </c>
      <c r="I919">
        <v>13.2</v>
      </c>
      <c r="J919">
        <v>245802</v>
      </c>
      <c r="K919">
        <v>31</v>
      </c>
      <c r="L919">
        <v>76198</v>
      </c>
      <c r="M919">
        <v>322000</v>
      </c>
      <c r="N919">
        <v>374728</v>
      </c>
      <c r="O919">
        <v>64</v>
      </c>
      <c r="P919">
        <v>6.1</v>
      </c>
      <c r="Q919" t="s">
        <v>37</v>
      </c>
      <c r="R919" t="s">
        <v>38</v>
      </c>
    </row>
    <row r="920" spans="1:18" x14ac:dyDescent="0.3">
      <c r="A920" t="s">
        <v>39</v>
      </c>
      <c r="B920" t="s">
        <v>71</v>
      </c>
      <c r="C920">
        <v>159</v>
      </c>
      <c r="D920" t="s">
        <v>20</v>
      </c>
      <c r="E920">
        <v>2025</v>
      </c>
      <c r="F920" t="s">
        <v>21</v>
      </c>
      <c r="G920">
        <v>129</v>
      </c>
      <c r="H920">
        <v>44.6</v>
      </c>
      <c r="I920">
        <v>13.7</v>
      </c>
      <c r="J920">
        <v>100000</v>
      </c>
      <c r="K920">
        <v>28</v>
      </c>
      <c r="L920">
        <v>28000</v>
      </c>
      <c r="M920">
        <v>128000</v>
      </c>
      <c r="N920">
        <v>145212</v>
      </c>
      <c r="O920">
        <v>69</v>
      </c>
      <c r="P920">
        <v>8.6999999999999993</v>
      </c>
      <c r="Q920" t="s">
        <v>22</v>
      </c>
      <c r="R920" t="s">
        <v>23</v>
      </c>
    </row>
    <row r="921" spans="1:18" x14ac:dyDescent="0.3">
      <c r="A921" t="s">
        <v>39</v>
      </c>
      <c r="B921" t="s">
        <v>82</v>
      </c>
      <c r="C921">
        <v>99</v>
      </c>
      <c r="D921" t="s">
        <v>30</v>
      </c>
      <c r="E921">
        <v>2020</v>
      </c>
      <c r="F921" t="s">
        <v>31</v>
      </c>
      <c r="G921">
        <v>100</v>
      </c>
      <c r="H921">
        <v>78.2</v>
      </c>
      <c r="I921">
        <v>9.9</v>
      </c>
      <c r="J921">
        <v>50781</v>
      </c>
      <c r="K921">
        <v>28</v>
      </c>
      <c r="L921">
        <v>14219</v>
      </c>
      <c r="M921">
        <v>65000</v>
      </c>
      <c r="N921">
        <v>79733</v>
      </c>
      <c r="O921">
        <v>54</v>
      </c>
      <c r="P921">
        <v>1.7</v>
      </c>
      <c r="Q921" t="s">
        <v>57</v>
      </c>
      <c r="R921" t="s">
        <v>58</v>
      </c>
    </row>
    <row r="922" spans="1:18" x14ac:dyDescent="0.3">
      <c r="A922" t="s">
        <v>28</v>
      </c>
      <c r="B922" t="s">
        <v>91</v>
      </c>
      <c r="C922">
        <v>97</v>
      </c>
      <c r="D922" t="s">
        <v>30</v>
      </c>
      <c r="E922">
        <v>2025</v>
      </c>
      <c r="F922" t="s">
        <v>31</v>
      </c>
      <c r="G922">
        <v>97</v>
      </c>
      <c r="H922">
        <v>64.900000000000006</v>
      </c>
      <c r="I922">
        <v>9.3000000000000007</v>
      </c>
      <c r="J922">
        <v>58594</v>
      </c>
      <c r="K922">
        <v>28</v>
      </c>
      <c r="L922">
        <v>16406</v>
      </c>
      <c r="M922">
        <v>75000</v>
      </c>
      <c r="N922">
        <v>90991</v>
      </c>
      <c r="O922">
        <v>61</v>
      </c>
      <c r="P922">
        <v>14.6</v>
      </c>
      <c r="Q922" t="s">
        <v>37</v>
      </c>
      <c r="R922" t="s">
        <v>38</v>
      </c>
    </row>
    <row r="923" spans="1:18" x14ac:dyDescent="0.3">
      <c r="A923" t="s">
        <v>32</v>
      </c>
      <c r="B923" t="s">
        <v>85</v>
      </c>
      <c r="C923">
        <v>346</v>
      </c>
      <c r="D923" t="s">
        <v>34</v>
      </c>
      <c r="E923">
        <v>2020</v>
      </c>
      <c r="F923" t="s">
        <v>31</v>
      </c>
      <c r="G923">
        <v>165</v>
      </c>
      <c r="H923">
        <v>28.3</v>
      </c>
      <c r="I923">
        <v>15</v>
      </c>
      <c r="J923">
        <v>134375</v>
      </c>
      <c r="K923">
        <v>28</v>
      </c>
      <c r="L923">
        <v>37625</v>
      </c>
      <c r="M923">
        <v>172000</v>
      </c>
      <c r="N923">
        <v>198984</v>
      </c>
      <c r="O923">
        <v>65</v>
      </c>
      <c r="P923">
        <v>7.7</v>
      </c>
      <c r="Q923" t="s">
        <v>37</v>
      </c>
      <c r="R923" t="s">
        <v>38</v>
      </c>
    </row>
    <row r="924" spans="1:18" x14ac:dyDescent="0.3">
      <c r="A924" t="s">
        <v>18</v>
      </c>
      <c r="B924" t="s">
        <v>105</v>
      </c>
      <c r="C924">
        <v>471</v>
      </c>
      <c r="D924" t="s">
        <v>34</v>
      </c>
      <c r="E924">
        <v>2025</v>
      </c>
      <c r="F924" t="s">
        <v>21</v>
      </c>
      <c r="G924">
        <v>173</v>
      </c>
      <c r="H924">
        <v>20.6</v>
      </c>
      <c r="I924">
        <v>14.1</v>
      </c>
      <c r="J924">
        <v>455725</v>
      </c>
      <c r="K924">
        <v>31</v>
      </c>
      <c r="L924">
        <v>141275</v>
      </c>
      <c r="M924">
        <v>597000</v>
      </c>
      <c r="N924">
        <v>676966</v>
      </c>
      <c r="O924">
        <v>86</v>
      </c>
      <c r="P924">
        <v>10.199999999999999</v>
      </c>
      <c r="Q924" t="s">
        <v>37</v>
      </c>
      <c r="R924" t="s">
        <v>38</v>
      </c>
    </row>
    <row r="925" spans="1:18" x14ac:dyDescent="0.3">
      <c r="A925" t="s">
        <v>42</v>
      </c>
      <c r="B925" t="s">
        <v>110</v>
      </c>
      <c r="C925">
        <v>321</v>
      </c>
      <c r="D925" t="s">
        <v>34</v>
      </c>
      <c r="E925">
        <v>2024</v>
      </c>
      <c r="F925" t="s">
        <v>21</v>
      </c>
      <c r="G925">
        <v>144</v>
      </c>
      <c r="H925">
        <v>31.6</v>
      </c>
      <c r="I925">
        <v>19</v>
      </c>
      <c r="J925">
        <v>352344</v>
      </c>
      <c r="K925">
        <v>28</v>
      </c>
      <c r="L925">
        <v>98656</v>
      </c>
      <c r="M925">
        <v>451000</v>
      </c>
      <c r="N925">
        <v>523030</v>
      </c>
      <c r="O925">
        <v>75</v>
      </c>
      <c r="P925">
        <v>5.0999999999999996</v>
      </c>
      <c r="Q925" t="s">
        <v>22</v>
      </c>
      <c r="R925" t="s">
        <v>23</v>
      </c>
    </row>
    <row r="926" spans="1:18" x14ac:dyDescent="0.3">
      <c r="A926" t="s">
        <v>50</v>
      </c>
      <c r="B926" t="s">
        <v>109</v>
      </c>
      <c r="C926">
        <v>373</v>
      </c>
      <c r="D926" t="s">
        <v>34</v>
      </c>
      <c r="E926">
        <v>2021</v>
      </c>
      <c r="F926" t="s">
        <v>21</v>
      </c>
      <c r="G926">
        <v>199</v>
      </c>
      <c r="H926">
        <v>20.5</v>
      </c>
      <c r="I926">
        <v>17</v>
      </c>
      <c r="J926">
        <v>236641</v>
      </c>
      <c r="K926">
        <v>31</v>
      </c>
      <c r="L926">
        <v>73359</v>
      </c>
      <c r="M926">
        <v>310000</v>
      </c>
      <c r="N926">
        <v>360151</v>
      </c>
      <c r="O926">
        <v>80</v>
      </c>
      <c r="P926">
        <v>2</v>
      </c>
      <c r="Q926" t="s">
        <v>57</v>
      </c>
      <c r="R926" t="s">
        <v>58</v>
      </c>
    </row>
    <row r="927" spans="1:18" x14ac:dyDescent="0.3">
      <c r="A927" t="s">
        <v>42</v>
      </c>
      <c r="B927" t="s">
        <v>86</v>
      </c>
      <c r="C927">
        <v>155</v>
      </c>
      <c r="D927" t="s">
        <v>20</v>
      </c>
      <c r="E927">
        <v>2022</v>
      </c>
      <c r="F927" t="s">
        <v>21</v>
      </c>
      <c r="G927">
        <v>122</v>
      </c>
      <c r="H927">
        <v>42.5</v>
      </c>
      <c r="I927">
        <v>10.7</v>
      </c>
      <c r="J927">
        <v>146094</v>
      </c>
      <c r="K927">
        <v>28</v>
      </c>
      <c r="L927">
        <v>40906</v>
      </c>
      <c r="M927">
        <v>187000</v>
      </c>
      <c r="N927">
        <v>213815</v>
      </c>
      <c r="O927">
        <v>74</v>
      </c>
      <c r="P927">
        <v>2.2999999999999998</v>
      </c>
      <c r="Q927" t="s">
        <v>26</v>
      </c>
      <c r="R927" t="s">
        <v>27</v>
      </c>
    </row>
    <row r="928" spans="1:18" x14ac:dyDescent="0.3">
      <c r="A928" t="s">
        <v>39</v>
      </c>
      <c r="B928" t="s">
        <v>112</v>
      </c>
      <c r="C928">
        <v>197</v>
      </c>
      <c r="D928" t="s">
        <v>20</v>
      </c>
      <c r="E928">
        <v>2022</v>
      </c>
      <c r="F928" t="s">
        <v>21</v>
      </c>
      <c r="G928">
        <v>134</v>
      </c>
      <c r="H928">
        <v>37.700000000000003</v>
      </c>
      <c r="I928">
        <v>13.1</v>
      </c>
      <c r="J928">
        <v>110938</v>
      </c>
      <c r="K928">
        <v>28</v>
      </c>
      <c r="L928">
        <v>31062</v>
      </c>
      <c r="M928">
        <v>142000</v>
      </c>
      <c r="N928">
        <v>162608</v>
      </c>
      <c r="O928">
        <v>70</v>
      </c>
      <c r="P928">
        <v>14.8</v>
      </c>
      <c r="Q928" t="s">
        <v>37</v>
      </c>
      <c r="R928" t="s">
        <v>38</v>
      </c>
    </row>
    <row r="929" spans="1:18" x14ac:dyDescent="0.3">
      <c r="A929" t="s">
        <v>50</v>
      </c>
      <c r="B929" t="s">
        <v>104</v>
      </c>
      <c r="C929">
        <v>373</v>
      </c>
      <c r="D929" t="s">
        <v>34</v>
      </c>
      <c r="E929">
        <v>2024</v>
      </c>
      <c r="F929" t="s">
        <v>21</v>
      </c>
      <c r="G929">
        <v>183</v>
      </c>
      <c r="H929">
        <v>21.9</v>
      </c>
      <c r="I929">
        <v>19.399999999999999</v>
      </c>
      <c r="J929">
        <v>281679</v>
      </c>
      <c r="K929">
        <v>31</v>
      </c>
      <c r="L929">
        <v>87321</v>
      </c>
      <c r="M929">
        <v>369000</v>
      </c>
      <c r="N929">
        <v>416907</v>
      </c>
      <c r="O929">
        <v>75</v>
      </c>
      <c r="P929">
        <v>6.6</v>
      </c>
      <c r="Q929" t="s">
        <v>22</v>
      </c>
      <c r="R929" t="s">
        <v>23</v>
      </c>
    </row>
    <row r="930" spans="1:18" x14ac:dyDescent="0.3">
      <c r="A930" t="s">
        <v>18</v>
      </c>
      <c r="B930" t="s">
        <v>79</v>
      </c>
      <c r="C930">
        <v>293</v>
      </c>
      <c r="D930" t="s">
        <v>34</v>
      </c>
      <c r="E930">
        <v>2022</v>
      </c>
      <c r="F930" t="s">
        <v>21</v>
      </c>
      <c r="G930">
        <v>161</v>
      </c>
      <c r="H930">
        <v>31</v>
      </c>
      <c r="I930">
        <v>19.100000000000001</v>
      </c>
      <c r="J930">
        <v>208594</v>
      </c>
      <c r="K930">
        <v>28</v>
      </c>
      <c r="L930">
        <v>58406</v>
      </c>
      <c r="M930">
        <v>267000</v>
      </c>
      <c r="N930">
        <v>308463</v>
      </c>
      <c r="O930">
        <v>78</v>
      </c>
      <c r="P930">
        <v>8.1</v>
      </c>
      <c r="Q930" t="s">
        <v>22</v>
      </c>
      <c r="R930" t="s">
        <v>23</v>
      </c>
    </row>
    <row r="931" spans="1:18" x14ac:dyDescent="0.3">
      <c r="A931" t="s">
        <v>28</v>
      </c>
      <c r="B931" t="s">
        <v>69</v>
      </c>
      <c r="C931">
        <v>125</v>
      </c>
      <c r="D931" t="s">
        <v>30</v>
      </c>
      <c r="E931">
        <v>2022</v>
      </c>
      <c r="F931" t="s">
        <v>21</v>
      </c>
      <c r="G931">
        <v>105</v>
      </c>
      <c r="H931">
        <v>57.6</v>
      </c>
      <c r="I931">
        <v>11.5</v>
      </c>
      <c r="J931">
        <v>83594</v>
      </c>
      <c r="K931">
        <v>28</v>
      </c>
      <c r="L931">
        <v>23406</v>
      </c>
      <c r="M931">
        <v>107000</v>
      </c>
      <c r="N931">
        <v>126114</v>
      </c>
      <c r="O931">
        <v>67</v>
      </c>
      <c r="P931">
        <v>12.9</v>
      </c>
      <c r="Q931" t="s">
        <v>37</v>
      </c>
      <c r="R931" t="s">
        <v>38</v>
      </c>
    </row>
    <row r="932" spans="1:18" x14ac:dyDescent="0.3">
      <c r="A932" t="s">
        <v>50</v>
      </c>
      <c r="B932" t="s">
        <v>52</v>
      </c>
      <c r="C932">
        <v>199</v>
      </c>
      <c r="D932" t="s">
        <v>20</v>
      </c>
      <c r="E932">
        <v>2023</v>
      </c>
      <c r="F932" t="s">
        <v>21</v>
      </c>
      <c r="G932">
        <v>134</v>
      </c>
      <c r="H932">
        <v>37.9</v>
      </c>
      <c r="I932">
        <v>10.4</v>
      </c>
      <c r="J932">
        <v>164844</v>
      </c>
      <c r="K932">
        <v>28</v>
      </c>
      <c r="L932">
        <v>46156</v>
      </c>
      <c r="M932">
        <v>211000</v>
      </c>
      <c r="N932">
        <v>244522</v>
      </c>
      <c r="O932">
        <v>75</v>
      </c>
      <c r="P932">
        <v>10</v>
      </c>
      <c r="Q932" t="s">
        <v>22</v>
      </c>
      <c r="R932" t="s">
        <v>23</v>
      </c>
    </row>
    <row r="933" spans="1:18" x14ac:dyDescent="0.3">
      <c r="A933" t="s">
        <v>24</v>
      </c>
      <c r="B933" t="s">
        <v>84</v>
      </c>
      <c r="C933">
        <v>124</v>
      </c>
      <c r="D933" t="s">
        <v>30</v>
      </c>
      <c r="E933">
        <v>2024</v>
      </c>
      <c r="F933" t="s">
        <v>35</v>
      </c>
      <c r="G933">
        <v>115</v>
      </c>
      <c r="H933">
        <v>51</v>
      </c>
      <c r="I933">
        <v>11.9</v>
      </c>
      <c r="J933">
        <v>77344</v>
      </c>
      <c r="K933">
        <v>28</v>
      </c>
      <c r="L933">
        <v>21656</v>
      </c>
      <c r="M933">
        <v>99000</v>
      </c>
      <c r="N933">
        <v>119124</v>
      </c>
      <c r="O933">
        <v>58</v>
      </c>
      <c r="P933">
        <v>5.4</v>
      </c>
      <c r="Q933" t="s">
        <v>37</v>
      </c>
      <c r="R933" t="s">
        <v>38</v>
      </c>
    </row>
    <row r="934" spans="1:18" x14ac:dyDescent="0.3">
      <c r="A934" t="s">
        <v>42</v>
      </c>
      <c r="B934" t="s">
        <v>70</v>
      </c>
      <c r="C934">
        <v>249</v>
      </c>
      <c r="D934" t="s">
        <v>20</v>
      </c>
      <c r="E934">
        <v>2024</v>
      </c>
      <c r="F934" t="s">
        <v>21</v>
      </c>
      <c r="G934">
        <v>146</v>
      </c>
      <c r="H934">
        <v>29.3</v>
      </c>
      <c r="I934">
        <v>18.399999999999999</v>
      </c>
      <c r="J934">
        <v>121094</v>
      </c>
      <c r="K934">
        <v>28</v>
      </c>
      <c r="L934">
        <v>33906</v>
      </c>
      <c r="M934">
        <v>155000</v>
      </c>
      <c r="N934">
        <v>180482</v>
      </c>
      <c r="O934">
        <v>70</v>
      </c>
      <c r="P934">
        <v>9</v>
      </c>
      <c r="Q934" t="s">
        <v>22</v>
      </c>
      <c r="R934" t="s">
        <v>23</v>
      </c>
    </row>
    <row r="935" spans="1:18" x14ac:dyDescent="0.3">
      <c r="A935" t="s">
        <v>28</v>
      </c>
      <c r="B935" t="s">
        <v>99</v>
      </c>
      <c r="C935">
        <v>199</v>
      </c>
      <c r="D935" t="s">
        <v>20</v>
      </c>
      <c r="E935">
        <v>2025</v>
      </c>
      <c r="F935" t="s">
        <v>21</v>
      </c>
      <c r="G935">
        <v>126</v>
      </c>
      <c r="H935">
        <v>39.1</v>
      </c>
      <c r="I935">
        <v>11.7</v>
      </c>
      <c r="J935">
        <v>121094</v>
      </c>
      <c r="K935">
        <v>28</v>
      </c>
      <c r="L935">
        <v>33906</v>
      </c>
      <c r="M935">
        <v>155000</v>
      </c>
      <c r="N935">
        <v>179564</v>
      </c>
      <c r="O935">
        <v>68</v>
      </c>
      <c r="P935">
        <v>14.3</v>
      </c>
      <c r="Q935" t="s">
        <v>37</v>
      </c>
      <c r="R935" t="s">
        <v>38</v>
      </c>
    </row>
    <row r="936" spans="1:18" x14ac:dyDescent="0.3">
      <c r="A936" t="s">
        <v>39</v>
      </c>
      <c r="B936" t="s">
        <v>80</v>
      </c>
      <c r="C936">
        <v>109</v>
      </c>
      <c r="D936" t="s">
        <v>30</v>
      </c>
      <c r="E936">
        <v>2025</v>
      </c>
      <c r="F936" t="s">
        <v>31</v>
      </c>
      <c r="G936">
        <v>99</v>
      </c>
      <c r="H936">
        <v>63</v>
      </c>
      <c r="I936">
        <v>9.8000000000000007</v>
      </c>
      <c r="J936">
        <v>62500</v>
      </c>
      <c r="K936">
        <v>28</v>
      </c>
      <c r="L936">
        <v>17500</v>
      </c>
      <c r="M936">
        <v>80000</v>
      </c>
      <c r="N936">
        <v>92837</v>
      </c>
      <c r="O936">
        <v>60</v>
      </c>
      <c r="P936">
        <v>8.3000000000000007</v>
      </c>
      <c r="Q936" t="s">
        <v>37</v>
      </c>
      <c r="R936" t="s">
        <v>38</v>
      </c>
    </row>
    <row r="937" spans="1:18" x14ac:dyDescent="0.3">
      <c r="A937" t="s">
        <v>24</v>
      </c>
      <c r="B937" t="s">
        <v>84</v>
      </c>
      <c r="C937">
        <v>124</v>
      </c>
      <c r="D937" t="s">
        <v>30</v>
      </c>
      <c r="E937">
        <v>2023</v>
      </c>
      <c r="F937" t="s">
        <v>35</v>
      </c>
      <c r="G937">
        <v>114</v>
      </c>
      <c r="H937">
        <v>61.1</v>
      </c>
      <c r="I937">
        <v>11.9</v>
      </c>
      <c r="J937">
        <v>78125</v>
      </c>
      <c r="K937">
        <v>28</v>
      </c>
      <c r="L937">
        <v>21875</v>
      </c>
      <c r="M937">
        <v>100000</v>
      </c>
      <c r="N937">
        <v>116573</v>
      </c>
      <c r="O937">
        <v>64</v>
      </c>
      <c r="P937">
        <v>3.8</v>
      </c>
      <c r="Q937" t="s">
        <v>26</v>
      </c>
      <c r="R937" t="s">
        <v>27</v>
      </c>
    </row>
    <row r="938" spans="1:18" x14ac:dyDescent="0.3">
      <c r="A938" t="s">
        <v>55</v>
      </c>
      <c r="B938" t="s">
        <v>75</v>
      </c>
      <c r="C938">
        <v>155</v>
      </c>
      <c r="D938" t="s">
        <v>20</v>
      </c>
      <c r="E938">
        <v>2024</v>
      </c>
      <c r="F938" t="s">
        <v>35</v>
      </c>
      <c r="G938">
        <v>138</v>
      </c>
      <c r="H938">
        <v>46.2</v>
      </c>
      <c r="I938">
        <v>13.1</v>
      </c>
      <c r="J938">
        <v>116406</v>
      </c>
      <c r="K938">
        <v>28</v>
      </c>
      <c r="L938">
        <v>32594</v>
      </c>
      <c r="M938">
        <v>149000</v>
      </c>
      <c r="N938">
        <v>171876</v>
      </c>
      <c r="O938">
        <v>70</v>
      </c>
      <c r="P938">
        <v>12.5</v>
      </c>
      <c r="Q938" t="s">
        <v>37</v>
      </c>
      <c r="R938" t="s">
        <v>38</v>
      </c>
    </row>
    <row r="939" spans="1:18" x14ac:dyDescent="0.3">
      <c r="A939" t="s">
        <v>24</v>
      </c>
      <c r="B939" t="s">
        <v>77</v>
      </c>
      <c r="C939">
        <v>160</v>
      </c>
      <c r="D939" t="s">
        <v>20</v>
      </c>
      <c r="E939">
        <v>2023</v>
      </c>
      <c r="F939" t="s">
        <v>21</v>
      </c>
      <c r="G939">
        <v>130</v>
      </c>
      <c r="H939">
        <v>43.7</v>
      </c>
      <c r="I939">
        <v>13.7</v>
      </c>
      <c r="J939">
        <v>94531</v>
      </c>
      <c r="K939">
        <v>28</v>
      </c>
      <c r="L939">
        <v>26469</v>
      </c>
      <c r="M939">
        <v>121000</v>
      </c>
      <c r="N939">
        <v>142361</v>
      </c>
      <c r="O939">
        <v>67</v>
      </c>
      <c r="P939">
        <v>3.1</v>
      </c>
      <c r="Q939" t="s">
        <v>26</v>
      </c>
      <c r="R939" t="s">
        <v>27</v>
      </c>
    </row>
    <row r="940" spans="1:18" x14ac:dyDescent="0.3">
      <c r="A940" t="s">
        <v>42</v>
      </c>
      <c r="B940" t="s">
        <v>86</v>
      </c>
      <c r="C940">
        <v>155</v>
      </c>
      <c r="D940" t="s">
        <v>20</v>
      </c>
      <c r="E940">
        <v>2021</v>
      </c>
      <c r="F940" t="s">
        <v>21</v>
      </c>
      <c r="G940">
        <v>120</v>
      </c>
      <c r="H940">
        <v>39.6</v>
      </c>
      <c r="I940">
        <v>12.5</v>
      </c>
      <c r="J940">
        <v>165625</v>
      </c>
      <c r="K940">
        <v>28</v>
      </c>
      <c r="L940">
        <v>46375</v>
      </c>
      <c r="M940">
        <v>212000</v>
      </c>
      <c r="N940">
        <v>244060</v>
      </c>
      <c r="O940">
        <v>74</v>
      </c>
      <c r="P940">
        <v>14.2</v>
      </c>
      <c r="Q940" t="s">
        <v>37</v>
      </c>
      <c r="R940" t="s">
        <v>38</v>
      </c>
    </row>
    <row r="941" spans="1:18" x14ac:dyDescent="0.3">
      <c r="A941" t="s">
        <v>18</v>
      </c>
      <c r="B941" t="s">
        <v>61</v>
      </c>
      <c r="C941">
        <v>124</v>
      </c>
      <c r="D941" t="s">
        <v>30</v>
      </c>
      <c r="E941">
        <v>2022</v>
      </c>
      <c r="F941" t="s">
        <v>21</v>
      </c>
      <c r="G941">
        <v>110</v>
      </c>
      <c r="H941">
        <v>55.6</v>
      </c>
      <c r="I941">
        <v>10.8</v>
      </c>
      <c r="J941">
        <v>71094</v>
      </c>
      <c r="K941">
        <v>28</v>
      </c>
      <c r="L941">
        <v>19906</v>
      </c>
      <c r="M941">
        <v>91000</v>
      </c>
      <c r="N941">
        <v>108918</v>
      </c>
      <c r="O941">
        <v>75</v>
      </c>
      <c r="P941">
        <v>6.3</v>
      </c>
      <c r="Q941" t="s">
        <v>22</v>
      </c>
      <c r="R941" t="s">
        <v>23</v>
      </c>
    </row>
    <row r="942" spans="1:18" x14ac:dyDescent="0.3">
      <c r="A942" t="s">
        <v>24</v>
      </c>
      <c r="B942" t="s">
        <v>65</v>
      </c>
      <c r="C942">
        <v>149</v>
      </c>
      <c r="D942" t="s">
        <v>20</v>
      </c>
      <c r="E942">
        <v>2020</v>
      </c>
      <c r="F942" t="s">
        <v>35</v>
      </c>
      <c r="G942">
        <v>114</v>
      </c>
      <c r="H942">
        <v>48.6</v>
      </c>
      <c r="I942">
        <v>12.8</v>
      </c>
      <c r="J942">
        <v>96875</v>
      </c>
      <c r="K942">
        <v>28</v>
      </c>
      <c r="L942">
        <v>27125</v>
      </c>
      <c r="M942">
        <v>124000</v>
      </c>
      <c r="N942">
        <v>144027</v>
      </c>
      <c r="O942">
        <v>70</v>
      </c>
      <c r="P942">
        <v>12.5</v>
      </c>
      <c r="Q942" t="s">
        <v>37</v>
      </c>
      <c r="R942" t="s">
        <v>38</v>
      </c>
    </row>
    <row r="943" spans="1:18" x14ac:dyDescent="0.3">
      <c r="A943" t="s">
        <v>42</v>
      </c>
      <c r="B943" t="s">
        <v>43</v>
      </c>
      <c r="C943">
        <v>149</v>
      </c>
      <c r="D943" t="s">
        <v>20</v>
      </c>
      <c r="E943">
        <v>2023</v>
      </c>
      <c r="F943" t="s">
        <v>35</v>
      </c>
      <c r="G943">
        <v>115</v>
      </c>
      <c r="H943">
        <v>55.3</v>
      </c>
      <c r="I943">
        <v>11.7</v>
      </c>
      <c r="J943">
        <v>100000</v>
      </c>
      <c r="K943">
        <v>28</v>
      </c>
      <c r="L943">
        <v>28000</v>
      </c>
      <c r="M943">
        <v>128000</v>
      </c>
      <c r="N943">
        <v>149745</v>
      </c>
      <c r="O943">
        <v>63</v>
      </c>
      <c r="P943">
        <v>14</v>
      </c>
      <c r="Q943" t="s">
        <v>37</v>
      </c>
      <c r="R943" t="s">
        <v>38</v>
      </c>
    </row>
    <row r="944" spans="1:18" x14ac:dyDescent="0.3">
      <c r="A944" t="s">
        <v>24</v>
      </c>
      <c r="B944" t="s">
        <v>100</v>
      </c>
      <c r="C944">
        <v>115</v>
      </c>
      <c r="D944" t="s">
        <v>30</v>
      </c>
      <c r="E944">
        <v>2024</v>
      </c>
      <c r="F944" t="s">
        <v>35</v>
      </c>
      <c r="G944">
        <v>118</v>
      </c>
      <c r="H944">
        <v>59.6</v>
      </c>
      <c r="I944">
        <v>13.8</v>
      </c>
      <c r="J944">
        <v>63281</v>
      </c>
      <c r="K944">
        <v>28</v>
      </c>
      <c r="L944">
        <v>17719</v>
      </c>
      <c r="M944">
        <v>81000</v>
      </c>
      <c r="N944">
        <v>94310</v>
      </c>
      <c r="O944">
        <v>67</v>
      </c>
      <c r="P944">
        <v>5</v>
      </c>
      <c r="Q944" t="s">
        <v>26</v>
      </c>
      <c r="R944" t="s">
        <v>27</v>
      </c>
    </row>
    <row r="945" spans="1:18" x14ac:dyDescent="0.3">
      <c r="A945" t="s">
        <v>18</v>
      </c>
      <c r="B945" t="s">
        <v>61</v>
      </c>
      <c r="C945">
        <v>124</v>
      </c>
      <c r="D945" t="s">
        <v>30</v>
      </c>
      <c r="E945">
        <v>2024</v>
      </c>
      <c r="F945" t="s">
        <v>21</v>
      </c>
      <c r="G945">
        <v>118</v>
      </c>
      <c r="H945">
        <v>48.6</v>
      </c>
      <c r="I945">
        <v>13.7</v>
      </c>
      <c r="J945">
        <v>82812</v>
      </c>
      <c r="K945">
        <v>28</v>
      </c>
      <c r="L945">
        <v>23188</v>
      </c>
      <c r="M945">
        <v>106000</v>
      </c>
      <c r="N945">
        <v>125957</v>
      </c>
      <c r="O945">
        <v>67</v>
      </c>
      <c r="P945">
        <v>7.9</v>
      </c>
      <c r="Q945" t="s">
        <v>22</v>
      </c>
      <c r="R945" t="s">
        <v>23</v>
      </c>
    </row>
    <row r="946" spans="1:18" x14ac:dyDescent="0.3">
      <c r="A946" t="s">
        <v>18</v>
      </c>
      <c r="B946" t="s">
        <v>61</v>
      </c>
      <c r="C946">
        <v>124</v>
      </c>
      <c r="D946" t="s">
        <v>30</v>
      </c>
      <c r="E946">
        <v>2023</v>
      </c>
      <c r="F946" t="s">
        <v>21</v>
      </c>
      <c r="G946">
        <v>118</v>
      </c>
      <c r="H946">
        <v>52.2</v>
      </c>
      <c r="I946">
        <v>12.2</v>
      </c>
      <c r="J946">
        <v>78125</v>
      </c>
      <c r="K946">
        <v>28</v>
      </c>
      <c r="L946">
        <v>21875</v>
      </c>
      <c r="M946">
        <v>100000</v>
      </c>
      <c r="N946">
        <v>119359</v>
      </c>
      <c r="O946">
        <v>69</v>
      </c>
      <c r="P946">
        <v>4.0999999999999996</v>
      </c>
      <c r="Q946" t="s">
        <v>26</v>
      </c>
      <c r="R946" t="s">
        <v>27</v>
      </c>
    </row>
    <row r="947" spans="1:18" x14ac:dyDescent="0.3">
      <c r="A947" t="s">
        <v>18</v>
      </c>
      <c r="B947" t="s">
        <v>19</v>
      </c>
      <c r="C947">
        <v>184</v>
      </c>
      <c r="D947" t="s">
        <v>20</v>
      </c>
      <c r="E947">
        <v>2022</v>
      </c>
      <c r="F947" t="s">
        <v>21</v>
      </c>
      <c r="G947">
        <v>140</v>
      </c>
      <c r="H947">
        <v>41.1</v>
      </c>
      <c r="I947">
        <v>13.1</v>
      </c>
      <c r="J947">
        <v>103906</v>
      </c>
      <c r="K947">
        <v>28</v>
      </c>
      <c r="L947">
        <v>29094</v>
      </c>
      <c r="M947">
        <v>133000</v>
      </c>
      <c r="N947">
        <v>154359</v>
      </c>
      <c r="O947">
        <v>75</v>
      </c>
      <c r="P947">
        <v>1.1000000000000001</v>
      </c>
      <c r="Q947" t="s">
        <v>57</v>
      </c>
      <c r="R947" t="s">
        <v>58</v>
      </c>
    </row>
    <row r="948" spans="1:18" x14ac:dyDescent="0.3">
      <c r="A948" t="s">
        <v>42</v>
      </c>
      <c r="B948" t="s">
        <v>110</v>
      </c>
      <c r="C948">
        <v>321</v>
      </c>
      <c r="D948" t="s">
        <v>34</v>
      </c>
      <c r="E948">
        <v>2020</v>
      </c>
      <c r="F948" t="s">
        <v>21</v>
      </c>
      <c r="G948">
        <v>140</v>
      </c>
      <c r="H948">
        <v>33.299999999999997</v>
      </c>
      <c r="I948">
        <v>14.1</v>
      </c>
      <c r="J948">
        <v>339062</v>
      </c>
      <c r="K948">
        <v>28</v>
      </c>
      <c r="L948">
        <v>94938</v>
      </c>
      <c r="M948">
        <v>434000</v>
      </c>
      <c r="N948">
        <v>503004</v>
      </c>
      <c r="O948">
        <v>76</v>
      </c>
      <c r="P948">
        <v>1.5</v>
      </c>
      <c r="Q948" t="s">
        <v>57</v>
      </c>
      <c r="R948" t="s">
        <v>58</v>
      </c>
    </row>
    <row r="949" spans="1:18" x14ac:dyDescent="0.3">
      <c r="A949" t="s">
        <v>32</v>
      </c>
      <c r="B949" t="s">
        <v>97</v>
      </c>
      <c r="C949">
        <v>452</v>
      </c>
      <c r="D949" t="s">
        <v>34</v>
      </c>
      <c r="E949">
        <v>2023</v>
      </c>
      <c r="F949" t="s">
        <v>21</v>
      </c>
      <c r="G949">
        <v>196</v>
      </c>
      <c r="H949">
        <v>21.1</v>
      </c>
      <c r="I949">
        <v>14.3</v>
      </c>
      <c r="J949">
        <v>233588</v>
      </c>
      <c r="K949">
        <v>31</v>
      </c>
      <c r="L949">
        <v>72412</v>
      </c>
      <c r="M949">
        <v>306000</v>
      </c>
      <c r="N949">
        <v>353849</v>
      </c>
      <c r="O949">
        <v>83</v>
      </c>
      <c r="P949">
        <v>4.4000000000000004</v>
      </c>
      <c r="Q949" t="s">
        <v>26</v>
      </c>
      <c r="R949" t="s">
        <v>27</v>
      </c>
    </row>
    <row r="950" spans="1:18" x14ac:dyDescent="0.3">
      <c r="A950" t="s">
        <v>50</v>
      </c>
      <c r="B950" t="s">
        <v>94</v>
      </c>
      <c r="C950">
        <v>124</v>
      </c>
      <c r="D950" t="s">
        <v>20</v>
      </c>
      <c r="E950">
        <v>2022</v>
      </c>
      <c r="F950" t="s">
        <v>21</v>
      </c>
      <c r="G950">
        <v>117</v>
      </c>
      <c r="H950">
        <v>60.8</v>
      </c>
      <c r="I950">
        <v>12.1</v>
      </c>
      <c r="J950">
        <v>143750</v>
      </c>
      <c r="K950">
        <v>28</v>
      </c>
      <c r="L950">
        <v>40250</v>
      </c>
      <c r="M950">
        <v>184000</v>
      </c>
      <c r="N950">
        <v>214791</v>
      </c>
      <c r="O950">
        <v>77</v>
      </c>
      <c r="P950">
        <v>6.6</v>
      </c>
      <c r="Q950" t="s">
        <v>22</v>
      </c>
      <c r="R950" t="s">
        <v>23</v>
      </c>
    </row>
    <row r="951" spans="1:18" x14ac:dyDescent="0.3">
      <c r="A951" t="s">
        <v>50</v>
      </c>
      <c r="B951" t="s">
        <v>109</v>
      </c>
      <c r="C951">
        <v>373</v>
      </c>
      <c r="D951" t="s">
        <v>34</v>
      </c>
      <c r="E951">
        <v>2025</v>
      </c>
      <c r="F951" t="s">
        <v>21</v>
      </c>
      <c r="G951">
        <v>210</v>
      </c>
      <c r="H951">
        <v>22.7</v>
      </c>
      <c r="I951">
        <v>19.399999999999999</v>
      </c>
      <c r="J951">
        <v>245038</v>
      </c>
      <c r="K951">
        <v>31</v>
      </c>
      <c r="L951">
        <v>75962</v>
      </c>
      <c r="M951">
        <v>321000</v>
      </c>
      <c r="N951">
        <v>368722</v>
      </c>
      <c r="O951">
        <v>77</v>
      </c>
      <c r="P951">
        <v>12.8</v>
      </c>
      <c r="Q951" t="s">
        <v>37</v>
      </c>
      <c r="R951" t="s">
        <v>38</v>
      </c>
    </row>
    <row r="952" spans="1:18" x14ac:dyDescent="0.3">
      <c r="A952" t="s">
        <v>55</v>
      </c>
      <c r="B952" t="s">
        <v>108</v>
      </c>
      <c r="C952">
        <v>249</v>
      </c>
      <c r="D952" t="s">
        <v>20</v>
      </c>
      <c r="E952">
        <v>2024</v>
      </c>
      <c r="F952" t="s">
        <v>21</v>
      </c>
      <c r="G952">
        <v>160</v>
      </c>
      <c r="H952">
        <v>31.5</v>
      </c>
      <c r="I952">
        <v>18</v>
      </c>
      <c r="J952">
        <v>143750</v>
      </c>
      <c r="K952">
        <v>28</v>
      </c>
      <c r="L952">
        <v>40250</v>
      </c>
      <c r="M952">
        <v>184000</v>
      </c>
      <c r="N952">
        <v>209061</v>
      </c>
      <c r="O952">
        <v>72</v>
      </c>
      <c r="P952">
        <v>3.1</v>
      </c>
      <c r="Q952" t="s">
        <v>26</v>
      </c>
      <c r="R952" t="s">
        <v>27</v>
      </c>
    </row>
    <row r="953" spans="1:18" x14ac:dyDescent="0.3">
      <c r="A953" t="s">
        <v>18</v>
      </c>
      <c r="B953" t="s">
        <v>68</v>
      </c>
      <c r="C953">
        <v>109</v>
      </c>
      <c r="D953" t="s">
        <v>30</v>
      </c>
      <c r="E953">
        <v>2021</v>
      </c>
      <c r="F953" t="s">
        <v>31</v>
      </c>
      <c r="G953">
        <v>96</v>
      </c>
      <c r="H953">
        <v>72.3</v>
      </c>
      <c r="I953">
        <v>8.6</v>
      </c>
      <c r="J953">
        <v>61719</v>
      </c>
      <c r="K953">
        <v>28</v>
      </c>
      <c r="L953">
        <v>17281</v>
      </c>
      <c r="M953">
        <v>79000</v>
      </c>
      <c r="N953">
        <v>92788</v>
      </c>
      <c r="O953">
        <v>59</v>
      </c>
      <c r="P953">
        <v>4.4000000000000004</v>
      </c>
      <c r="Q953" t="s">
        <v>26</v>
      </c>
      <c r="R953" t="s">
        <v>27</v>
      </c>
    </row>
    <row r="954" spans="1:18" x14ac:dyDescent="0.3">
      <c r="A954" t="s">
        <v>55</v>
      </c>
      <c r="B954" t="s">
        <v>75</v>
      </c>
      <c r="C954">
        <v>155</v>
      </c>
      <c r="D954" t="s">
        <v>20</v>
      </c>
      <c r="E954">
        <v>2021</v>
      </c>
      <c r="F954" t="s">
        <v>35</v>
      </c>
      <c r="G954">
        <v>121</v>
      </c>
      <c r="H954">
        <v>44.7</v>
      </c>
      <c r="I954">
        <v>12.5</v>
      </c>
      <c r="J954">
        <v>119531</v>
      </c>
      <c r="K954">
        <v>28</v>
      </c>
      <c r="L954">
        <v>33469</v>
      </c>
      <c r="M954">
        <v>153000</v>
      </c>
      <c r="N954">
        <v>180293</v>
      </c>
      <c r="O954">
        <v>62</v>
      </c>
      <c r="P954">
        <v>2.2000000000000002</v>
      </c>
      <c r="Q954" t="s">
        <v>26</v>
      </c>
      <c r="R954" t="s">
        <v>27</v>
      </c>
    </row>
    <row r="955" spans="1:18" x14ac:dyDescent="0.3">
      <c r="A955" t="s">
        <v>18</v>
      </c>
      <c r="B955" t="s">
        <v>95</v>
      </c>
      <c r="C955">
        <v>160</v>
      </c>
      <c r="D955" t="s">
        <v>20</v>
      </c>
      <c r="E955">
        <v>2022</v>
      </c>
      <c r="F955" t="s">
        <v>35</v>
      </c>
      <c r="G955">
        <v>125</v>
      </c>
      <c r="H955">
        <v>39.799999999999997</v>
      </c>
      <c r="I955">
        <v>13.7</v>
      </c>
      <c r="J955">
        <v>84375</v>
      </c>
      <c r="K955">
        <v>28</v>
      </c>
      <c r="L955">
        <v>23625</v>
      </c>
      <c r="M955">
        <v>108000</v>
      </c>
      <c r="N955">
        <v>126730</v>
      </c>
      <c r="O955">
        <v>63</v>
      </c>
      <c r="P955">
        <v>2.1</v>
      </c>
      <c r="Q955" t="s">
        <v>26</v>
      </c>
      <c r="R955" t="s">
        <v>27</v>
      </c>
    </row>
    <row r="956" spans="1:18" x14ac:dyDescent="0.3">
      <c r="A956" t="s">
        <v>24</v>
      </c>
      <c r="B956" t="s">
        <v>67</v>
      </c>
      <c r="C956">
        <v>199</v>
      </c>
      <c r="D956" t="s">
        <v>20</v>
      </c>
      <c r="E956">
        <v>2023</v>
      </c>
      <c r="F956" t="s">
        <v>21</v>
      </c>
      <c r="G956">
        <v>140</v>
      </c>
      <c r="H956">
        <v>41.9</v>
      </c>
      <c r="I956">
        <v>11.5</v>
      </c>
      <c r="J956">
        <v>114844</v>
      </c>
      <c r="K956">
        <v>28</v>
      </c>
      <c r="L956">
        <v>32156</v>
      </c>
      <c r="M956">
        <v>147000</v>
      </c>
      <c r="N956">
        <v>168423</v>
      </c>
      <c r="O956">
        <v>68</v>
      </c>
      <c r="P956">
        <v>3.9</v>
      </c>
      <c r="Q956" t="s">
        <v>26</v>
      </c>
      <c r="R956" t="s">
        <v>27</v>
      </c>
    </row>
    <row r="957" spans="1:18" x14ac:dyDescent="0.3">
      <c r="A957" t="s">
        <v>32</v>
      </c>
      <c r="B957" t="s">
        <v>66</v>
      </c>
      <c r="C957">
        <v>349</v>
      </c>
      <c r="D957" t="s">
        <v>34</v>
      </c>
      <c r="E957">
        <v>2024</v>
      </c>
      <c r="F957" t="s">
        <v>35</v>
      </c>
      <c r="G957">
        <v>145</v>
      </c>
      <c r="H957">
        <v>28.2</v>
      </c>
      <c r="I957">
        <v>19</v>
      </c>
      <c r="J957">
        <v>167188</v>
      </c>
      <c r="K957">
        <v>28</v>
      </c>
      <c r="L957">
        <v>46812</v>
      </c>
      <c r="M957">
        <v>214000</v>
      </c>
      <c r="N957">
        <v>245312</v>
      </c>
      <c r="O957">
        <v>76</v>
      </c>
      <c r="P957">
        <v>8.9</v>
      </c>
      <c r="Q957" t="s">
        <v>22</v>
      </c>
      <c r="R957" t="s">
        <v>23</v>
      </c>
    </row>
    <row r="958" spans="1:18" x14ac:dyDescent="0.3">
      <c r="A958" t="s">
        <v>18</v>
      </c>
      <c r="B958" t="s">
        <v>78</v>
      </c>
      <c r="C958">
        <v>184</v>
      </c>
      <c r="D958" t="s">
        <v>20</v>
      </c>
      <c r="E958">
        <v>2022</v>
      </c>
      <c r="F958" t="s">
        <v>21</v>
      </c>
      <c r="G958">
        <v>120</v>
      </c>
      <c r="H958">
        <v>43</v>
      </c>
      <c r="I958">
        <v>13.7</v>
      </c>
      <c r="J958">
        <v>125781</v>
      </c>
      <c r="K958">
        <v>28</v>
      </c>
      <c r="L958">
        <v>35219</v>
      </c>
      <c r="M958">
        <v>161000</v>
      </c>
      <c r="N958">
        <v>191182</v>
      </c>
      <c r="O958">
        <v>71</v>
      </c>
      <c r="P958">
        <v>8.3000000000000007</v>
      </c>
      <c r="Q958" t="s">
        <v>22</v>
      </c>
      <c r="R958" t="s">
        <v>23</v>
      </c>
    </row>
    <row r="959" spans="1:18" x14ac:dyDescent="0.3">
      <c r="A959" t="s">
        <v>24</v>
      </c>
      <c r="B959" t="s">
        <v>65</v>
      </c>
      <c r="C959">
        <v>149</v>
      </c>
      <c r="D959" t="s">
        <v>20</v>
      </c>
      <c r="E959">
        <v>2020</v>
      </c>
      <c r="F959" t="s">
        <v>35</v>
      </c>
      <c r="G959">
        <v>116</v>
      </c>
      <c r="H959">
        <v>51.3</v>
      </c>
      <c r="I959">
        <v>11.3</v>
      </c>
      <c r="J959">
        <v>91406</v>
      </c>
      <c r="K959">
        <v>28</v>
      </c>
      <c r="L959">
        <v>25594</v>
      </c>
      <c r="M959">
        <v>117000</v>
      </c>
      <c r="N959">
        <v>136214</v>
      </c>
      <c r="O959">
        <v>63</v>
      </c>
      <c r="P959">
        <v>13.6</v>
      </c>
      <c r="Q959" t="s">
        <v>37</v>
      </c>
      <c r="R959" t="s">
        <v>38</v>
      </c>
    </row>
    <row r="960" spans="1:18" x14ac:dyDescent="0.3">
      <c r="A960" t="s">
        <v>24</v>
      </c>
      <c r="B960" t="s">
        <v>74</v>
      </c>
      <c r="C960">
        <v>199</v>
      </c>
      <c r="D960" t="s">
        <v>20</v>
      </c>
      <c r="E960">
        <v>2025</v>
      </c>
      <c r="F960" t="s">
        <v>21</v>
      </c>
      <c r="G960">
        <v>122</v>
      </c>
      <c r="H960">
        <v>41.8</v>
      </c>
      <c r="I960">
        <v>11.2</v>
      </c>
      <c r="J960">
        <v>127344</v>
      </c>
      <c r="K960">
        <v>28</v>
      </c>
      <c r="L960">
        <v>35656</v>
      </c>
      <c r="M960">
        <v>163000</v>
      </c>
      <c r="N960">
        <v>188972</v>
      </c>
      <c r="O960">
        <v>72</v>
      </c>
      <c r="P960">
        <v>10.9</v>
      </c>
      <c r="Q960" t="s">
        <v>37</v>
      </c>
      <c r="R960" t="s">
        <v>38</v>
      </c>
    </row>
    <row r="961" spans="1:18" x14ac:dyDescent="0.3">
      <c r="A961" t="s">
        <v>42</v>
      </c>
      <c r="B961" t="s">
        <v>86</v>
      </c>
      <c r="C961">
        <v>155</v>
      </c>
      <c r="D961" t="s">
        <v>20</v>
      </c>
      <c r="E961">
        <v>2024</v>
      </c>
      <c r="F961" t="s">
        <v>21</v>
      </c>
      <c r="G961">
        <v>128</v>
      </c>
      <c r="H961">
        <v>38.700000000000003</v>
      </c>
      <c r="I961">
        <v>11.2</v>
      </c>
      <c r="J961">
        <v>154688</v>
      </c>
      <c r="K961">
        <v>28</v>
      </c>
      <c r="L961">
        <v>43312</v>
      </c>
      <c r="M961">
        <v>198000</v>
      </c>
      <c r="N961">
        <v>233952</v>
      </c>
      <c r="O961">
        <v>73</v>
      </c>
      <c r="P961">
        <v>2.4</v>
      </c>
      <c r="Q961" t="s">
        <v>26</v>
      </c>
      <c r="R961" t="s">
        <v>27</v>
      </c>
    </row>
    <row r="962" spans="1:18" x14ac:dyDescent="0.3">
      <c r="A962" t="s">
        <v>24</v>
      </c>
      <c r="B962" t="s">
        <v>67</v>
      </c>
      <c r="C962">
        <v>199</v>
      </c>
      <c r="D962" t="s">
        <v>20</v>
      </c>
      <c r="E962">
        <v>2024</v>
      </c>
      <c r="F962" t="s">
        <v>21</v>
      </c>
      <c r="G962">
        <v>128</v>
      </c>
      <c r="H962">
        <v>43</v>
      </c>
      <c r="I962">
        <v>11.5</v>
      </c>
      <c r="J962">
        <v>125781</v>
      </c>
      <c r="K962">
        <v>28</v>
      </c>
      <c r="L962">
        <v>35219</v>
      </c>
      <c r="M962">
        <v>161000</v>
      </c>
      <c r="N962">
        <v>188429</v>
      </c>
      <c r="O962">
        <v>72</v>
      </c>
      <c r="P962">
        <v>9.6999999999999993</v>
      </c>
      <c r="Q962" t="s">
        <v>22</v>
      </c>
      <c r="R962" t="s">
        <v>23</v>
      </c>
    </row>
    <row r="963" spans="1:18" x14ac:dyDescent="0.3">
      <c r="A963" t="s">
        <v>24</v>
      </c>
      <c r="B963" t="s">
        <v>77</v>
      </c>
      <c r="C963">
        <v>160</v>
      </c>
      <c r="D963" t="s">
        <v>20</v>
      </c>
      <c r="E963">
        <v>2023</v>
      </c>
      <c r="F963" t="s">
        <v>21</v>
      </c>
      <c r="G963">
        <v>121</v>
      </c>
      <c r="H963">
        <v>41.5</v>
      </c>
      <c r="I963">
        <v>11.2</v>
      </c>
      <c r="J963">
        <v>102344</v>
      </c>
      <c r="K963">
        <v>28</v>
      </c>
      <c r="L963">
        <v>28656</v>
      </c>
      <c r="M963">
        <v>131000</v>
      </c>
      <c r="N963">
        <v>151290</v>
      </c>
      <c r="O963">
        <v>75</v>
      </c>
      <c r="P963">
        <v>4.5</v>
      </c>
      <c r="Q963" t="s">
        <v>26</v>
      </c>
      <c r="R963" t="s">
        <v>27</v>
      </c>
    </row>
    <row r="964" spans="1:18" x14ac:dyDescent="0.3">
      <c r="A964" t="s">
        <v>55</v>
      </c>
      <c r="B964" t="s">
        <v>89</v>
      </c>
      <c r="C964">
        <v>155</v>
      </c>
      <c r="D964" t="s">
        <v>20</v>
      </c>
      <c r="E964">
        <v>2021</v>
      </c>
      <c r="F964" t="s">
        <v>35</v>
      </c>
      <c r="G964">
        <v>125</v>
      </c>
      <c r="H964">
        <v>41.3</v>
      </c>
      <c r="I964">
        <v>12.6</v>
      </c>
      <c r="J964">
        <v>103125</v>
      </c>
      <c r="K964">
        <v>28</v>
      </c>
      <c r="L964">
        <v>28875</v>
      </c>
      <c r="M964">
        <v>132000</v>
      </c>
      <c r="N964">
        <v>150474</v>
      </c>
      <c r="O964">
        <v>63</v>
      </c>
      <c r="P964">
        <v>4.4000000000000004</v>
      </c>
      <c r="Q964" t="s">
        <v>26</v>
      </c>
      <c r="R964" t="s">
        <v>27</v>
      </c>
    </row>
    <row r="965" spans="1:18" x14ac:dyDescent="0.3">
      <c r="A965" t="s">
        <v>32</v>
      </c>
      <c r="B965" t="s">
        <v>97</v>
      </c>
      <c r="C965">
        <v>452</v>
      </c>
      <c r="D965" t="s">
        <v>34</v>
      </c>
      <c r="E965">
        <v>2022</v>
      </c>
      <c r="F965" t="s">
        <v>21</v>
      </c>
      <c r="G965">
        <v>181</v>
      </c>
      <c r="H965">
        <v>19.399999999999999</v>
      </c>
      <c r="I965">
        <v>19.3</v>
      </c>
      <c r="J965">
        <v>209160</v>
      </c>
      <c r="K965">
        <v>31</v>
      </c>
      <c r="L965">
        <v>64840</v>
      </c>
      <c r="M965">
        <v>274000</v>
      </c>
      <c r="N965">
        <v>312458</v>
      </c>
      <c r="O965">
        <v>80</v>
      </c>
      <c r="P965">
        <v>7.5</v>
      </c>
      <c r="Q965" t="s">
        <v>22</v>
      </c>
      <c r="R965" t="s">
        <v>23</v>
      </c>
    </row>
    <row r="966" spans="1:18" x14ac:dyDescent="0.3">
      <c r="A966" t="s">
        <v>55</v>
      </c>
      <c r="B966" t="s">
        <v>56</v>
      </c>
      <c r="C966">
        <v>249</v>
      </c>
      <c r="D966" t="s">
        <v>34</v>
      </c>
      <c r="E966">
        <v>2025</v>
      </c>
      <c r="F966" t="s">
        <v>21</v>
      </c>
      <c r="G966">
        <v>148</v>
      </c>
      <c r="H966">
        <v>29</v>
      </c>
      <c r="I966">
        <v>13.5</v>
      </c>
      <c r="J966">
        <v>160156</v>
      </c>
      <c r="K966">
        <v>28</v>
      </c>
      <c r="L966">
        <v>44844</v>
      </c>
      <c r="M966">
        <v>205000</v>
      </c>
      <c r="N966">
        <v>233636</v>
      </c>
      <c r="O966">
        <v>77</v>
      </c>
      <c r="P966">
        <v>14.2</v>
      </c>
      <c r="Q966" t="s">
        <v>37</v>
      </c>
      <c r="R966" t="s">
        <v>38</v>
      </c>
    </row>
    <row r="967" spans="1:18" x14ac:dyDescent="0.3">
      <c r="A967" t="s">
        <v>50</v>
      </c>
      <c r="B967" t="s">
        <v>72</v>
      </c>
      <c r="C967">
        <v>373</v>
      </c>
      <c r="D967" t="s">
        <v>34</v>
      </c>
      <c r="E967">
        <v>2022</v>
      </c>
      <c r="F967" t="s">
        <v>21</v>
      </c>
      <c r="G967">
        <v>191</v>
      </c>
      <c r="H967">
        <v>20.399999999999999</v>
      </c>
      <c r="I967">
        <v>15.9</v>
      </c>
      <c r="J967">
        <v>243511</v>
      </c>
      <c r="K967">
        <v>31</v>
      </c>
      <c r="L967">
        <v>75489</v>
      </c>
      <c r="M967">
        <v>319000</v>
      </c>
      <c r="N967">
        <v>367644</v>
      </c>
      <c r="O967">
        <v>78</v>
      </c>
      <c r="P967">
        <v>1.7</v>
      </c>
      <c r="Q967" t="s">
        <v>57</v>
      </c>
      <c r="R967" t="s">
        <v>58</v>
      </c>
    </row>
    <row r="968" spans="1:18" x14ac:dyDescent="0.3">
      <c r="A968" t="s">
        <v>18</v>
      </c>
      <c r="B968" t="s">
        <v>78</v>
      </c>
      <c r="C968">
        <v>184</v>
      </c>
      <c r="D968" t="s">
        <v>20</v>
      </c>
      <c r="E968">
        <v>2024</v>
      </c>
      <c r="F968" t="s">
        <v>21</v>
      </c>
      <c r="G968">
        <v>129</v>
      </c>
      <c r="H968">
        <v>42.8</v>
      </c>
      <c r="I968">
        <v>14</v>
      </c>
      <c r="J968">
        <v>116406</v>
      </c>
      <c r="K968">
        <v>28</v>
      </c>
      <c r="L968">
        <v>32594</v>
      </c>
      <c r="M968">
        <v>149000</v>
      </c>
      <c r="N968">
        <v>173704</v>
      </c>
      <c r="O968">
        <v>69</v>
      </c>
      <c r="P968">
        <v>10</v>
      </c>
      <c r="Q968" t="s">
        <v>22</v>
      </c>
      <c r="R968" t="s">
        <v>23</v>
      </c>
    </row>
    <row r="969" spans="1:18" x14ac:dyDescent="0.3">
      <c r="A969" t="s">
        <v>42</v>
      </c>
      <c r="B969" t="s">
        <v>45</v>
      </c>
      <c r="C969">
        <v>149</v>
      </c>
      <c r="D969" t="s">
        <v>20</v>
      </c>
      <c r="E969">
        <v>2020</v>
      </c>
      <c r="F969" t="s">
        <v>21</v>
      </c>
      <c r="G969">
        <v>106</v>
      </c>
      <c r="H969">
        <v>60.5</v>
      </c>
      <c r="I969">
        <v>11.9</v>
      </c>
      <c r="J969">
        <v>101562</v>
      </c>
      <c r="K969">
        <v>28</v>
      </c>
      <c r="L969">
        <v>28438</v>
      </c>
      <c r="M969">
        <v>130000</v>
      </c>
      <c r="N969">
        <v>153909</v>
      </c>
      <c r="O969">
        <v>79</v>
      </c>
      <c r="P969">
        <v>10</v>
      </c>
      <c r="Q969" t="s">
        <v>22</v>
      </c>
      <c r="R969" t="s">
        <v>23</v>
      </c>
    </row>
    <row r="970" spans="1:18" x14ac:dyDescent="0.3">
      <c r="A970" t="s">
        <v>50</v>
      </c>
      <c r="B970" t="s">
        <v>72</v>
      </c>
      <c r="C970">
        <v>373</v>
      </c>
      <c r="D970" t="s">
        <v>34</v>
      </c>
      <c r="E970">
        <v>2020</v>
      </c>
      <c r="F970" t="s">
        <v>21</v>
      </c>
      <c r="G970">
        <v>209</v>
      </c>
      <c r="H970">
        <v>19.8</v>
      </c>
      <c r="I970">
        <v>15.8</v>
      </c>
      <c r="J970">
        <v>245038</v>
      </c>
      <c r="K970">
        <v>31</v>
      </c>
      <c r="L970">
        <v>75962</v>
      </c>
      <c r="M970">
        <v>321000</v>
      </c>
      <c r="N970">
        <v>368315</v>
      </c>
      <c r="O970">
        <v>76</v>
      </c>
      <c r="P970">
        <v>7.9</v>
      </c>
      <c r="Q970" t="s">
        <v>22</v>
      </c>
      <c r="R970" t="s">
        <v>23</v>
      </c>
    </row>
    <row r="971" spans="1:18" x14ac:dyDescent="0.3">
      <c r="A971" t="s">
        <v>42</v>
      </c>
      <c r="B971" t="s">
        <v>43</v>
      </c>
      <c r="C971">
        <v>149</v>
      </c>
      <c r="D971" t="s">
        <v>20</v>
      </c>
      <c r="E971">
        <v>2020</v>
      </c>
      <c r="F971" t="s">
        <v>35</v>
      </c>
      <c r="G971">
        <v>108</v>
      </c>
      <c r="H971">
        <v>60.8</v>
      </c>
      <c r="I971">
        <v>10.6</v>
      </c>
      <c r="J971">
        <v>101562</v>
      </c>
      <c r="K971">
        <v>28</v>
      </c>
      <c r="L971">
        <v>28438</v>
      </c>
      <c r="M971">
        <v>130000</v>
      </c>
      <c r="N971">
        <v>153532</v>
      </c>
      <c r="O971">
        <v>67</v>
      </c>
      <c r="P971">
        <v>4.0999999999999996</v>
      </c>
      <c r="Q971" t="s">
        <v>26</v>
      </c>
      <c r="R971" t="s">
        <v>27</v>
      </c>
    </row>
    <row r="972" spans="1:18" x14ac:dyDescent="0.3">
      <c r="A972" t="s">
        <v>32</v>
      </c>
      <c r="B972" t="s">
        <v>88</v>
      </c>
      <c r="C972">
        <v>349</v>
      </c>
      <c r="D972" t="s">
        <v>34</v>
      </c>
      <c r="E972">
        <v>2024</v>
      </c>
      <c r="F972" t="s">
        <v>35</v>
      </c>
      <c r="G972">
        <v>165</v>
      </c>
      <c r="H972">
        <v>29.6</v>
      </c>
      <c r="I972">
        <v>19.899999999999999</v>
      </c>
      <c r="J972">
        <v>160938</v>
      </c>
      <c r="K972">
        <v>28</v>
      </c>
      <c r="L972">
        <v>45062</v>
      </c>
      <c r="M972">
        <v>206000</v>
      </c>
      <c r="N972">
        <v>237920</v>
      </c>
      <c r="O972">
        <v>71</v>
      </c>
      <c r="P972">
        <v>12.4</v>
      </c>
      <c r="Q972" t="s">
        <v>37</v>
      </c>
      <c r="R972" t="s">
        <v>38</v>
      </c>
    </row>
    <row r="973" spans="1:18" x14ac:dyDescent="0.3">
      <c r="A973" t="s">
        <v>28</v>
      </c>
      <c r="B973" t="s">
        <v>98</v>
      </c>
      <c r="C973">
        <v>163</v>
      </c>
      <c r="D973" t="s">
        <v>20</v>
      </c>
      <c r="E973">
        <v>2023</v>
      </c>
      <c r="F973" t="s">
        <v>21</v>
      </c>
      <c r="G973">
        <v>130</v>
      </c>
      <c r="H973">
        <v>37.700000000000003</v>
      </c>
      <c r="I973">
        <v>11.1</v>
      </c>
      <c r="J973">
        <v>101562</v>
      </c>
      <c r="K973">
        <v>28</v>
      </c>
      <c r="L973">
        <v>28438</v>
      </c>
      <c r="M973">
        <v>130000</v>
      </c>
      <c r="N973">
        <v>151916</v>
      </c>
      <c r="O973">
        <v>77</v>
      </c>
      <c r="P973">
        <v>12.1</v>
      </c>
      <c r="Q973" t="s">
        <v>37</v>
      </c>
      <c r="R973" t="s">
        <v>38</v>
      </c>
    </row>
    <row r="974" spans="1:18" x14ac:dyDescent="0.3">
      <c r="A974" t="s">
        <v>24</v>
      </c>
      <c r="B974" t="s">
        <v>101</v>
      </c>
      <c r="C974">
        <v>102</v>
      </c>
      <c r="D974" t="s">
        <v>30</v>
      </c>
      <c r="E974">
        <v>2020</v>
      </c>
      <c r="F974" t="s">
        <v>31</v>
      </c>
      <c r="G974">
        <v>98</v>
      </c>
      <c r="H974">
        <v>76.099999999999994</v>
      </c>
      <c r="I974">
        <v>9</v>
      </c>
      <c r="J974">
        <v>57031</v>
      </c>
      <c r="K974">
        <v>28</v>
      </c>
      <c r="L974">
        <v>15969</v>
      </c>
      <c r="M974">
        <v>73000</v>
      </c>
      <c r="N974">
        <v>86216</v>
      </c>
      <c r="O974">
        <v>65</v>
      </c>
      <c r="P974">
        <v>7.3</v>
      </c>
      <c r="Q974" t="s">
        <v>37</v>
      </c>
      <c r="R974" t="s">
        <v>38</v>
      </c>
    </row>
    <row r="975" spans="1:18" x14ac:dyDescent="0.3">
      <c r="A975" t="s">
        <v>39</v>
      </c>
      <c r="B975" t="s">
        <v>82</v>
      </c>
      <c r="C975">
        <v>99</v>
      </c>
      <c r="D975" t="s">
        <v>30</v>
      </c>
      <c r="E975">
        <v>2022</v>
      </c>
      <c r="F975" t="s">
        <v>31</v>
      </c>
      <c r="G975">
        <v>100</v>
      </c>
      <c r="H975">
        <v>74.599999999999994</v>
      </c>
      <c r="I975">
        <v>9.4</v>
      </c>
      <c r="J975">
        <v>53906</v>
      </c>
      <c r="K975">
        <v>28</v>
      </c>
      <c r="L975">
        <v>15094</v>
      </c>
      <c r="M975">
        <v>69000</v>
      </c>
      <c r="N975">
        <v>83080</v>
      </c>
      <c r="O975">
        <v>57</v>
      </c>
      <c r="P975">
        <v>2.2999999999999998</v>
      </c>
      <c r="Q975" t="s">
        <v>26</v>
      </c>
      <c r="R975" t="s">
        <v>27</v>
      </c>
    </row>
    <row r="976" spans="1:18" x14ac:dyDescent="0.3">
      <c r="A976" t="s">
        <v>32</v>
      </c>
      <c r="B976" t="s">
        <v>92</v>
      </c>
      <c r="C976">
        <v>452</v>
      </c>
      <c r="D976" t="s">
        <v>34</v>
      </c>
      <c r="E976">
        <v>2020</v>
      </c>
      <c r="F976" t="s">
        <v>21</v>
      </c>
      <c r="G976">
        <v>164</v>
      </c>
      <c r="H976">
        <v>23</v>
      </c>
      <c r="I976">
        <v>17.7</v>
      </c>
      <c r="J976">
        <v>219847</v>
      </c>
      <c r="K976">
        <v>31</v>
      </c>
      <c r="L976">
        <v>68153</v>
      </c>
      <c r="M976">
        <v>288000</v>
      </c>
      <c r="N976">
        <v>336377</v>
      </c>
      <c r="O976">
        <v>84</v>
      </c>
      <c r="P976">
        <v>1.8</v>
      </c>
      <c r="Q976" t="s">
        <v>111</v>
      </c>
      <c r="R976" t="s">
        <v>58</v>
      </c>
    </row>
    <row r="977" spans="1:18" x14ac:dyDescent="0.3">
      <c r="A977" t="s">
        <v>42</v>
      </c>
      <c r="B977" t="s">
        <v>45</v>
      </c>
      <c r="C977">
        <v>149</v>
      </c>
      <c r="D977" t="s">
        <v>20</v>
      </c>
      <c r="E977">
        <v>2025</v>
      </c>
      <c r="F977" t="s">
        <v>21</v>
      </c>
      <c r="G977">
        <v>115</v>
      </c>
      <c r="H977">
        <v>59.1</v>
      </c>
      <c r="I977">
        <v>10.6</v>
      </c>
      <c r="J977">
        <v>110938</v>
      </c>
      <c r="K977">
        <v>28</v>
      </c>
      <c r="L977">
        <v>31062</v>
      </c>
      <c r="M977">
        <v>142000</v>
      </c>
      <c r="N977">
        <v>161838</v>
      </c>
      <c r="O977">
        <v>73</v>
      </c>
      <c r="P977">
        <v>10.9</v>
      </c>
      <c r="Q977" t="s">
        <v>37</v>
      </c>
      <c r="R977" t="s">
        <v>38</v>
      </c>
    </row>
    <row r="978" spans="1:18" x14ac:dyDescent="0.3">
      <c r="A978" t="s">
        <v>42</v>
      </c>
      <c r="B978" t="s">
        <v>110</v>
      </c>
      <c r="C978">
        <v>321</v>
      </c>
      <c r="D978" t="s">
        <v>34</v>
      </c>
      <c r="E978">
        <v>2023</v>
      </c>
      <c r="F978" t="s">
        <v>21</v>
      </c>
      <c r="G978">
        <v>159</v>
      </c>
      <c r="H978">
        <v>35.6</v>
      </c>
      <c r="I978">
        <v>14.3</v>
      </c>
      <c r="J978">
        <v>329688</v>
      </c>
      <c r="K978">
        <v>28</v>
      </c>
      <c r="L978">
        <v>92312</v>
      </c>
      <c r="M978">
        <v>422000</v>
      </c>
      <c r="N978">
        <v>481931</v>
      </c>
      <c r="O978">
        <v>84</v>
      </c>
      <c r="P978">
        <v>3.8</v>
      </c>
      <c r="Q978" t="s">
        <v>26</v>
      </c>
      <c r="R978" t="s">
        <v>27</v>
      </c>
    </row>
    <row r="979" spans="1:18" x14ac:dyDescent="0.3">
      <c r="A979" t="s">
        <v>39</v>
      </c>
      <c r="B979" t="s">
        <v>64</v>
      </c>
      <c r="C979">
        <v>159</v>
      </c>
      <c r="D979" t="s">
        <v>20</v>
      </c>
      <c r="E979">
        <v>2025</v>
      </c>
      <c r="F979" t="s">
        <v>35</v>
      </c>
      <c r="G979">
        <v>124</v>
      </c>
      <c r="H979">
        <v>43.5</v>
      </c>
      <c r="I979">
        <v>10.4</v>
      </c>
      <c r="J979">
        <v>92969</v>
      </c>
      <c r="K979">
        <v>28</v>
      </c>
      <c r="L979">
        <v>26031</v>
      </c>
      <c r="M979">
        <v>119000</v>
      </c>
      <c r="N979">
        <v>141985</v>
      </c>
      <c r="O979">
        <v>66</v>
      </c>
      <c r="P979">
        <v>13.3</v>
      </c>
      <c r="Q979" t="s">
        <v>37</v>
      </c>
      <c r="R979" t="s">
        <v>38</v>
      </c>
    </row>
    <row r="980" spans="1:18" x14ac:dyDescent="0.3">
      <c r="A980" t="s">
        <v>28</v>
      </c>
      <c r="B980" t="s">
        <v>48</v>
      </c>
      <c r="C980">
        <v>110</v>
      </c>
      <c r="D980" t="s">
        <v>30</v>
      </c>
      <c r="E980">
        <v>2024</v>
      </c>
      <c r="F980" t="s">
        <v>35</v>
      </c>
      <c r="G980">
        <v>96</v>
      </c>
      <c r="H980">
        <v>70.5</v>
      </c>
      <c r="I980">
        <v>8.1999999999999993</v>
      </c>
      <c r="J980">
        <v>66406</v>
      </c>
      <c r="K980">
        <v>28</v>
      </c>
      <c r="L980">
        <v>18594</v>
      </c>
      <c r="M980">
        <v>85000</v>
      </c>
      <c r="N980">
        <v>99745</v>
      </c>
      <c r="O980">
        <v>67</v>
      </c>
      <c r="P980">
        <v>2.7</v>
      </c>
      <c r="Q980" t="s">
        <v>26</v>
      </c>
      <c r="R980" t="s">
        <v>27</v>
      </c>
    </row>
    <row r="981" spans="1:18" x14ac:dyDescent="0.3">
      <c r="A981" t="s">
        <v>50</v>
      </c>
      <c r="B981" t="s">
        <v>109</v>
      </c>
      <c r="C981">
        <v>373</v>
      </c>
      <c r="D981" t="s">
        <v>34</v>
      </c>
      <c r="E981">
        <v>2025</v>
      </c>
      <c r="F981" t="s">
        <v>21</v>
      </c>
      <c r="G981">
        <v>177</v>
      </c>
      <c r="H981">
        <v>19.600000000000001</v>
      </c>
      <c r="I981">
        <v>15.7</v>
      </c>
      <c r="J981">
        <v>244275</v>
      </c>
      <c r="K981">
        <v>31</v>
      </c>
      <c r="L981">
        <v>75725</v>
      </c>
      <c r="M981">
        <v>320000</v>
      </c>
      <c r="N981">
        <v>366404</v>
      </c>
      <c r="O981">
        <v>76</v>
      </c>
      <c r="P981">
        <v>2.4</v>
      </c>
      <c r="Q981" t="s">
        <v>26</v>
      </c>
      <c r="R981" t="s">
        <v>27</v>
      </c>
    </row>
    <row r="982" spans="1:18" x14ac:dyDescent="0.3">
      <c r="A982" t="s">
        <v>50</v>
      </c>
      <c r="B982" t="s">
        <v>81</v>
      </c>
      <c r="C982">
        <v>199</v>
      </c>
      <c r="D982" t="s">
        <v>20</v>
      </c>
      <c r="E982">
        <v>2025</v>
      </c>
      <c r="F982" t="s">
        <v>21</v>
      </c>
      <c r="G982">
        <v>135</v>
      </c>
      <c r="H982">
        <v>42.3</v>
      </c>
      <c r="I982">
        <v>10.199999999999999</v>
      </c>
      <c r="J982">
        <v>159375</v>
      </c>
      <c r="K982">
        <v>28</v>
      </c>
      <c r="L982">
        <v>44625</v>
      </c>
      <c r="M982">
        <v>204000</v>
      </c>
      <c r="N982">
        <v>231837</v>
      </c>
      <c r="O982">
        <v>76</v>
      </c>
      <c r="P982">
        <v>7.1</v>
      </c>
      <c r="Q982" t="s">
        <v>22</v>
      </c>
      <c r="R982" t="s">
        <v>23</v>
      </c>
    </row>
    <row r="983" spans="1:18" x14ac:dyDescent="0.3">
      <c r="A983" t="s">
        <v>39</v>
      </c>
      <c r="B983" t="s">
        <v>40</v>
      </c>
      <c r="C983">
        <v>109</v>
      </c>
      <c r="D983" t="s">
        <v>30</v>
      </c>
      <c r="E983">
        <v>2022</v>
      </c>
      <c r="F983" t="s">
        <v>35</v>
      </c>
      <c r="G983">
        <v>92</v>
      </c>
      <c r="H983">
        <v>71.3</v>
      </c>
      <c r="I983">
        <v>8.5</v>
      </c>
      <c r="J983">
        <v>68750</v>
      </c>
      <c r="K983">
        <v>28</v>
      </c>
      <c r="L983">
        <v>19250</v>
      </c>
      <c r="M983">
        <v>88000</v>
      </c>
      <c r="N983">
        <v>100692</v>
      </c>
      <c r="O983">
        <v>62</v>
      </c>
      <c r="P983">
        <v>8.4</v>
      </c>
      <c r="Q983" t="s">
        <v>37</v>
      </c>
      <c r="R983" t="s">
        <v>38</v>
      </c>
    </row>
    <row r="984" spans="1:18" x14ac:dyDescent="0.3">
      <c r="A984" t="s">
        <v>50</v>
      </c>
      <c r="B984" t="s">
        <v>52</v>
      </c>
      <c r="C984">
        <v>199</v>
      </c>
      <c r="D984" t="s">
        <v>20</v>
      </c>
      <c r="E984">
        <v>2022</v>
      </c>
      <c r="F984" t="s">
        <v>21</v>
      </c>
      <c r="G984">
        <v>126</v>
      </c>
      <c r="H984">
        <v>39.700000000000003</v>
      </c>
      <c r="I984">
        <v>12.5</v>
      </c>
      <c r="J984">
        <v>153906</v>
      </c>
      <c r="K984">
        <v>28</v>
      </c>
      <c r="L984">
        <v>43094</v>
      </c>
      <c r="M984">
        <v>197000</v>
      </c>
      <c r="N984">
        <v>227193</v>
      </c>
      <c r="O984">
        <v>70</v>
      </c>
      <c r="P984">
        <v>12</v>
      </c>
      <c r="Q984" t="s">
        <v>37</v>
      </c>
      <c r="R984" t="s">
        <v>38</v>
      </c>
    </row>
    <row r="985" spans="1:18" x14ac:dyDescent="0.3">
      <c r="A985" t="s">
        <v>39</v>
      </c>
      <c r="B985" t="s">
        <v>71</v>
      </c>
      <c r="C985">
        <v>159</v>
      </c>
      <c r="D985" t="s">
        <v>20</v>
      </c>
      <c r="E985">
        <v>2025</v>
      </c>
      <c r="F985" t="s">
        <v>21</v>
      </c>
      <c r="G985">
        <v>129</v>
      </c>
      <c r="H985">
        <v>43.2</v>
      </c>
      <c r="I985">
        <v>10.3</v>
      </c>
      <c r="J985">
        <v>109375</v>
      </c>
      <c r="K985">
        <v>28</v>
      </c>
      <c r="L985">
        <v>30625</v>
      </c>
      <c r="M985">
        <v>140000</v>
      </c>
      <c r="N985">
        <v>162206</v>
      </c>
      <c r="O985">
        <v>69</v>
      </c>
      <c r="P985">
        <v>3.4</v>
      </c>
      <c r="Q985" t="s">
        <v>26</v>
      </c>
      <c r="R985" t="s">
        <v>27</v>
      </c>
    </row>
    <row r="986" spans="1:18" x14ac:dyDescent="0.3">
      <c r="A986" t="s">
        <v>24</v>
      </c>
      <c r="B986" t="s">
        <v>84</v>
      </c>
      <c r="C986">
        <v>124</v>
      </c>
      <c r="D986" t="s">
        <v>30</v>
      </c>
      <c r="E986">
        <v>2022</v>
      </c>
      <c r="F986" t="s">
        <v>35</v>
      </c>
      <c r="G986">
        <v>115</v>
      </c>
      <c r="H986">
        <v>54.7</v>
      </c>
      <c r="I986">
        <v>13.5</v>
      </c>
      <c r="J986">
        <v>71875</v>
      </c>
      <c r="K986">
        <v>28</v>
      </c>
      <c r="L986">
        <v>20125</v>
      </c>
      <c r="M986">
        <v>92000</v>
      </c>
      <c r="N986">
        <v>110294</v>
      </c>
      <c r="O986">
        <v>57</v>
      </c>
      <c r="P986">
        <v>3.5</v>
      </c>
      <c r="Q986" t="s">
        <v>26</v>
      </c>
      <c r="R986" t="s">
        <v>27</v>
      </c>
    </row>
    <row r="987" spans="1:18" x14ac:dyDescent="0.3">
      <c r="A987" t="s">
        <v>24</v>
      </c>
      <c r="B987" t="s">
        <v>101</v>
      </c>
      <c r="C987">
        <v>102</v>
      </c>
      <c r="D987" t="s">
        <v>30</v>
      </c>
      <c r="E987">
        <v>2020</v>
      </c>
      <c r="F987" t="s">
        <v>31</v>
      </c>
      <c r="G987">
        <v>100</v>
      </c>
      <c r="H987">
        <v>71.400000000000006</v>
      </c>
      <c r="I987">
        <v>9.6</v>
      </c>
      <c r="J987">
        <v>54688</v>
      </c>
      <c r="K987">
        <v>28</v>
      </c>
      <c r="L987">
        <v>15312</v>
      </c>
      <c r="M987">
        <v>70000</v>
      </c>
      <c r="N987">
        <v>84860</v>
      </c>
      <c r="O987">
        <v>58</v>
      </c>
      <c r="P987">
        <v>7.6</v>
      </c>
      <c r="Q987" t="s">
        <v>37</v>
      </c>
      <c r="R987" t="s">
        <v>38</v>
      </c>
    </row>
    <row r="988" spans="1:18" x14ac:dyDescent="0.3">
      <c r="A988" t="s">
        <v>39</v>
      </c>
      <c r="B988" t="s">
        <v>112</v>
      </c>
      <c r="C988">
        <v>197</v>
      </c>
      <c r="D988" t="s">
        <v>20</v>
      </c>
      <c r="E988">
        <v>2022</v>
      </c>
      <c r="F988" t="s">
        <v>21</v>
      </c>
      <c r="G988">
        <v>123</v>
      </c>
      <c r="H988">
        <v>44.8</v>
      </c>
      <c r="I988">
        <v>11.8</v>
      </c>
      <c r="J988">
        <v>123438</v>
      </c>
      <c r="K988">
        <v>28</v>
      </c>
      <c r="L988">
        <v>34562</v>
      </c>
      <c r="M988">
        <v>158000</v>
      </c>
      <c r="N988">
        <v>181828</v>
      </c>
      <c r="O988">
        <v>70</v>
      </c>
      <c r="P988">
        <v>12.3</v>
      </c>
      <c r="Q988" t="s">
        <v>37</v>
      </c>
      <c r="R988" t="s">
        <v>38</v>
      </c>
    </row>
    <row r="989" spans="1:18" x14ac:dyDescent="0.3">
      <c r="A989" t="s">
        <v>32</v>
      </c>
      <c r="B989" t="s">
        <v>33</v>
      </c>
      <c r="C989">
        <v>346</v>
      </c>
      <c r="D989" t="s">
        <v>34</v>
      </c>
      <c r="E989">
        <v>2024</v>
      </c>
      <c r="F989" t="s">
        <v>35</v>
      </c>
      <c r="G989">
        <v>151</v>
      </c>
      <c r="H989">
        <v>31.7</v>
      </c>
      <c r="I989">
        <v>18.399999999999999</v>
      </c>
      <c r="J989">
        <v>155469</v>
      </c>
      <c r="K989">
        <v>28</v>
      </c>
      <c r="L989">
        <v>43531</v>
      </c>
      <c r="M989">
        <v>199000</v>
      </c>
      <c r="N989">
        <v>228367</v>
      </c>
      <c r="O989">
        <v>70</v>
      </c>
      <c r="P989">
        <v>10.9</v>
      </c>
      <c r="Q989" t="s">
        <v>37</v>
      </c>
      <c r="R989" t="s">
        <v>38</v>
      </c>
    </row>
    <row r="990" spans="1:18" x14ac:dyDescent="0.3">
      <c r="A990" t="s">
        <v>42</v>
      </c>
      <c r="B990" t="s">
        <v>59</v>
      </c>
      <c r="C990">
        <v>155</v>
      </c>
      <c r="D990" t="s">
        <v>20</v>
      </c>
      <c r="E990">
        <v>2021</v>
      </c>
      <c r="F990" t="s">
        <v>21</v>
      </c>
      <c r="G990">
        <v>133</v>
      </c>
      <c r="H990">
        <v>38.5</v>
      </c>
      <c r="I990">
        <v>11.4</v>
      </c>
      <c r="J990">
        <v>124219</v>
      </c>
      <c r="K990">
        <v>28</v>
      </c>
      <c r="L990">
        <v>34781</v>
      </c>
      <c r="M990">
        <v>159000</v>
      </c>
      <c r="N990">
        <v>185251</v>
      </c>
      <c r="O990">
        <v>70</v>
      </c>
      <c r="P990">
        <v>10.199999999999999</v>
      </c>
      <c r="Q990" t="s">
        <v>37</v>
      </c>
      <c r="R990" t="s">
        <v>38</v>
      </c>
    </row>
    <row r="991" spans="1:18" x14ac:dyDescent="0.3">
      <c r="A991" t="s">
        <v>28</v>
      </c>
      <c r="B991" t="s">
        <v>63</v>
      </c>
      <c r="C991">
        <v>125</v>
      </c>
      <c r="D991" t="s">
        <v>30</v>
      </c>
      <c r="E991">
        <v>2023</v>
      </c>
      <c r="F991" t="s">
        <v>35</v>
      </c>
      <c r="G991">
        <v>107</v>
      </c>
      <c r="H991">
        <v>51.1</v>
      </c>
      <c r="I991">
        <v>12.6</v>
      </c>
      <c r="J991">
        <v>71094</v>
      </c>
      <c r="K991">
        <v>28</v>
      </c>
      <c r="L991">
        <v>19906</v>
      </c>
      <c r="M991">
        <v>91000</v>
      </c>
      <c r="N991">
        <v>108951</v>
      </c>
      <c r="O991">
        <v>61</v>
      </c>
      <c r="P991">
        <v>13.9</v>
      </c>
      <c r="Q991" t="s">
        <v>37</v>
      </c>
      <c r="R991" t="s">
        <v>38</v>
      </c>
    </row>
    <row r="992" spans="1:18" x14ac:dyDescent="0.3">
      <c r="A992" t="s">
        <v>39</v>
      </c>
      <c r="B992" t="s">
        <v>64</v>
      </c>
      <c r="C992">
        <v>159</v>
      </c>
      <c r="D992" t="s">
        <v>20</v>
      </c>
      <c r="E992">
        <v>2025</v>
      </c>
      <c r="F992" t="s">
        <v>35</v>
      </c>
      <c r="G992">
        <v>136</v>
      </c>
      <c r="H992">
        <v>46.9</v>
      </c>
      <c r="I992">
        <v>11.4</v>
      </c>
      <c r="J992">
        <v>99219</v>
      </c>
      <c r="K992">
        <v>28</v>
      </c>
      <c r="L992">
        <v>27781</v>
      </c>
      <c r="M992">
        <v>127000</v>
      </c>
      <c r="N992">
        <v>150542</v>
      </c>
      <c r="O992">
        <v>67</v>
      </c>
      <c r="P992">
        <v>4.7</v>
      </c>
      <c r="Q992" t="s">
        <v>26</v>
      </c>
      <c r="R992" t="s">
        <v>27</v>
      </c>
    </row>
    <row r="993" spans="1:18" x14ac:dyDescent="0.3">
      <c r="A993" t="s">
        <v>32</v>
      </c>
      <c r="B993" t="s">
        <v>85</v>
      </c>
      <c r="C993">
        <v>346</v>
      </c>
      <c r="D993" t="s">
        <v>34</v>
      </c>
      <c r="E993">
        <v>2024</v>
      </c>
      <c r="F993" t="s">
        <v>31</v>
      </c>
      <c r="G993">
        <v>158</v>
      </c>
      <c r="H993">
        <v>29.6</v>
      </c>
      <c r="I993">
        <v>13.9</v>
      </c>
      <c r="J993">
        <v>134375</v>
      </c>
      <c r="K993">
        <v>28</v>
      </c>
      <c r="L993">
        <v>37625</v>
      </c>
      <c r="M993">
        <v>172000</v>
      </c>
      <c r="N993">
        <v>200476</v>
      </c>
      <c r="O993">
        <v>67</v>
      </c>
      <c r="P993">
        <v>10.8</v>
      </c>
      <c r="Q993" t="s">
        <v>37</v>
      </c>
      <c r="R993" t="s">
        <v>38</v>
      </c>
    </row>
    <row r="994" spans="1:18" x14ac:dyDescent="0.3">
      <c r="A994" t="s">
        <v>42</v>
      </c>
      <c r="B994" t="s">
        <v>43</v>
      </c>
      <c r="C994">
        <v>149</v>
      </c>
      <c r="D994" t="s">
        <v>20</v>
      </c>
      <c r="E994">
        <v>2025</v>
      </c>
      <c r="F994" t="s">
        <v>35</v>
      </c>
      <c r="G994">
        <v>120</v>
      </c>
      <c r="H994">
        <v>61.2</v>
      </c>
      <c r="I994">
        <v>10.6</v>
      </c>
      <c r="J994">
        <v>102344</v>
      </c>
      <c r="K994">
        <v>28</v>
      </c>
      <c r="L994">
        <v>28656</v>
      </c>
      <c r="M994">
        <v>131000</v>
      </c>
      <c r="N994">
        <v>152923</v>
      </c>
      <c r="O994">
        <v>77</v>
      </c>
      <c r="P994">
        <v>3.1</v>
      </c>
      <c r="Q994" t="s">
        <v>26</v>
      </c>
      <c r="R994" t="s">
        <v>27</v>
      </c>
    </row>
    <row r="995" spans="1:18" x14ac:dyDescent="0.3">
      <c r="A995" t="s">
        <v>39</v>
      </c>
      <c r="B995" t="s">
        <v>112</v>
      </c>
      <c r="C995">
        <v>197</v>
      </c>
      <c r="D995" t="s">
        <v>20</v>
      </c>
      <c r="E995">
        <v>2021</v>
      </c>
      <c r="F995" t="s">
        <v>21</v>
      </c>
      <c r="G995">
        <v>129</v>
      </c>
      <c r="H995">
        <v>37.6</v>
      </c>
      <c r="I995">
        <v>11.1</v>
      </c>
      <c r="J995">
        <v>119531</v>
      </c>
      <c r="K995">
        <v>28</v>
      </c>
      <c r="L995">
        <v>33469</v>
      </c>
      <c r="M995">
        <v>153000</v>
      </c>
      <c r="N995">
        <v>178005</v>
      </c>
      <c r="O995">
        <v>66</v>
      </c>
      <c r="P995">
        <v>7.4</v>
      </c>
      <c r="Q995" t="s">
        <v>37</v>
      </c>
      <c r="R995" t="s">
        <v>38</v>
      </c>
    </row>
    <row r="996" spans="1:18" x14ac:dyDescent="0.3">
      <c r="A996" t="s">
        <v>18</v>
      </c>
      <c r="B996" t="s">
        <v>78</v>
      </c>
      <c r="C996">
        <v>184</v>
      </c>
      <c r="D996" t="s">
        <v>20</v>
      </c>
      <c r="E996">
        <v>2022</v>
      </c>
      <c r="F996" t="s">
        <v>21</v>
      </c>
      <c r="G996">
        <v>121</v>
      </c>
      <c r="H996">
        <v>45.4</v>
      </c>
      <c r="I996">
        <v>13.1</v>
      </c>
      <c r="J996">
        <v>108594</v>
      </c>
      <c r="K996">
        <v>28</v>
      </c>
      <c r="L996">
        <v>30406</v>
      </c>
      <c r="M996">
        <v>139000</v>
      </c>
      <c r="N996">
        <v>161891</v>
      </c>
      <c r="O996">
        <v>79</v>
      </c>
      <c r="P996">
        <v>2.9</v>
      </c>
      <c r="Q996" t="s">
        <v>26</v>
      </c>
      <c r="R996" t="s">
        <v>27</v>
      </c>
    </row>
    <row r="997" spans="1:18" x14ac:dyDescent="0.3">
      <c r="A997" t="s">
        <v>42</v>
      </c>
      <c r="B997" t="s">
        <v>110</v>
      </c>
      <c r="C997">
        <v>321</v>
      </c>
      <c r="D997" t="s">
        <v>34</v>
      </c>
      <c r="E997">
        <v>2020</v>
      </c>
      <c r="F997" t="s">
        <v>21</v>
      </c>
      <c r="G997">
        <v>144</v>
      </c>
      <c r="H997">
        <v>33.6</v>
      </c>
      <c r="I997">
        <v>15</v>
      </c>
      <c r="J997">
        <v>360938</v>
      </c>
      <c r="K997">
        <v>28</v>
      </c>
      <c r="L997">
        <v>101062</v>
      </c>
      <c r="M997">
        <v>462000</v>
      </c>
      <c r="N997">
        <v>530814</v>
      </c>
      <c r="O997">
        <v>73</v>
      </c>
      <c r="P997">
        <v>7</v>
      </c>
      <c r="Q997" t="s">
        <v>22</v>
      </c>
      <c r="R997" t="s">
        <v>23</v>
      </c>
    </row>
    <row r="998" spans="1:18" x14ac:dyDescent="0.3">
      <c r="A998" t="s">
        <v>28</v>
      </c>
      <c r="B998" t="s">
        <v>41</v>
      </c>
      <c r="C998">
        <v>125</v>
      </c>
      <c r="D998" t="s">
        <v>30</v>
      </c>
      <c r="E998">
        <v>2022</v>
      </c>
      <c r="F998" t="s">
        <v>35</v>
      </c>
      <c r="G998">
        <v>117</v>
      </c>
      <c r="H998">
        <v>53.5</v>
      </c>
      <c r="I998">
        <v>12.4</v>
      </c>
      <c r="J998">
        <v>70312</v>
      </c>
      <c r="K998">
        <v>28</v>
      </c>
      <c r="L998">
        <v>19688</v>
      </c>
      <c r="M998">
        <v>90000</v>
      </c>
      <c r="N998">
        <v>107247</v>
      </c>
      <c r="O998">
        <v>59</v>
      </c>
      <c r="P998">
        <v>13.5</v>
      </c>
      <c r="Q998" t="s">
        <v>37</v>
      </c>
      <c r="R998" t="s">
        <v>38</v>
      </c>
    </row>
    <row r="999" spans="1:18" x14ac:dyDescent="0.3">
      <c r="A999" t="s">
        <v>24</v>
      </c>
      <c r="B999" t="s">
        <v>100</v>
      </c>
      <c r="C999">
        <v>115</v>
      </c>
      <c r="D999" t="s">
        <v>30</v>
      </c>
      <c r="E999">
        <v>2024</v>
      </c>
      <c r="F999" t="s">
        <v>35</v>
      </c>
      <c r="G999">
        <v>111</v>
      </c>
      <c r="H999">
        <v>50.2</v>
      </c>
      <c r="I999">
        <v>10.8</v>
      </c>
      <c r="J999">
        <v>63281</v>
      </c>
      <c r="K999">
        <v>28</v>
      </c>
      <c r="L999">
        <v>17719</v>
      </c>
      <c r="M999">
        <v>81000</v>
      </c>
      <c r="N999">
        <v>97000</v>
      </c>
      <c r="O999">
        <v>61</v>
      </c>
      <c r="P999">
        <v>2.9</v>
      </c>
      <c r="Q999" t="s">
        <v>26</v>
      </c>
      <c r="R999" t="s">
        <v>27</v>
      </c>
    </row>
    <row r="1000" spans="1:18" x14ac:dyDescent="0.3">
      <c r="A1000" t="s">
        <v>39</v>
      </c>
      <c r="B1000" t="s">
        <v>93</v>
      </c>
      <c r="C1000">
        <v>225</v>
      </c>
      <c r="D1000" t="s">
        <v>20</v>
      </c>
      <c r="E1000">
        <v>2024</v>
      </c>
      <c r="F1000" t="s">
        <v>21</v>
      </c>
      <c r="G1000">
        <v>165</v>
      </c>
      <c r="H1000">
        <v>29.6</v>
      </c>
      <c r="I1000">
        <v>16.100000000000001</v>
      </c>
      <c r="J1000">
        <v>120312</v>
      </c>
      <c r="K1000">
        <v>28</v>
      </c>
      <c r="L1000">
        <v>33688</v>
      </c>
      <c r="M1000">
        <v>154000</v>
      </c>
      <c r="N1000">
        <v>180601</v>
      </c>
      <c r="O1000">
        <v>70</v>
      </c>
      <c r="P1000">
        <v>2.2999999999999998</v>
      </c>
      <c r="Q1000" t="s">
        <v>26</v>
      </c>
      <c r="R1000" t="s">
        <v>27</v>
      </c>
    </row>
    <row r="1001" spans="1:18" x14ac:dyDescent="0.3">
      <c r="A1001" t="s">
        <v>32</v>
      </c>
      <c r="B1001" t="s">
        <v>66</v>
      </c>
      <c r="C1001">
        <v>349</v>
      </c>
      <c r="D1001" t="s">
        <v>34</v>
      </c>
      <c r="E1001">
        <v>2024</v>
      </c>
      <c r="F1001" t="s">
        <v>35</v>
      </c>
      <c r="G1001">
        <v>153</v>
      </c>
      <c r="H1001">
        <v>31.4</v>
      </c>
      <c r="I1001">
        <v>13.2</v>
      </c>
      <c r="J1001">
        <v>164062</v>
      </c>
      <c r="K1001">
        <v>28</v>
      </c>
      <c r="L1001">
        <v>45938</v>
      </c>
      <c r="M1001">
        <v>210000</v>
      </c>
      <c r="N1001">
        <v>243807</v>
      </c>
      <c r="O1001">
        <v>72</v>
      </c>
      <c r="P1001">
        <v>7.5</v>
      </c>
      <c r="Q1001" t="s">
        <v>22</v>
      </c>
      <c r="R100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48392-66C7-43CA-AD82-5063B6164190}">
  <sheetPr codeName="Sheet1"/>
  <dimension ref="A1"/>
  <sheetViews>
    <sheetView tabSelected="1"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Executive_Dashboard</vt:lpstr>
      <vt:lpstr>Pivot_Calculations</vt:lpstr>
      <vt:lpstr>Raw_Data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Musthaque Mayalankottu</dc:creator>
  <cp:lastModifiedBy>Musthaque Mayalankottu</cp:lastModifiedBy>
  <dcterms:created xsi:type="dcterms:W3CDTF">2026-09-22T15:09:10Z</dcterms:created>
  <dcterms:modified xsi:type="dcterms:W3CDTF">2026-09-22T15:09:48Z</dcterms:modified>
</cp:coreProperties>
</file>